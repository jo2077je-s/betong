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54EEE07E-A060-4573-BEAD-4C275078D3B4}" xr6:coauthVersionLast="47" xr6:coauthVersionMax="47" xr10:uidLastSave="{00000000-0000-0000-0000-000000000000}"/>
  <bookViews>
    <workbookView xWindow="-120" yWindow="-120" windowWidth="29040" windowHeight="15840" tabRatio="774" activeTab="6" xr2:uid="{3000DFAE-FC4D-4193-A0F9-3BF5B0CC613D}"/>
  </bookViews>
  <sheets>
    <sheet name="Bjälklag (10% slagg)" sheetId="1" r:id="rId1"/>
    <sheet name="Bjälklag (20% slagg)" sheetId="2" r:id="rId2"/>
    <sheet name="Bjälklag (30% slagg)" sheetId="3" r:id="rId3"/>
    <sheet name="Bjälklag (40% slagg)" sheetId="4" r:id="rId4"/>
    <sheet name="Data till Lathund, Kådgenererin" sheetId="5" r:id="rId5"/>
    <sheet name="Data till lathund Åtgärder" sheetId="6" r:id="rId6"/>
    <sheet name="Lathund" sheetId="7" r:id="rId7"/>
    <sheet name="Förutsättninga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7" l="1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" i="5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M2" i="1"/>
  <c r="M3" i="1"/>
  <c r="M4" i="1"/>
  <c r="M5" i="1"/>
  <c r="K28" i="5" s="1"/>
  <c r="M6" i="1"/>
  <c r="M7" i="1"/>
  <c r="M8" i="1"/>
  <c r="M9" i="1"/>
  <c r="K32" i="5" s="1"/>
  <c r="M10" i="1"/>
  <c r="M11" i="1"/>
  <c r="M12" i="1"/>
  <c r="M13" i="1"/>
  <c r="K36" i="5" s="1"/>
  <c r="M14" i="1"/>
  <c r="M15" i="1"/>
  <c r="M16" i="1"/>
  <c r="M17" i="1"/>
  <c r="M18" i="1"/>
  <c r="M19" i="1"/>
  <c r="M20" i="1"/>
  <c r="M21" i="1"/>
  <c r="C21" i="5" s="1"/>
  <c r="M22" i="1"/>
  <c r="M23" i="1"/>
  <c r="M24" i="1"/>
  <c r="M25" i="1"/>
  <c r="K48" i="5" s="1"/>
  <c r="M26" i="1"/>
  <c r="M27" i="1"/>
  <c r="M28" i="1"/>
  <c r="M29" i="1"/>
  <c r="K52" i="5" s="1"/>
  <c r="M30" i="1"/>
  <c r="M31" i="1"/>
  <c r="M32" i="1"/>
  <c r="M33" i="1"/>
  <c r="M34" i="1"/>
  <c r="M35" i="1"/>
  <c r="M36" i="1"/>
  <c r="M37" i="1"/>
  <c r="K60" i="5" s="1"/>
  <c r="M38" i="1"/>
  <c r="M39" i="1"/>
  <c r="M40" i="1"/>
  <c r="M41" i="1"/>
  <c r="M42" i="1"/>
  <c r="M43" i="1"/>
  <c r="M44" i="1"/>
  <c r="M45" i="1"/>
  <c r="C45" i="5" s="1"/>
  <c r="M46" i="1"/>
  <c r="M2" i="2"/>
  <c r="M2" i="3"/>
  <c r="D2" i="5"/>
  <c r="M3" i="2"/>
  <c r="M4" i="2"/>
  <c r="M5" i="2"/>
  <c r="D5" i="5" s="1"/>
  <c r="M6" i="2"/>
  <c r="M7" i="2"/>
  <c r="M8" i="2"/>
  <c r="M9" i="2"/>
  <c r="K77" i="5" s="1"/>
  <c r="M10" i="2"/>
  <c r="M11" i="2"/>
  <c r="M12" i="2"/>
  <c r="M13" i="2"/>
  <c r="K81" i="5" s="1"/>
  <c r="M14" i="2"/>
  <c r="M15" i="2"/>
  <c r="M16" i="2"/>
  <c r="M17" i="2"/>
  <c r="M18" i="2"/>
  <c r="M19" i="2"/>
  <c r="M20" i="2"/>
  <c r="M21" i="2"/>
  <c r="D21" i="5" s="1"/>
  <c r="M22" i="2"/>
  <c r="M23" i="2"/>
  <c r="M24" i="2"/>
  <c r="M25" i="2"/>
  <c r="K93" i="5" s="1"/>
  <c r="M26" i="2"/>
  <c r="M27" i="2"/>
  <c r="M28" i="2"/>
  <c r="M29" i="2"/>
  <c r="M30" i="2"/>
  <c r="M31" i="2"/>
  <c r="M32" i="2"/>
  <c r="M33" i="2"/>
  <c r="K101" i="5" s="1"/>
  <c r="M34" i="2"/>
  <c r="M35" i="2"/>
  <c r="K103" i="5" s="1"/>
  <c r="M36" i="2"/>
  <c r="K104" i="5" s="1"/>
  <c r="M37" i="2"/>
  <c r="K105" i="5" s="1"/>
  <c r="M38" i="2"/>
  <c r="M39" i="2"/>
  <c r="M40" i="2"/>
  <c r="M41" i="2"/>
  <c r="D41" i="5" s="1"/>
  <c r="M42" i="2"/>
  <c r="M43" i="2"/>
  <c r="M44" i="2"/>
  <c r="M45" i="2"/>
  <c r="D45" i="5" s="1"/>
  <c r="M46" i="2"/>
  <c r="M3" i="3"/>
  <c r="M4" i="3"/>
  <c r="E4" i="5" s="1"/>
  <c r="M5" i="3"/>
  <c r="K118" i="5" s="1"/>
  <c r="M6" i="3"/>
  <c r="M7" i="3"/>
  <c r="M8" i="3"/>
  <c r="M9" i="3"/>
  <c r="K122" i="5" s="1"/>
  <c r="M10" i="3"/>
  <c r="M11" i="3"/>
  <c r="M12" i="3"/>
  <c r="M13" i="3"/>
  <c r="M14" i="3"/>
  <c r="M15" i="3"/>
  <c r="M16" i="3"/>
  <c r="K129" i="5" s="1"/>
  <c r="M17" i="3"/>
  <c r="K130" i="5" s="1"/>
  <c r="M18" i="3"/>
  <c r="M19" i="3"/>
  <c r="M20" i="3"/>
  <c r="M21" i="3"/>
  <c r="E21" i="5" s="1"/>
  <c r="M22" i="3"/>
  <c r="M23" i="3"/>
  <c r="M24" i="3"/>
  <c r="E24" i="5" s="1"/>
  <c r="M25" i="3"/>
  <c r="K138" i="5" s="1"/>
  <c r="M26" i="3"/>
  <c r="M27" i="3"/>
  <c r="M28" i="3"/>
  <c r="M29" i="3"/>
  <c r="E29" i="5" s="1"/>
  <c r="M30" i="3"/>
  <c r="M31" i="3"/>
  <c r="M32" i="3"/>
  <c r="M33" i="3"/>
  <c r="M34" i="3"/>
  <c r="M35" i="3"/>
  <c r="K148" i="5" s="1"/>
  <c r="M36" i="3"/>
  <c r="E36" i="5" s="1"/>
  <c r="M37" i="3"/>
  <c r="K150" i="5" s="1"/>
  <c r="M38" i="3"/>
  <c r="M39" i="3"/>
  <c r="M40" i="3"/>
  <c r="M41" i="3"/>
  <c r="K154" i="5" s="1"/>
  <c r="M42" i="3"/>
  <c r="M43" i="3"/>
  <c r="M44" i="3"/>
  <c r="M45" i="3"/>
  <c r="E45" i="5" s="1"/>
  <c r="M46" i="3"/>
  <c r="M2" i="4"/>
  <c r="M3" i="4"/>
  <c r="M4" i="4"/>
  <c r="M5" i="4"/>
  <c r="K163" i="5" s="1"/>
  <c r="M6" i="4"/>
  <c r="M7" i="4"/>
  <c r="M8" i="4"/>
  <c r="M9" i="4"/>
  <c r="K167" i="5" s="1"/>
  <c r="M10" i="4"/>
  <c r="M11" i="4"/>
  <c r="M12" i="4"/>
  <c r="M13" i="4"/>
  <c r="K171" i="5" s="1"/>
  <c r="M14" i="4"/>
  <c r="M15" i="4"/>
  <c r="M16" i="4"/>
  <c r="M17" i="4"/>
  <c r="K175" i="5" s="1"/>
  <c r="M18" i="4"/>
  <c r="M19" i="4"/>
  <c r="M20" i="4"/>
  <c r="M21" i="4"/>
  <c r="K179" i="5" s="1"/>
  <c r="M22" i="4"/>
  <c r="M23" i="4"/>
  <c r="M24" i="4"/>
  <c r="M25" i="4"/>
  <c r="K183" i="5" s="1"/>
  <c r="M26" i="4"/>
  <c r="M27" i="4"/>
  <c r="M28" i="4"/>
  <c r="M29" i="4"/>
  <c r="M30" i="4"/>
  <c r="M31" i="4"/>
  <c r="M32" i="4"/>
  <c r="M33" i="4"/>
  <c r="K191" i="5" s="1"/>
  <c r="M34" i="4"/>
  <c r="M35" i="4"/>
  <c r="M36" i="4"/>
  <c r="M37" i="4"/>
  <c r="K195" i="5" s="1"/>
  <c r="M38" i="4"/>
  <c r="M39" i="4"/>
  <c r="M40" i="4"/>
  <c r="M41" i="4"/>
  <c r="K199" i="5" s="1"/>
  <c r="M42" i="4"/>
  <c r="M43" i="4"/>
  <c r="M44" i="4"/>
  <c r="M45" i="4"/>
  <c r="K203" i="5" s="1"/>
  <c r="M46" i="4"/>
  <c r="K162" i="5"/>
  <c r="K166" i="5"/>
  <c r="K178" i="5"/>
  <c r="K186" i="5"/>
  <c r="K187" i="5"/>
  <c r="K190" i="5"/>
  <c r="K198" i="5"/>
  <c r="K121" i="5"/>
  <c r="E11" i="5"/>
  <c r="K125" i="5"/>
  <c r="E13" i="5"/>
  <c r="E20" i="5"/>
  <c r="K136" i="5"/>
  <c r="K140" i="5"/>
  <c r="E28" i="5"/>
  <c r="K144" i="5"/>
  <c r="K145" i="5"/>
  <c r="K146" i="5"/>
  <c r="K153" i="5"/>
  <c r="K156" i="5"/>
  <c r="K70" i="5"/>
  <c r="K71" i="5"/>
  <c r="K75" i="5"/>
  <c r="D8" i="5"/>
  <c r="K78" i="5"/>
  <c r="K79" i="5"/>
  <c r="K80" i="5"/>
  <c r="D14" i="5"/>
  <c r="K83" i="5"/>
  <c r="K85" i="5"/>
  <c r="D18" i="5"/>
  <c r="D19" i="5"/>
  <c r="K92" i="5"/>
  <c r="K94" i="5"/>
  <c r="D27" i="5"/>
  <c r="K96" i="5"/>
  <c r="K97" i="5"/>
  <c r="D31" i="5"/>
  <c r="K102" i="5"/>
  <c r="K106" i="5"/>
  <c r="D39" i="5"/>
  <c r="D40" i="5"/>
  <c r="D42" i="5"/>
  <c r="K111" i="5"/>
  <c r="D44" i="5"/>
  <c r="C17" i="5"/>
  <c r="K56" i="5"/>
  <c r="C36" i="5"/>
  <c r="C40" i="5"/>
  <c r="K64" i="5"/>
  <c r="C44" i="5"/>
  <c r="C24" i="5"/>
  <c r="C28" i="5"/>
  <c r="C32" i="5"/>
  <c r="J76" i="7"/>
  <c r="M60" i="7"/>
  <c r="J84" i="7"/>
  <c r="J83" i="7"/>
  <c r="J82" i="7"/>
  <c r="J81" i="7"/>
  <c r="J80" i="7"/>
  <c r="J79" i="7"/>
  <c r="J78" i="7"/>
  <c r="J77" i="7"/>
  <c r="J12" i="10"/>
  <c r="J13" i="10"/>
  <c r="J14" i="10"/>
  <c r="J15" i="10"/>
  <c r="J16" i="10"/>
  <c r="J17" i="10"/>
  <c r="J18" i="10"/>
  <c r="J19" i="10"/>
  <c r="J11" i="10"/>
  <c r="I52" i="7"/>
  <c r="J52" i="7"/>
  <c r="K52" i="7"/>
  <c r="L52" i="7"/>
  <c r="M52" i="7"/>
  <c r="I53" i="7"/>
  <c r="J53" i="7"/>
  <c r="K53" i="7"/>
  <c r="L53" i="7"/>
  <c r="M53" i="7"/>
  <c r="I56" i="7"/>
  <c r="J56" i="7"/>
  <c r="K56" i="7"/>
  <c r="L56" i="7"/>
  <c r="M56" i="7"/>
  <c r="I54" i="7"/>
  <c r="J54" i="7"/>
  <c r="K54" i="7"/>
  <c r="L54" i="7"/>
  <c r="M54" i="7"/>
  <c r="I55" i="7"/>
  <c r="J55" i="7"/>
  <c r="K55" i="7"/>
  <c r="L55" i="7"/>
  <c r="M55" i="7"/>
  <c r="I57" i="7"/>
  <c r="J57" i="7"/>
  <c r="K57" i="7"/>
  <c r="L57" i="7"/>
  <c r="M57" i="7"/>
  <c r="I58" i="7"/>
  <c r="J58" i="7"/>
  <c r="K58" i="7"/>
  <c r="L58" i="7"/>
  <c r="M58" i="7"/>
  <c r="I59" i="7"/>
  <c r="J59" i="7"/>
  <c r="K59" i="7"/>
  <c r="L59" i="7"/>
  <c r="M59" i="7"/>
  <c r="I60" i="7"/>
  <c r="J60" i="7"/>
  <c r="K60" i="7"/>
  <c r="L60" i="7"/>
  <c r="I61" i="7"/>
  <c r="J61" i="7"/>
  <c r="K61" i="7"/>
  <c r="L61" i="7"/>
  <c r="M61" i="7"/>
  <c r="I62" i="7"/>
  <c r="J62" i="7"/>
  <c r="K62" i="7"/>
  <c r="L62" i="7"/>
  <c r="M62" i="7"/>
  <c r="I63" i="7"/>
  <c r="J63" i="7"/>
  <c r="K63" i="7"/>
  <c r="L63" i="7"/>
  <c r="M63" i="7"/>
  <c r="I64" i="7"/>
  <c r="J64" i="7"/>
  <c r="K64" i="7"/>
  <c r="L64" i="7"/>
  <c r="M64" i="7"/>
  <c r="I65" i="7"/>
  <c r="J65" i="7"/>
  <c r="K65" i="7"/>
  <c r="L65" i="7"/>
  <c r="M65" i="7"/>
  <c r="I66" i="7"/>
  <c r="J66" i="7"/>
  <c r="K66" i="7"/>
  <c r="L66" i="7"/>
  <c r="M66" i="7"/>
  <c r="I67" i="7"/>
  <c r="J67" i="7"/>
  <c r="K67" i="7"/>
  <c r="L67" i="7"/>
  <c r="M67" i="7"/>
  <c r="I68" i="7"/>
  <c r="J68" i="7"/>
  <c r="K68" i="7"/>
  <c r="L68" i="7"/>
  <c r="M68" i="7"/>
  <c r="I69" i="7"/>
  <c r="J69" i="7"/>
  <c r="K69" i="7"/>
  <c r="L69" i="7"/>
  <c r="M69" i="7"/>
  <c r="I70" i="7"/>
  <c r="J70" i="7"/>
  <c r="K70" i="7"/>
  <c r="L70" i="7"/>
  <c r="M70" i="7"/>
  <c r="I71" i="7"/>
  <c r="J71" i="7"/>
  <c r="K71" i="7"/>
  <c r="L71" i="7"/>
  <c r="M71" i="7"/>
  <c r="I72" i="7"/>
  <c r="J72" i="7"/>
  <c r="K72" i="7"/>
  <c r="L72" i="7"/>
  <c r="M72" i="7"/>
  <c r="I73" i="7"/>
  <c r="J73" i="7"/>
  <c r="K73" i="7"/>
  <c r="L73" i="7"/>
  <c r="M73" i="7"/>
  <c r="K51" i="7"/>
  <c r="I51" i="7"/>
  <c r="J51" i="7"/>
  <c r="L51" i="7"/>
  <c r="M51" i="7"/>
  <c r="H52" i="7"/>
  <c r="H53" i="7"/>
  <c r="H56" i="7"/>
  <c r="H54" i="7"/>
  <c r="H55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51" i="7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3" i="6"/>
  <c r="J4" i="6"/>
  <c r="J2" i="6"/>
  <c r="K24" i="5"/>
  <c r="K181" i="5"/>
  <c r="K185" i="5"/>
  <c r="K189" i="5"/>
  <c r="K193" i="5"/>
  <c r="F23" i="5"/>
  <c r="F27" i="5"/>
  <c r="F31" i="5"/>
  <c r="F35" i="5"/>
  <c r="K119" i="5"/>
  <c r="K123" i="5"/>
  <c r="K127" i="5"/>
  <c r="K131" i="5"/>
  <c r="K135" i="5"/>
  <c r="K139" i="5"/>
  <c r="K143" i="5"/>
  <c r="K147" i="5"/>
  <c r="K151" i="5"/>
  <c r="K155" i="5"/>
  <c r="K159" i="5"/>
  <c r="K86" i="5"/>
  <c r="K90" i="5"/>
  <c r="K114" i="5"/>
  <c r="K31" i="5"/>
  <c r="E6" i="5"/>
  <c r="D10" i="5"/>
  <c r="E10" i="5"/>
  <c r="D22" i="5"/>
  <c r="E30" i="5"/>
  <c r="E38" i="5"/>
  <c r="E2" i="5"/>
  <c r="K204" i="5"/>
  <c r="K202" i="5"/>
  <c r="K201" i="5"/>
  <c r="K200" i="5"/>
  <c r="K197" i="5"/>
  <c r="K196" i="5"/>
  <c r="K194" i="5"/>
  <c r="K192" i="5"/>
  <c r="K188" i="5"/>
  <c r="K184" i="5"/>
  <c r="K182" i="5"/>
  <c r="F22" i="5"/>
  <c r="K177" i="5"/>
  <c r="F18" i="5"/>
  <c r="K174" i="5"/>
  <c r="K173" i="5"/>
  <c r="K172" i="5"/>
  <c r="K170" i="5"/>
  <c r="K169" i="5"/>
  <c r="K168" i="5"/>
  <c r="K165" i="5"/>
  <c r="F6" i="5"/>
  <c r="F3" i="5"/>
  <c r="F2" i="5"/>
  <c r="E46" i="5"/>
  <c r="E44" i="5"/>
  <c r="E42" i="5"/>
  <c r="K152" i="5"/>
  <c r="E34" i="5"/>
  <c r="E26" i="5"/>
  <c r="E25" i="5"/>
  <c r="E22" i="5"/>
  <c r="E19" i="5"/>
  <c r="E18" i="5"/>
  <c r="E15" i="5"/>
  <c r="E14" i="5"/>
  <c r="K126" i="5"/>
  <c r="E7" i="5"/>
  <c r="E3" i="5"/>
  <c r="K115" i="5"/>
  <c r="D4" i="5"/>
  <c r="K74" i="5"/>
  <c r="D16" i="5"/>
  <c r="K88" i="5"/>
  <c r="K91" i="5"/>
  <c r="K98" i="5"/>
  <c r="D32" i="5"/>
  <c r="D46" i="5"/>
  <c r="C31" i="5"/>
  <c r="K25" i="5"/>
  <c r="C3" i="5"/>
  <c r="K27" i="5"/>
  <c r="K29" i="5"/>
  <c r="C7" i="5"/>
  <c r="C8" i="5"/>
  <c r="K33" i="5"/>
  <c r="C11" i="5"/>
  <c r="K35" i="5"/>
  <c r="K37" i="5"/>
  <c r="C15" i="5"/>
  <c r="C16" i="5"/>
  <c r="K41" i="5"/>
  <c r="C19" i="5"/>
  <c r="C20" i="5"/>
  <c r="K45" i="5"/>
  <c r="C23" i="5"/>
  <c r="K49" i="5"/>
  <c r="C27" i="5"/>
  <c r="C30" i="5"/>
  <c r="C34" i="5"/>
  <c r="C35" i="5"/>
  <c r="C38" i="5"/>
  <c r="C39" i="5"/>
  <c r="C42" i="5"/>
  <c r="C43" i="5"/>
  <c r="C46" i="5"/>
  <c r="K89" i="5" l="1"/>
  <c r="D37" i="5"/>
  <c r="K109" i="5"/>
  <c r="K73" i="5"/>
  <c r="D25" i="5"/>
  <c r="E17" i="5"/>
  <c r="K110" i="5"/>
  <c r="D35" i="5"/>
  <c r="K99" i="5"/>
  <c r="K95" i="5"/>
  <c r="K82" i="5"/>
  <c r="K117" i="5"/>
  <c r="E37" i="5"/>
  <c r="K158" i="5"/>
  <c r="K142" i="5"/>
  <c r="E33" i="5"/>
  <c r="E41" i="5"/>
  <c r="D9" i="5"/>
  <c r="D13" i="5"/>
  <c r="D33" i="5"/>
  <c r="D29" i="5"/>
  <c r="K113" i="5"/>
  <c r="D17" i="5"/>
  <c r="F43" i="5"/>
  <c r="F14" i="5"/>
  <c r="K176" i="5"/>
  <c r="K164" i="5"/>
  <c r="F46" i="5"/>
  <c r="F42" i="5"/>
  <c r="F38" i="5"/>
  <c r="F34" i="5"/>
  <c r="F30" i="5"/>
  <c r="F26" i="5"/>
  <c r="F21" i="5"/>
  <c r="F17" i="5"/>
  <c r="F13" i="5"/>
  <c r="F9" i="5"/>
  <c r="F5" i="5"/>
  <c r="F45" i="5"/>
  <c r="F41" i="5"/>
  <c r="F37" i="5"/>
  <c r="F33" i="5"/>
  <c r="F29" i="5"/>
  <c r="F25" i="5"/>
  <c r="F20" i="5"/>
  <c r="F16" i="5"/>
  <c r="F12" i="5"/>
  <c r="F8" i="5"/>
  <c r="F4" i="5"/>
  <c r="F39" i="5"/>
  <c r="F10" i="5"/>
  <c r="K160" i="5"/>
  <c r="F44" i="5"/>
  <c r="F40" i="5"/>
  <c r="F36" i="5"/>
  <c r="F32" i="5"/>
  <c r="F28" i="5"/>
  <c r="F24" i="5"/>
  <c r="F19" i="5"/>
  <c r="F15" i="5"/>
  <c r="F11" i="5"/>
  <c r="F7" i="5"/>
  <c r="E35" i="5"/>
  <c r="E27" i="5"/>
  <c r="K128" i="5"/>
  <c r="K124" i="5"/>
  <c r="K120" i="5"/>
  <c r="E32" i="5"/>
  <c r="E16" i="5"/>
  <c r="E43" i="5"/>
  <c r="E40" i="5"/>
  <c r="E31" i="5"/>
  <c r="E23" i="5"/>
  <c r="E12" i="5"/>
  <c r="E9" i="5"/>
  <c r="E5" i="5"/>
  <c r="K157" i="5"/>
  <c r="K149" i="5"/>
  <c r="K141" i="5"/>
  <c r="K137" i="5"/>
  <c r="K116" i="5"/>
  <c r="E39" i="5"/>
  <c r="E8" i="5"/>
  <c r="D12" i="5"/>
  <c r="D3" i="5"/>
  <c r="K100" i="5"/>
  <c r="D38" i="5"/>
  <c r="D36" i="5"/>
  <c r="D34" i="5"/>
  <c r="D30" i="5"/>
  <c r="D28" i="5"/>
  <c r="D26" i="5"/>
  <c r="D20" i="5"/>
  <c r="D15" i="5"/>
  <c r="D11" i="5"/>
  <c r="K112" i="5"/>
  <c r="K108" i="5"/>
  <c r="K84" i="5"/>
  <c r="K76" i="5"/>
  <c r="D43" i="5"/>
  <c r="K72" i="5"/>
  <c r="D6" i="5"/>
  <c r="K68" i="5"/>
  <c r="K63" i="5"/>
  <c r="C41" i="5"/>
  <c r="C18" i="5"/>
  <c r="K59" i="5"/>
  <c r="K26" i="5"/>
  <c r="C22" i="5"/>
  <c r="C37" i="5"/>
  <c r="C14" i="5"/>
  <c r="K55" i="5"/>
  <c r="C6" i="5"/>
  <c r="C33" i="5"/>
  <c r="C10" i="5"/>
  <c r="K67" i="5"/>
  <c r="K51" i="5"/>
  <c r="K44" i="5"/>
  <c r="K40" i="5"/>
  <c r="C13" i="5"/>
  <c r="C9" i="5"/>
  <c r="C5" i="5"/>
  <c r="K66" i="5"/>
  <c r="K62" i="5"/>
  <c r="K58" i="5"/>
  <c r="K54" i="5"/>
  <c r="K50" i="5"/>
  <c r="K43" i="5"/>
  <c r="K39" i="5"/>
  <c r="K34" i="5"/>
  <c r="K30" i="5"/>
  <c r="C29" i="5"/>
  <c r="C12" i="5"/>
  <c r="C4" i="5"/>
  <c r="K69" i="5"/>
  <c r="K65" i="5"/>
  <c r="K61" i="5"/>
  <c r="K57" i="5"/>
  <c r="K53" i="5"/>
  <c r="K46" i="5"/>
  <c r="K42" i="5"/>
  <c r="K38" i="5"/>
  <c r="K161" i="5"/>
  <c r="K107" i="5"/>
  <c r="C26" i="5"/>
  <c r="C25" i="5"/>
  <c r="K47" i="5"/>
  <c r="K180" i="5"/>
  <c r="K134" i="5"/>
  <c r="K133" i="5"/>
  <c r="K132" i="5"/>
  <c r="D23" i="5"/>
  <c r="D7" i="5"/>
  <c r="D24" i="5"/>
  <c r="K87" i="5"/>
  <c r="C2" i="5"/>
  <c r="M172" i="5" l="1"/>
  <c r="F14" i="7" s="1"/>
  <c r="M71" i="5"/>
  <c r="D3" i="7" s="1"/>
  <c r="M38" i="5"/>
  <c r="C15" i="7" s="1"/>
  <c r="M53" i="5"/>
  <c r="C30" i="7" s="1"/>
  <c r="M44" i="5"/>
  <c r="C21" i="7" s="1"/>
  <c r="M135" i="5"/>
  <c r="E22" i="7" s="1"/>
  <c r="M117" i="5"/>
  <c r="E4" i="7" s="1"/>
  <c r="M108" i="5"/>
  <c r="D40" i="7" s="1"/>
  <c r="M17" i="5"/>
  <c r="M69" i="5"/>
  <c r="C46" i="7" s="1"/>
  <c r="M166" i="5"/>
  <c r="F8" i="7" s="1"/>
  <c r="M102" i="5"/>
  <c r="D34" i="7" s="1"/>
  <c r="M200" i="5"/>
  <c r="F42" i="7" s="1"/>
  <c r="M46" i="5"/>
  <c r="C23" i="7" s="1"/>
  <c r="M55" i="5"/>
  <c r="C32" i="7" s="1"/>
  <c r="M5" i="5"/>
  <c r="M62" i="5"/>
  <c r="C39" i="7" s="1"/>
  <c r="M189" i="5"/>
  <c r="F31" i="7" s="1"/>
  <c r="M92" i="5"/>
  <c r="D24" i="7" s="1"/>
  <c r="M119" i="5"/>
  <c r="E6" i="7" s="1"/>
  <c r="M86" i="5"/>
  <c r="D18" i="7" s="1"/>
  <c r="M101" i="5"/>
  <c r="D33" i="7" s="1"/>
  <c r="M37" i="5"/>
  <c r="C14" i="7" s="1"/>
  <c r="M15" i="5"/>
  <c r="M199" i="5"/>
  <c r="F41" i="7" s="1"/>
  <c r="M181" i="5"/>
  <c r="F23" i="7" s="1"/>
  <c r="M140" i="5"/>
  <c r="E27" i="7" s="1"/>
  <c r="M76" i="5"/>
  <c r="D8" i="7" s="1"/>
  <c r="M167" i="5"/>
  <c r="F9" i="7" s="1"/>
  <c r="M103" i="5"/>
  <c r="D35" i="7" s="1"/>
  <c r="M39" i="5"/>
  <c r="C16" i="7" s="1"/>
  <c r="M134" i="5"/>
  <c r="E21" i="7" s="1"/>
  <c r="M70" i="5"/>
  <c r="D2" i="7" s="1"/>
  <c r="M149" i="5"/>
  <c r="E36" i="7" s="1"/>
  <c r="M85" i="5"/>
  <c r="D17" i="7" s="1"/>
  <c r="M20" i="5"/>
  <c r="M22" i="5"/>
  <c r="M43" i="5"/>
  <c r="C20" i="7" s="1"/>
  <c r="M183" i="5"/>
  <c r="F25" i="7" s="1"/>
  <c r="M156" i="5"/>
  <c r="E43" i="7" s="1"/>
  <c r="M28" i="5"/>
  <c r="C5" i="7" s="1"/>
  <c r="M150" i="5"/>
  <c r="E37" i="7" s="1"/>
  <c r="M165" i="5"/>
  <c r="F7" i="7" s="1"/>
  <c r="M184" i="5"/>
  <c r="F26" i="7" s="1"/>
  <c r="M198" i="5"/>
  <c r="F40" i="7" s="1"/>
  <c r="M124" i="5"/>
  <c r="E11" i="7" s="1"/>
  <c r="M60" i="5"/>
  <c r="C37" i="7" s="1"/>
  <c r="M151" i="5"/>
  <c r="E38" i="7" s="1"/>
  <c r="M87" i="5"/>
  <c r="D19" i="7" s="1"/>
  <c r="M182" i="5"/>
  <c r="F24" i="7" s="1"/>
  <c r="M118" i="5"/>
  <c r="E5" i="7" s="1"/>
  <c r="M54" i="5"/>
  <c r="C31" i="7" s="1"/>
  <c r="M133" i="5"/>
  <c r="E20" i="7" s="1"/>
  <c r="M4" i="5"/>
  <c r="M42" i="5"/>
  <c r="C19" i="7" s="1"/>
  <c r="M61" i="5"/>
  <c r="C38" i="7" s="1"/>
  <c r="M9" i="5"/>
  <c r="M58" i="5"/>
  <c r="C35" i="7" s="1"/>
  <c r="M203" i="5"/>
  <c r="F45" i="7" s="1"/>
  <c r="M193" i="5"/>
  <c r="F35" i="7" s="1"/>
  <c r="M168" i="5"/>
  <c r="F10" i="7" s="1"/>
  <c r="M120" i="5"/>
  <c r="E7" i="7" s="1"/>
  <c r="M72" i="5"/>
  <c r="D4" i="7" s="1"/>
  <c r="M179" i="5"/>
  <c r="F21" i="7" s="1"/>
  <c r="M115" i="5"/>
  <c r="E2" i="7" s="1"/>
  <c r="M67" i="5"/>
  <c r="C44" i="7" s="1"/>
  <c r="M178" i="5"/>
  <c r="F20" i="7" s="1"/>
  <c r="M114" i="5"/>
  <c r="D46" i="7" s="1"/>
  <c r="M66" i="5"/>
  <c r="C43" i="7" s="1"/>
  <c r="M161" i="5"/>
  <c r="F3" i="7" s="1"/>
  <c r="M113" i="5"/>
  <c r="D45" i="7" s="1"/>
  <c r="M65" i="5"/>
  <c r="C42" i="7" s="1"/>
  <c r="M16" i="5"/>
  <c r="M11" i="5"/>
  <c r="M10" i="5"/>
  <c r="M188" i="5"/>
  <c r="F30" i="7" s="1"/>
  <c r="M186" i="5"/>
  <c r="F28" i="7" s="1"/>
  <c r="M152" i="5"/>
  <c r="E39" i="7" s="1"/>
  <c r="M104" i="5"/>
  <c r="D36" i="7" s="1"/>
  <c r="M56" i="5"/>
  <c r="C33" i="7" s="1"/>
  <c r="M163" i="5"/>
  <c r="F5" i="7" s="1"/>
  <c r="M131" i="5"/>
  <c r="E18" i="7" s="1"/>
  <c r="M83" i="5"/>
  <c r="D15" i="7" s="1"/>
  <c r="M35" i="5"/>
  <c r="C12" i="7" s="1"/>
  <c r="M146" i="5"/>
  <c r="E33" i="7" s="1"/>
  <c r="M98" i="5"/>
  <c r="D30" i="7" s="1"/>
  <c r="M50" i="5"/>
  <c r="C27" i="7" s="1"/>
  <c r="M145" i="5"/>
  <c r="E32" i="7" s="1"/>
  <c r="M97" i="5"/>
  <c r="D29" i="7" s="1"/>
  <c r="M49" i="5"/>
  <c r="C26" i="7" s="1"/>
  <c r="M18" i="5"/>
  <c r="M191" i="5"/>
  <c r="F33" i="7" s="1"/>
  <c r="M2" i="5"/>
  <c r="M192" i="5"/>
  <c r="F34" i="7" s="1"/>
  <c r="M177" i="5"/>
  <c r="F19" i="7" s="1"/>
  <c r="M197" i="5"/>
  <c r="F39" i="7" s="1"/>
  <c r="M190" i="5"/>
  <c r="F32" i="7" s="1"/>
  <c r="M180" i="5"/>
  <c r="F22" i="7" s="1"/>
  <c r="M164" i="5"/>
  <c r="F6" i="7" s="1"/>
  <c r="M148" i="5"/>
  <c r="E35" i="7" s="1"/>
  <c r="M132" i="5"/>
  <c r="E19" i="7" s="1"/>
  <c r="M116" i="5"/>
  <c r="E3" i="7" s="1"/>
  <c r="M100" i="5"/>
  <c r="D32" i="7" s="1"/>
  <c r="M84" i="5"/>
  <c r="D16" i="7" s="1"/>
  <c r="M68" i="5"/>
  <c r="C45" i="7" s="1"/>
  <c r="M52" i="5"/>
  <c r="C29" i="7" s="1"/>
  <c r="M36" i="5"/>
  <c r="C13" i="7" s="1"/>
  <c r="M175" i="5"/>
  <c r="F17" i="7" s="1"/>
  <c r="M159" i="5"/>
  <c r="E46" i="7" s="1"/>
  <c r="M143" i="5"/>
  <c r="E30" i="7" s="1"/>
  <c r="M127" i="5"/>
  <c r="E14" i="7" s="1"/>
  <c r="M111" i="5"/>
  <c r="D43" i="7" s="1"/>
  <c r="M95" i="5"/>
  <c r="D27" i="7" s="1"/>
  <c r="M79" i="5"/>
  <c r="D11" i="7" s="1"/>
  <c r="M63" i="5"/>
  <c r="C40" i="7" s="1"/>
  <c r="M47" i="5"/>
  <c r="C24" i="7" s="1"/>
  <c r="M31" i="5"/>
  <c r="C8" i="7" s="1"/>
  <c r="M174" i="5"/>
  <c r="F16" i="7" s="1"/>
  <c r="M158" i="5"/>
  <c r="E45" i="7" s="1"/>
  <c r="M142" i="5"/>
  <c r="E29" i="7" s="1"/>
  <c r="M126" i="5"/>
  <c r="E13" i="7" s="1"/>
  <c r="M110" i="5"/>
  <c r="D42" i="7" s="1"/>
  <c r="M94" i="5"/>
  <c r="D26" i="7" s="1"/>
  <c r="M78" i="5"/>
  <c r="D10" i="7" s="1"/>
  <c r="M30" i="5"/>
  <c r="C7" i="7" s="1"/>
  <c r="M157" i="5"/>
  <c r="E44" i="7" s="1"/>
  <c r="M141" i="5"/>
  <c r="E28" i="7" s="1"/>
  <c r="M125" i="5"/>
  <c r="E12" i="7" s="1"/>
  <c r="M109" i="5"/>
  <c r="D41" i="7" s="1"/>
  <c r="M93" i="5"/>
  <c r="D25" i="7" s="1"/>
  <c r="M77" i="5"/>
  <c r="D9" i="7" s="1"/>
  <c r="M45" i="5"/>
  <c r="C22" i="7" s="1"/>
  <c r="M29" i="5"/>
  <c r="C6" i="7" s="1"/>
  <c r="M12" i="5"/>
  <c r="M14" i="5"/>
  <c r="M23" i="5"/>
  <c r="M7" i="5"/>
  <c r="M21" i="5"/>
  <c r="M24" i="5"/>
  <c r="M187" i="5"/>
  <c r="F29" i="7" s="1"/>
  <c r="M204" i="5"/>
  <c r="F46" i="7" s="1"/>
  <c r="M202" i="5"/>
  <c r="F44" i="7" s="1"/>
  <c r="M136" i="5"/>
  <c r="E23" i="7" s="1"/>
  <c r="M88" i="5"/>
  <c r="D20" i="7" s="1"/>
  <c r="M40" i="5"/>
  <c r="C17" i="7" s="1"/>
  <c r="M147" i="5"/>
  <c r="E34" i="7" s="1"/>
  <c r="M99" i="5"/>
  <c r="D31" i="7" s="1"/>
  <c r="M51" i="5"/>
  <c r="C28" i="7" s="1"/>
  <c r="M162" i="5"/>
  <c r="F4" i="7" s="1"/>
  <c r="M130" i="5"/>
  <c r="E17" i="7" s="1"/>
  <c r="M82" i="5"/>
  <c r="D14" i="7" s="1"/>
  <c r="M34" i="5"/>
  <c r="C11" i="7" s="1"/>
  <c r="M129" i="5"/>
  <c r="E16" i="7" s="1"/>
  <c r="M81" i="5"/>
  <c r="D13" i="7" s="1"/>
  <c r="M33" i="5"/>
  <c r="C10" i="7" s="1"/>
  <c r="M13" i="5"/>
  <c r="M169" i="5"/>
  <c r="F11" i="7" s="1"/>
  <c r="M195" i="5"/>
  <c r="F37" i="7" s="1"/>
  <c r="M173" i="5"/>
  <c r="F15" i="7" s="1"/>
  <c r="M196" i="5"/>
  <c r="F38" i="7" s="1"/>
  <c r="M185" i="5"/>
  <c r="F27" i="7" s="1"/>
  <c r="M201" i="5"/>
  <c r="F43" i="7" s="1"/>
  <c r="M194" i="5"/>
  <c r="F36" i="7" s="1"/>
  <c r="M176" i="5"/>
  <c r="F18" i="7" s="1"/>
  <c r="M160" i="5"/>
  <c r="F2" i="7" s="1"/>
  <c r="M144" i="5"/>
  <c r="E31" i="7" s="1"/>
  <c r="M128" i="5"/>
  <c r="E15" i="7" s="1"/>
  <c r="M112" i="5"/>
  <c r="D44" i="7" s="1"/>
  <c r="M96" i="5"/>
  <c r="D28" i="7" s="1"/>
  <c r="M80" i="5"/>
  <c r="D12" i="7" s="1"/>
  <c r="M64" i="5"/>
  <c r="C41" i="7" s="1"/>
  <c r="M48" i="5"/>
  <c r="C25" i="7" s="1"/>
  <c r="M32" i="5"/>
  <c r="C9" i="7" s="1"/>
  <c r="M171" i="5"/>
  <c r="F13" i="7" s="1"/>
  <c r="M155" i="5"/>
  <c r="E42" i="7" s="1"/>
  <c r="M139" i="5"/>
  <c r="E26" i="7" s="1"/>
  <c r="M123" i="5"/>
  <c r="E10" i="7" s="1"/>
  <c r="M107" i="5"/>
  <c r="D39" i="7" s="1"/>
  <c r="M91" i="5"/>
  <c r="D23" i="7" s="1"/>
  <c r="M75" i="5"/>
  <c r="D7" i="7" s="1"/>
  <c r="M59" i="5"/>
  <c r="C36" i="7" s="1"/>
  <c r="M27" i="5"/>
  <c r="C4" i="7" s="1"/>
  <c r="M170" i="5"/>
  <c r="F12" i="7" s="1"/>
  <c r="M154" i="5"/>
  <c r="E41" i="7" s="1"/>
  <c r="M138" i="5"/>
  <c r="E25" i="7" s="1"/>
  <c r="M122" i="5"/>
  <c r="E9" i="7" s="1"/>
  <c r="M106" i="5"/>
  <c r="D38" i="7" s="1"/>
  <c r="M90" i="5"/>
  <c r="D22" i="7" s="1"/>
  <c r="M74" i="5"/>
  <c r="D6" i="7" s="1"/>
  <c r="M26" i="5"/>
  <c r="C3" i="7" s="1"/>
  <c r="M153" i="5"/>
  <c r="E40" i="7" s="1"/>
  <c r="M137" i="5"/>
  <c r="E24" i="7" s="1"/>
  <c r="M121" i="5"/>
  <c r="E8" i="7" s="1"/>
  <c r="M105" i="5"/>
  <c r="D37" i="7" s="1"/>
  <c r="M89" i="5"/>
  <c r="D21" i="7" s="1"/>
  <c r="M73" i="5"/>
  <c r="D5" i="7" s="1"/>
  <c r="M57" i="5"/>
  <c r="C34" i="7" s="1"/>
  <c r="M41" i="5"/>
  <c r="C18" i="7" s="1"/>
  <c r="M25" i="5"/>
  <c r="C2" i="7" s="1"/>
  <c r="M8" i="5"/>
  <c r="M6" i="5"/>
  <c r="M19" i="5"/>
  <c r="M3" i="5"/>
  <c r="M205" i="5" l="1"/>
</calcChain>
</file>

<file path=xl/sharedStrings.xml><?xml version="1.0" encoding="utf-8"?>
<sst xmlns="http://schemas.openxmlformats.org/spreadsheetml/2006/main" count="898" uniqueCount="125">
  <si>
    <t>Kvalitet</t>
  </si>
  <si>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</si>
  <si>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</si>
  <si>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</si>
  <si>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</si>
  <si>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</si>
  <si>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</si>
  <si>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&lt;14 d och &gt;70 % [Dagar]</t>
  </si>
  <si>
    <t>OK &lt;14 Dagar</t>
  </si>
  <si>
    <t>&lt;21 d och &gt;70 % [Dagar]</t>
  </si>
  <si>
    <t>OK &lt;21 Dagar</t>
  </si>
  <si>
    <t>Kommentar</t>
  </si>
  <si>
    <t>Åtgärdskåd</t>
  </si>
  <si>
    <t>C20/25</t>
  </si>
  <si>
    <t>-</t>
  </si>
  <si>
    <t>4.8</t>
  </si>
  <si>
    <t>OK14</t>
  </si>
  <si>
    <t>5.3</t>
  </si>
  <si>
    <t>5.5</t>
  </si>
  <si>
    <t>5.6</t>
  </si>
  <si>
    <t>6.2</t>
  </si>
  <si>
    <t>6.9</t>
  </si>
  <si>
    <t>7.2</t>
  </si>
  <si>
    <t>7.3</t>
  </si>
  <si>
    <t>8.6</t>
  </si>
  <si>
    <t>9.5</t>
  </si>
  <si>
    <t>9.9</t>
  </si>
  <si>
    <t>10.1</t>
  </si>
  <si>
    <t>12.5</t>
  </si>
  <si>
    <t>11.9</t>
  </si>
  <si>
    <t>13.3</t>
  </si>
  <si>
    <t>13.5</t>
  </si>
  <si>
    <t>12.9</t>
  </si>
  <si>
    <t>Presenning</t>
  </si>
  <si>
    <t>13.9</t>
  </si>
  <si>
    <t>11.4</t>
  </si>
  <si>
    <t>11.6</t>
  </si>
  <si>
    <t>13.6</t>
  </si>
  <si>
    <t>12.7</t>
  </si>
  <si>
    <t>Frys innan täck</t>
  </si>
  <si>
    <t>C28/35</t>
  </si>
  <si>
    <t>13.2</t>
  </si>
  <si>
    <t>C35/45</t>
  </si>
  <si>
    <t>12.8</t>
  </si>
  <si>
    <t>13.8</t>
  </si>
  <si>
    <t>OK under 14 D</t>
  </si>
  <si>
    <t>6.8</t>
  </si>
  <si>
    <t>7.1</t>
  </si>
  <si>
    <t>8.2</t>
  </si>
  <si>
    <t>8.9</t>
  </si>
  <si>
    <t>9.2</t>
  </si>
  <si>
    <t>9.3</t>
  </si>
  <si>
    <t>11.3</t>
  </si>
  <si>
    <t>12.2</t>
  </si>
  <si>
    <t>12.6</t>
  </si>
  <si>
    <t>13.7</t>
  </si>
  <si>
    <t>10.2</t>
  </si>
  <si>
    <t>10.3</t>
  </si>
  <si>
    <t>10.5</t>
  </si>
  <si>
    <t>11.5</t>
  </si>
  <si>
    <t>Tidig frysning</t>
  </si>
  <si>
    <t>C40/50</t>
  </si>
  <si>
    <t>16.1</t>
  </si>
  <si>
    <t>OK21</t>
  </si>
  <si>
    <t>7.5</t>
  </si>
  <si>
    <t>7.7</t>
  </si>
  <si>
    <t>7.8</t>
  </si>
  <si>
    <t>10.8</t>
  </si>
  <si>
    <t>11.8</t>
  </si>
  <si>
    <t>12.4</t>
  </si>
  <si>
    <t>Fryser innan täck</t>
  </si>
  <si>
    <t>C25/30</t>
  </si>
  <si>
    <t>Når ej 70%</t>
  </si>
  <si>
    <t>OK14 under 14 D</t>
  </si>
  <si>
    <t>8.1</t>
  </si>
  <si>
    <t>8.3</t>
  </si>
  <si>
    <t>8.4</t>
  </si>
  <si>
    <t>10.7</t>
  </si>
  <si>
    <t>11.1</t>
  </si>
  <si>
    <t>13.1</t>
  </si>
  <si>
    <t>13.4</t>
  </si>
  <si>
    <t>14.9</t>
  </si>
  <si>
    <t>15.5</t>
  </si>
  <si>
    <t>TIdig frysning</t>
  </si>
  <si>
    <t>10%</t>
  </si>
  <si>
    <t>20%</t>
  </si>
  <si>
    <t>30%</t>
  </si>
  <si>
    <t>40%</t>
  </si>
  <si>
    <t>Column1</t>
  </si>
  <si>
    <t>Åtgärdssvårighet</t>
  </si>
  <si>
    <t>Nummer</t>
  </si>
  <si>
    <t>Total antal paket</t>
  </si>
  <si>
    <t>Paket</t>
  </si>
  <si>
    <t>Betongkvalitet</t>
  </si>
  <si>
    <t>Gjuttemperatur (varmbetong)</t>
  </si>
  <si>
    <t>Ok under 21 D</t>
  </si>
  <si>
    <t>Jobbighetsnivå</t>
  </si>
  <si>
    <t>Temperatur [°C]</t>
  </si>
  <si>
    <t>Vind [m/s]</t>
  </si>
  <si>
    <t>10% Slagg</t>
  </si>
  <si>
    <t>20% Slagg</t>
  </si>
  <si>
    <t>30% Slagg</t>
  </si>
  <si>
    <t>40% Slagg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</si>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</sst>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9" xfId="0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9" fontId="0" fillId="0" borderId="25" xfId="0" applyNumberFormat="1" applyBorder="1"/>
    <xf numFmtId="9" fontId="0" fillId="0" borderId="26" xfId="0" applyNumberFormat="1" applyBorder="1"/>
    <xf numFmtId="0" fontId="1" fillId="0" borderId="27" xfId="0" applyFont="1" applyBorder="1"/>
    <xf numFmtId="0" fontId="1" fillId="0" borderId="28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44" xfId="0" applyBorder="1"/>
    <xf numFmtId="0" fontId="0" fillId="0" borderId="41" xfId="0" applyBorder="1"/>
    <xf numFmtId="0" fontId="0" fillId="0" borderId="4" xfId="0" applyBorder="1"/>
    <xf numFmtId="0" fontId="0" fillId="0" borderId="37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3" xfId="0" applyBorder="1"/>
    <xf numFmtId="0" fontId="0" fillId="0" borderId="52" xfId="0" applyBorder="1"/>
    <xf numFmtId="0" fontId="4" fillId="0" borderId="43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6" fillId="0" borderId="5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43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2" xfId="0" applyBorder="1" applyAlignment="1">
      <alignment horizontal="center"/>
    </xf>
  </cellXfs>
  <cellStyles count="1">
    <cellStyle name="Normal" xfId="0" builtinId="0"/>
  </cellStyles>
  <dxfs count="114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540F-6D64-4945-8E3A-E73BBAD63E67}" name="Table1" displayName="Table1" ref="A1:M46" totalsRowShown="0" headerRowDxfId="85" headerRowBorderDxfId="8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0E53E477-0967-4F6F-96B9-F1AA9FD6ABF0}" name="Kvalitet" dataDxfId="83"/>
    <tableColumn id="2" xr3:uid="{7EF9335F-5969-4D60-8910-65291F04DF13}" name="Gjuttemperatur" dataDxfId="82"/>
    <tableColumn id="3" xr3:uid="{408875C2-6864-4EFF-BC50-F3F73998A347}" name="Temperatur motgjutningsyta" dataDxfId="81"/>
    <tableColumn id="4" xr3:uid="{7A967A59-52B2-406B-AB0B-2694B01629B4}" name="Väderskydd, uppvärmning (ingen vind)" dataDxfId="80"/>
    <tableColumn id="5" xr3:uid="{FE767540-FD09-4273-AF43-FFCD27CB8638}" name="Täckning [mm]" dataDxfId="79"/>
    <tableColumn id="6" xr3:uid="{71B41BEC-1B5C-4116-9897-39A895780B63}" name="Temperatur" dataDxfId="78"/>
    <tableColumn id="7" xr3:uid="{C14D33D7-E3FD-4189-96AD-84399BF97A50}" name="Vind" dataDxfId="77"/>
    <tableColumn id="8" xr3:uid="{CDE4555D-D0D3-4024-BBD9-2D8277445955}" name="&lt;14 d och &gt;70 % [Dagar]" dataDxfId="76"/>
    <tableColumn id="13" xr3:uid="{42D80632-109C-47E6-9BAE-7A7120E71313}" name="OK &lt;14 Dagar" dataDxfId="75"/>
    <tableColumn id="12" xr3:uid="{E1CDE5EC-0D73-4C6F-8E58-1F5E1E9DF89A}" name="&lt;21 d och &gt;70 % [Dagar]" dataDxfId="74"/>
    <tableColumn id="14" xr3:uid="{2B03E516-F1A4-486E-AD41-017D15EE1061}" name="OK &lt;21 Dagar" dataDxfId="73"/>
    <tableColumn id="10" xr3:uid="{B6838A42-C44C-43F8-8009-3E08AB125187}" name="Kommentar" dataDxfId="72"/>
    <tableColumn id="9" xr3:uid="{41B5EBBE-A99A-4DFD-9522-7B2BD7286E8E}" name="Åtgärdskåd" dataDxfId="71">
      <calculatedColumnFormula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1CD3B5-1474-413F-8818-35B7EC0B7059}" name="Table14" displayName="Table14" ref="A1:M46" totalsRowShown="0" headerRowDxfId="70" headerRowBorderDxfId="69">
  <autoFilter ref="A1:M46" xr:uid="{D21CD3B5-1474-413F-8818-35B7EC0B7059}"/>
  <sortState xmlns:xlrd2="http://schemas.microsoft.com/office/spreadsheetml/2017/richdata2" ref="A2:L46">
    <sortCondition descending="1" ref="F1:F46"/>
  </sortState>
  <tableColumns count="13">
    <tableColumn id="1" xr3:uid="{FE0C8C27-C5DB-4F79-891F-57BCFC2453F0}" name="Kvalitet" dataDxfId="68"/>
    <tableColumn id="2" xr3:uid="{8264CCDE-6043-438A-B671-DD735189739A}" name="Gjuttemperatur" dataDxfId="67"/>
    <tableColumn id="3" xr3:uid="{70DDD4D5-58BD-4DA8-B862-1957C66DC43B}" name="Temperatur motgjutningsyta" dataDxfId="66"/>
    <tableColumn id="4" xr3:uid="{0DA89DBE-CD19-4B04-8464-6BA81DCE7D16}" name="Väderskydd, uppvärmning (ingen vind)" dataDxfId="65"/>
    <tableColumn id="5" xr3:uid="{FB00FE1F-CB0F-4666-AA73-12EB3B1F4485}" name="Täckning [mm]" dataDxfId="64"/>
    <tableColumn id="6" xr3:uid="{BF5CAC3E-BB3C-425F-B465-A16C0919B206}" name="Temperatur" dataDxfId="63"/>
    <tableColumn id="7" xr3:uid="{68E573BB-BF28-4665-BCAC-F911BE88C405}" name="Vind" dataDxfId="62"/>
    <tableColumn id="8" xr3:uid="{6FFA4CDF-4073-4097-9BC2-254DB6BF55F2}" name="&lt;14 d och &gt;70 % [Dagar]" dataDxfId="61"/>
    <tableColumn id="12" xr3:uid="{D7D8908A-30B5-4172-8C3E-E493354EA5D5}" name="OK under 14 D" dataDxfId="60"/>
    <tableColumn id="11" xr3:uid="{438BBE03-7FD1-45B9-BAE3-2953B07FD180}" name="&lt;21 d och &gt;70 % [Dagar]" dataDxfId="59"/>
    <tableColumn id="13" xr3:uid="{4680D912-FA4C-4920-93E2-6DF456B4FCD4}" name="OK &lt;21 Dagar" dataDxfId="58"/>
    <tableColumn id="10" xr3:uid="{6B9C1F7B-F3F7-4D66-A83D-2970D7BFBC0D}" name="Kommentar" dataDxfId="57"/>
    <tableColumn id="9" xr3:uid="{317CE43B-0DC2-477E-B960-8BE9E618BC06}" name="Åtgärdskåd" dataDxfId="56">
      <calculatedColumnFormula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75FA71-86D4-4272-B7C7-FEB4CFFB4527}" name="Table145" displayName="Table145" ref="A1:M46" totalsRowShown="0" headerRowDxfId="55" headerRowBorderDxfId="54">
  <autoFilter ref="A1:M46" xr:uid="{3C75FA71-86D4-4272-B7C7-FEB4CFFB4527}"/>
  <sortState xmlns:xlrd2="http://schemas.microsoft.com/office/spreadsheetml/2017/richdata2" ref="A2:L46">
    <sortCondition descending="1" ref="F1:F46"/>
  </sortState>
  <tableColumns count="13">
    <tableColumn id="1" xr3:uid="{F2AF4A17-AF7E-41FD-8D3A-09D6F8EDDD65}" name="Kvalitet" dataDxfId="53"/>
    <tableColumn id="2" xr3:uid="{2C65FF1D-1DBB-4F4F-A3F4-D152F7309381}" name="Gjuttemperatur" dataDxfId="52"/>
    <tableColumn id="3" xr3:uid="{6DF62D48-AD6B-4C65-B664-E877072C8EE6}" name="Temperatur motgjutningsyta" dataDxfId="51"/>
    <tableColumn id="4" xr3:uid="{3CE7F9A0-D8C9-4F52-9F8D-FC711C649117}" name="Väderskydd, uppvärmning (ingen vind)" dataDxfId="50"/>
    <tableColumn id="5" xr3:uid="{3CD1A1A7-51F2-4A66-AD4C-0B239CFE1ACD}" name="Täckning [mm]" dataDxfId="49"/>
    <tableColumn id="6" xr3:uid="{A9AF63EA-6197-44FB-839B-35EC2AB8FB47}" name="Temperatur" dataDxfId="48"/>
    <tableColumn id="7" xr3:uid="{E2EB5F49-6C5E-4932-A0F1-47F12E55C1D4}" name="Vind" dataDxfId="47"/>
    <tableColumn id="8" xr3:uid="{01DF4D98-B3A3-49FF-AE2C-9135275DC5F7}" name="&lt;14 d och &gt;70 % [Dagar]" dataDxfId="46"/>
    <tableColumn id="12" xr3:uid="{3153CA56-3568-4D35-9172-670E926F490C}" name="OK under 14 D" dataDxfId="45"/>
    <tableColumn id="11" xr3:uid="{782E1994-170E-4B1F-B43A-9DDAF7A138F6}" name="&lt;21 d och &gt;70 % [Dagar]" dataDxfId="44"/>
    <tableColumn id="13" xr3:uid="{2D09497A-CFE5-4315-9FD1-616C08EB8A34}" name="OK &lt;21 Dagar" dataDxfId="43"/>
    <tableColumn id="10" xr3:uid="{6A910B7C-B5FA-4219-A6A1-3B71B80977D7}" name="Kommentar" dataDxfId="42"/>
    <tableColumn id="9" xr3:uid="{CA38B271-D4D5-49E6-98F7-97AEC8AEEED5}" name="Åtgärdskåd" dataDxfId="41">
      <calculatedColumnFormula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325AE6-D534-4C40-A274-835750036E7E}" name="Table1456" displayName="Table1456" ref="A1:M46" totalsRowShown="0" headerRowDxfId="40" headerRowBorderDxfId="39">
  <autoFilter ref="A1:M46" xr:uid="{3C75FA71-86D4-4272-B7C7-FEB4CFFB4527}"/>
  <sortState xmlns:xlrd2="http://schemas.microsoft.com/office/spreadsheetml/2017/richdata2" ref="A2:L46">
    <sortCondition descending="1" ref="F1:F46"/>
  </sortState>
  <tableColumns count="13">
    <tableColumn id="1" xr3:uid="{32513A9D-E137-4351-9BC2-36F6BFBF9929}" name="Kvalitet" dataDxfId="38"/>
    <tableColumn id="2" xr3:uid="{9309854D-A0FA-4B67-8707-953AD7B64DFF}" name="Gjuttemperatur" dataDxfId="37"/>
    <tableColumn id="3" xr3:uid="{D67391F2-8841-41A1-B2E8-3BA2EDE6EC22}" name="Temperatur motgjutningsyta" dataDxfId="36"/>
    <tableColumn id="4" xr3:uid="{E49DD173-7A8B-4A4F-B93C-3862E241C033}" name="Väderskydd, uppvärmning (ingen vind)" dataDxfId="35"/>
    <tableColumn id="5" xr3:uid="{849CAFCD-5C0B-4743-B1B3-7D97564AE2A3}" name="Täckning [mm]" dataDxfId="34"/>
    <tableColumn id="6" xr3:uid="{81606361-60B8-404C-A4D5-8CB5749CA388}" name="Temperatur" dataDxfId="33"/>
    <tableColumn id="7" xr3:uid="{7A3ABACC-7F3A-4B22-93D7-6184B8097BBF}" name="Vind" dataDxfId="32"/>
    <tableColumn id="8" xr3:uid="{88BFE9A2-3E68-449B-B099-5BE25D003336}" name="&lt;14 d och &gt;70 % [Dagar]" dataDxfId="31"/>
    <tableColumn id="12" xr3:uid="{BDB73216-32E8-4E5E-AD23-B10FDD8FF2E2}" name="OK14 under 14 D" dataDxfId="30"/>
    <tableColumn id="11" xr3:uid="{B9A8B46F-A33C-4EA8-B0AD-EFB6A552D9F4}" name="&lt;21 d och &gt;70 % [Dagar]" dataDxfId="29"/>
    <tableColumn id="13" xr3:uid="{77D838BE-E85E-4215-9653-9DAF6FBCBD2D}" name="OK &lt;21 Dagar" dataDxfId="28"/>
    <tableColumn id="10" xr3:uid="{1D971305-AA1A-4146-B08E-CE265A9349BF}" name="Kommentar" dataDxfId="27"/>
    <tableColumn id="9" xr3:uid="{0BDE1D7D-F84B-4789-9425-9C8D1B7A472D}" name="Åtgärdskåd" dataDxfId="26">
      <calculatedColumnFormula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F46" totalsRowShown="0" headerRowDxfId="25" headerRowBorderDxfId="24">
  <autoFilter ref="A1:F46" xr:uid="{0BB1120E-CE91-4CD8-997C-2DE938FBF407}"/>
  <tableColumns count="6">
    <tableColumn id="1" xr3:uid="{3F8D47DC-CBE8-4175-9913-E0176FBABB41}" name="Temperatur"/>
    <tableColumn id="2" xr3:uid="{D90A8870-A10A-4C74-9279-24BA802D4AFB}" name="Vind"/>
    <tableColumn id="3" xr3:uid="{54D04A45-64DD-41A4-BCA6-A63F01E2A82A}" name="10%">
      <calculatedColumnFormula>'Bjälklag (10% slagg)'!M2</calculatedColumnFormula>
    </tableColumn>
    <tableColumn id="4" xr3:uid="{DD3D3939-6716-48E7-8CF9-62934939AD1B}" name="20%">
      <calculatedColumnFormula>'Bjälklag (20% slagg)'!M2</calculatedColumnFormula>
    </tableColumn>
    <tableColumn id="5" xr3:uid="{012579F0-B509-46A8-AFE0-45B71C4993DF}" name="30%">
      <calculatedColumnFormula>'Bjälklag (30% slagg)'!M2</calculatedColumnFormula>
    </tableColumn>
    <tableColumn id="6" xr3:uid="{CAF851EB-0542-4EE8-B6C9-F4565289114F}" name="40%" dataDxfId="23">
      <calculatedColumnFormula>'Bjälklag (40% slagg)'!M2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H1:M250" totalsRowShown="0">
  <autoFilter ref="H1:M250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22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24" totalsRowShown="0">
  <autoFilter ref="A1:J24" xr:uid="{345810A4-7D11-4B48-8FD9-43D48A738560}"/>
  <sortState xmlns:xlrd2="http://schemas.microsoft.com/office/spreadsheetml/2017/richdata2" ref="A2:J23">
    <sortCondition ref="B1:B23"/>
  </sortState>
  <tableColumns count="10">
    <tableColumn id="1" xr3:uid="{C350A2E8-4EA1-41E6-8B6D-2094DD6E81BF}" name="Paket"/>
    <tableColumn id="2" xr3:uid="{378D9ABC-063A-43E7-98CA-1E7510FFE6E4}" name="Betongkvalitet" dataDxfId="21"/>
    <tableColumn id="3" xr3:uid="{0C95AF02-4E12-467D-A075-EBD74310392E}" name="Gjuttemperatur (varmbetong)" dataDxfId="20"/>
    <tableColumn id="4" xr3:uid="{027178B4-01F4-4A7A-B491-89025E93544A}" name="Temperatur motgjutningsyta" dataDxfId="19"/>
    <tableColumn id="5" xr3:uid="{F71E9080-36C8-491D-ABC4-930CD82755ED}" name="Väderskydd, uppvärmning (ingen vind)" dataDxfId="18"/>
    <tableColumn id="6" xr3:uid="{B3939368-0769-4EFD-BA0D-50EFD1725AAD}" name="Täckning [mm]" dataDxfId="17"/>
    <tableColumn id="7" xr3:uid="{7942FDE3-4E64-4DD1-BBA2-558353403018}" name="OK under 14 D" dataDxfId="16"/>
    <tableColumn id="10" xr3:uid="{5D6EB567-B659-4051-AF9A-1995EA165204}" name="Ok under 21 D" dataDxfId="15"/>
    <tableColumn id="9" xr3:uid="{59158F46-AEE7-4140-9237-B99D678EAFF6}" name="Column1" dataDxfId="14">
      <calculatedColumnFormula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F46" totalsRowShown="0" headerRowDxfId="113" tableBorderDxfId="112">
  <autoFilter ref="A1:F46" xr:uid="{AA5D34C1-BEBA-41FB-9B95-289E1153E716}"/>
  <tableColumns count="6">
    <tableColumn id="1" xr3:uid="{D95FC912-C274-4441-A328-D7D7043D77D9}" name="Temperatur [°C]" dataDxfId="111"/>
    <tableColumn id="2" xr3:uid="{E5739E17-063A-4BFD-A7B1-BFF9B650C437}" name="Vind [m/s]" dataDxfId="110"/>
    <tableColumn id="3" xr3:uid="{608630C1-A48B-4156-8AD8-EB99E69EE3A6}" name="10% Slagg" dataDxfId="109">
      <calculatedColumnFormula>'Data till Lathund, Kådgenererin'!M25</calculatedColumnFormula>
    </tableColumn>
    <tableColumn id="4" xr3:uid="{951BD516-0DEA-4229-9895-5A7E0B0E1A33}" name="20% Slagg" dataDxfId="108">
      <calculatedColumnFormula>'Data till Lathund, Kådgenererin'!M70</calculatedColumnFormula>
    </tableColumn>
    <tableColumn id="5" xr3:uid="{C0AC1345-4710-4D44-B13B-9625EC5F4A88}" name="30% Slagg" dataDxfId="107">
      <calculatedColumnFormula>'Data till Lathund, Kådgenererin'!M115</calculatedColumnFormula>
    </tableColumn>
    <tableColumn id="6" xr3:uid="{FF64E311-DB46-4FC0-95C8-D41C6C004423}" name="40% Slagg" dataDxfId="106">
      <calculatedColumnFormula>'Data till Lathund, Kådgenererin'!M160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H50:O73" totalsRowShown="0" headerRowDxfId="105" dataDxfId="103" headerRowBorderDxfId="104" tableBorderDxfId="102" totalsRowBorderDxfId="101">
  <autoFilter ref="H50:O73" xr:uid="{F589F66F-79C3-47D1-9981-3883A7DD1338}"/>
  <sortState xmlns:xlrd2="http://schemas.microsoft.com/office/spreadsheetml/2017/richdata2" ref="H51:M73">
    <sortCondition ref="H50:H73"/>
  </sortState>
  <tableColumns count="8">
    <tableColumn id="1" xr3:uid="{22BBB2E0-222C-4E4C-A6CC-1344E94A72BA}" name="Paket" dataDxfId="100">
      <calculatedColumnFormula>'Data till lathund Åtgärder'!A2</calculatedColumnFormula>
    </tableColumn>
    <tableColumn id="2" xr3:uid="{94394B0E-7624-4B96-8382-5A629E6E6217}" name="Betongkvalitet" dataDxfId="99">
      <calculatedColumnFormula>'Data till lathund Åtgärder'!B2</calculatedColumnFormula>
    </tableColumn>
    <tableColumn id="3" xr3:uid="{017ED356-F79A-489F-97CC-35463042223C}" name="Gjuttemperatur" dataDxfId="98">
      <calculatedColumnFormula>'Data till lathund Åtgärder'!C2</calculatedColumnFormula>
    </tableColumn>
    <tableColumn id="4" xr3:uid="{69392CC2-8AC5-44C2-9E12-F9DD96A8C2BA}" name="Temperatur motgjutningsyta" dataDxfId="97">
      <calculatedColumnFormula>'Data till lathund Åtgärder'!D2</calculatedColumnFormula>
    </tableColumn>
    <tableColumn id="5" xr3:uid="{8B9303D9-BF87-48FE-8822-AC1CECC9E4F0}" name="Väderskydd med uppvärmning" dataDxfId="96">
      <calculatedColumnFormula>'Data till lathund Åtgärder'!E2</calculatedColumnFormula>
    </tableColumn>
    <tableColumn id="6" xr3:uid="{B7483DE5-C4F9-475F-8D0D-F96122DA7E14}" name="Täckning [mm]" dataDxfId="95">
      <calculatedColumnFormula>'Data till lathund Åtgärder'!F2</calculatedColumnFormula>
    </tableColumn>
    <tableColumn id="7" xr3:uid="{4D5A30EE-1649-42C0-8899-3E0B54D7DF86}" name="OK&lt;14D" dataDxfId="94">
      <calculatedColumnFormula>'Data till lathund Åtgärder'!G2</calculatedColumnFormula>
    </tableColumn>
    <tableColumn id="8" xr3:uid="{CDEDF46B-FDBB-441F-8820-C39B910B9BF2}" name="OK&lt;21D" dataDxfId="93">
      <calculatedColumnFormula>'Data till lathund Åtgärder'!H2</calculatedColumnFormula>
    </tableColumn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H75:L84" totalsRowShown="0" dataDxfId="92" tableBorderDxfId="91">
  <autoFilter ref="H75:L84" xr:uid="{E22BB4E2-23A1-4EA7-9081-1344A1661165}"/>
  <tableColumns count="5">
    <tableColumn id="1" xr3:uid="{FE9C781D-1694-4C5A-9F19-04719DEF522A}" name="Utomhustemperatur" dataDxfId="90"/>
    <tableColumn id="2" xr3:uid="{1125BDF9-5B0F-4AB0-B0BA-E26D3B52DFC0}" name="Väderskydd" dataDxfId="89"/>
    <tableColumn id="3" xr3:uid="{BCB07AE1-66ED-4F64-B08A-F6D7C88B3976}" name="Riktig temp under" dataDxfId="88">
      <calculatedColumnFormula>I76+H76</calculatedColumnFormula>
    </tableColumn>
    <tableColumn id="4" xr3:uid="{1ED68B08-8197-403D-8231-4BAB34D022EF}" name="Temperatur motgjutiningsyta" dataDxfId="87"/>
    <tableColumn id="5" xr3:uid="{34EF6F0F-A0DA-4728-88D1-A412521A4138}" name="Gjuttemperatur" dataDxfId="86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CEAF4-53F8-42E4-BFB0-A83543DBC36D}" name="Table2" displayName="Table2" ref="H10:L19" totalsRowShown="0" dataDxfId="13" tableBorderDxfId="12">
  <autoFilter ref="H10:L19" xr:uid="{F77CEAF4-53F8-42E4-BFB0-A83543DBC36D}"/>
  <tableColumns count="5">
    <tableColumn id="1" xr3:uid="{3782216B-D194-4273-AFF2-AE5433844836}" name="Utomhustemperatur" dataDxfId="11"/>
    <tableColumn id="2" xr3:uid="{5E249AB7-AE04-4EB7-BB2A-FC1AA8F65C90}" name="Väderskydd" dataDxfId="10"/>
    <tableColumn id="3" xr3:uid="{95DF43BB-35FC-46F4-8F7E-01084FCDB270}" name="Riktig temp under" dataDxfId="9">
      <calculatedColumnFormula>I11+H11</calculatedColumnFormula>
    </tableColumn>
    <tableColumn id="4" xr3:uid="{63CAF88B-4B1A-4C2A-A9C1-E3E2651C66BF}" name="Temperatur motgjutiningsyta" dataDxfId="8"/>
    <tableColumn id="5" xr3:uid="{0533A499-CA55-4111-AEC0-6DBBAFABBCE9}" name="Gjuttemperatur" dataDxfId="7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H3:I8" totalsRowShown="0" headerRowDxfId="6" headerRowBorderDxfId="5" tableBorderDxfId="4" totalsRowBorderDxfId="3">
  <autoFilter ref="H3:I8" xr:uid="{805AD252-0777-4FDA-8138-5BF7FEB75FAE}"/>
  <tableColumns count="2">
    <tableColumn id="1" xr3:uid="{37A468CD-FB5E-488F-8B36-2A7A33DFEC8E}" name="Utgångspunkt" dataDxfId="2"/>
    <tableColumn id="2" xr3:uid="{AF7F9697-54B5-41E2-AB3B-F1E40B1F46C2}" name="Värden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C518-3BB9-4361-A3F6-977E56AC6228}">
  <dimension ref="A1:V46"/>
  <sheetViews>
    <sheetView topLeftCell="A7" zoomScale="85" zoomScaleNormal="85" workbookViewId="0">
      <selection activeCell="M3" sqref="M3"/>
    </sheetView>
  </sheetViews>
  <sheetFormatPr defaultRowHeight="15" x14ac:dyDescent="0.25"/>
  <cols>
    <col min="1" max="1" width="10.140625" bestFit="1" customWidth="1"/>
    <col min="2" max="2" width="16.28515625" style="2" customWidth="1"/>
    <col min="3" max="3" width="17.5703125" style="2" customWidth="1"/>
    <col min="4" max="4" width="24.28515625" style="2" customWidth="1"/>
    <col min="5" max="5" width="16.5703125" style="2" bestFit="1" customWidth="1"/>
    <col min="6" max="6" width="19.7109375" customWidth="1"/>
    <col min="7" max="7" width="10.57031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13</v>
      </c>
      <c r="B2" s="22">
        <v>15</v>
      </c>
      <c r="C2" s="22">
        <v>20</v>
      </c>
      <c r="D2" s="23" t="s">
        <v>14</v>
      </c>
      <c r="E2" s="24">
        <v>0</v>
      </c>
      <c r="F2" s="5">
        <v>20</v>
      </c>
      <c r="G2" s="7">
        <v>0</v>
      </c>
      <c r="H2" s="13" t="s">
        <v>15</v>
      </c>
      <c r="I2" s="22" t="s">
        <v>16</v>
      </c>
      <c r="J2" s="22"/>
      <c r="K2" s="22"/>
      <c r="L2" s="7"/>
      <c r="M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C20/251520-0OK14</v>
      </c>
      <c r="Q2" s="1"/>
    </row>
    <row r="3" spans="1:22" x14ac:dyDescent="0.25">
      <c r="A3" s="8" t="s">
        <v>13</v>
      </c>
      <c r="B3" s="2">
        <v>15</v>
      </c>
      <c r="C3" s="2">
        <v>20</v>
      </c>
      <c r="D3" s="2" t="s">
        <v>14</v>
      </c>
      <c r="E3" s="25">
        <v>0</v>
      </c>
      <c r="F3" s="8">
        <v>20</v>
      </c>
      <c r="G3" s="9">
        <v>2</v>
      </c>
      <c r="H3" s="14" t="s">
        <v>17</v>
      </c>
      <c r="I3" s="2" t="s">
        <v>16</v>
      </c>
      <c r="J3" s="2"/>
      <c r="K3" s="2"/>
      <c r="L3" s="9"/>
      <c r="M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C20/251520-0OK14</v>
      </c>
    </row>
    <row r="4" spans="1:22" x14ac:dyDescent="0.25">
      <c r="A4" s="8" t="s">
        <v>13</v>
      </c>
      <c r="B4" s="2">
        <v>15</v>
      </c>
      <c r="C4" s="2">
        <v>20</v>
      </c>
      <c r="D4" s="2" t="s">
        <v>14</v>
      </c>
      <c r="E4" s="25">
        <v>0</v>
      </c>
      <c r="F4" s="8">
        <v>20</v>
      </c>
      <c r="G4" s="9">
        <v>7</v>
      </c>
      <c r="H4" s="14" t="s">
        <v>18</v>
      </c>
      <c r="I4" s="2" t="s">
        <v>16</v>
      </c>
      <c r="J4" s="2"/>
      <c r="K4" s="2"/>
      <c r="L4" s="9"/>
      <c r="M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C20/251520-0OK14</v>
      </c>
    </row>
    <row r="5" spans="1:22" x14ac:dyDescent="0.25">
      <c r="A5" s="8" t="s">
        <v>13</v>
      </c>
      <c r="B5" s="2">
        <v>15</v>
      </c>
      <c r="C5" s="2">
        <v>20</v>
      </c>
      <c r="D5" s="2" t="s">
        <v>14</v>
      </c>
      <c r="E5" s="25">
        <v>0</v>
      </c>
      <c r="F5" s="8">
        <v>20</v>
      </c>
      <c r="G5" s="9">
        <v>12</v>
      </c>
      <c r="H5" s="14" t="s">
        <v>19</v>
      </c>
      <c r="I5" s="2" t="s">
        <v>16</v>
      </c>
      <c r="J5" s="2"/>
      <c r="K5" s="2"/>
      <c r="L5" s="9"/>
      <c r="M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C20/251520-0OK14</v>
      </c>
    </row>
    <row r="6" spans="1:22" ht="15.75" thickBot="1" x14ac:dyDescent="0.3">
      <c r="A6" s="10" t="s">
        <v>13</v>
      </c>
      <c r="B6" s="26">
        <v>15</v>
      </c>
      <c r="C6" s="26">
        <v>20</v>
      </c>
      <c r="D6" s="26" t="s">
        <v>14</v>
      </c>
      <c r="E6" s="27">
        <v>0</v>
      </c>
      <c r="F6" s="10">
        <v>20</v>
      </c>
      <c r="G6" s="12">
        <v>20</v>
      </c>
      <c r="H6" s="15" t="s">
        <v>19</v>
      </c>
      <c r="I6" s="26" t="s">
        <v>16</v>
      </c>
      <c r="J6" s="26"/>
      <c r="K6" s="26"/>
      <c r="L6" s="12"/>
      <c r="M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C20/251520-0OK14</v>
      </c>
    </row>
    <row r="7" spans="1:22" x14ac:dyDescent="0.25">
      <c r="A7" s="5" t="s">
        <v>13</v>
      </c>
      <c r="B7" s="22">
        <v>15</v>
      </c>
      <c r="C7" s="22">
        <v>15</v>
      </c>
      <c r="D7" s="22" t="s">
        <v>14</v>
      </c>
      <c r="E7" s="24">
        <v>0</v>
      </c>
      <c r="F7" s="5">
        <v>15</v>
      </c>
      <c r="G7" s="7">
        <v>0</v>
      </c>
      <c r="H7" s="13" t="s">
        <v>20</v>
      </c>
      <c r="I7" s="22" t="s">
        <v>16</v>
      </c>
      <c r="J7" s="22"/>
      <c r="K7" s="22"/>
      <c r="L7" s="7"/>
      <c r="M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C20/251515-0OK14</v>
      </c>
    </row>
    <row r="8" spans="1:22" x14ac:dyDescent="0.25">
      <c r="A8" s="8" t="s">
        <v>13</v>
      </c>
      <c r="B8" s="2">
        <v>15</v>
      </c>
      <c r="C8" s="2">
        <v>15</v>
      </c>
      <c r="D8" s="2" t="s">
        <v>14</v>
      </c>
      <c r="E8" s="25">
        <v>0</v>
      </c>
      <c r="F8" s="8">
        <v>15</v>
      </c>
      <c r="G8" s="9">
        <v>2</v>
      </c>
      <c r="H8" s="14" t="s">
        <v>21</v>
      </c>
      <c r="I8" s="2" t="s">
        <v>16</v>
      </c>
      <c r="J8" s="2"/>
      <c r="K8" s="2"/>
      <c r="L8" s="9"/>
      <c r="M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C20/251515-0OK14</v>
      </c>
    </row>
    <row r="9" spans="1:22" x14ac:dyDescent="0.25">
      <c r="A9" s="8" t="s">
        <v>13</v>
      </c>
      <c r="B9" s="2">
        <v>15</v>
      </c>
      <c r="C9" s="2">
        <v>15</v>
      </c>
      <c r="D9" s="2" t="s">
        <v>14</v>
      </c>
      <c r="E9" s="25">
        <v>0</v>
      </c>
      <c r="F9" s="8">
        <v>15</v>
      </c>
      <c r="G9" s="9">
        <v>7</v>
      </c>
      <c r="H9" s="14" t="s">
        <v>22</v>
      </c>
      <c r="I9" s="2" t="s">
        <v>16</v>
      </c>
      <c r="J9" s="2"/>
      <c r="K9" s="2"/>
      <c r="L9" s="9"/>
      <c r="M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C20/251515-0OK14</v>
      </c>
    </row>
    <row r="10" spans="1:22" x14ac:dyDescent="0.25">
      <c r="A10" s="8" t="s">
        <v>13</v>
      </c>
      <c r="B10" s="2">
        <v>15</v>
      </c>
      <c r="C10" s="2">
        <v>15</v>
      </c>
      <c r="D10" s="2" t="s">
        <v>14</v>
      </c>
      <c r="E10" s="25">
        <v>0</v>
      </c>
      <c r="F10" s="8">
        <v>15</v>
      </c>
      <c r="G10" s="9">
        <v>12</v>
      </c>
      <c r="H10" s="14" t="s">
        <v>23</v>
      </c>
      <c r="I10" s="2" t="s">
        <v>16</v>
      </c>
      <c r="J10" s="2"/>
      <c r="K10" s="2"/>
      <c r="L10" s="9"/>
      <c r="M1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C20/251515-0OK14</v>
      </c>
    </row>
    <row r="11" spans="1:22" ht="15.75" thickBot="1" x14ac:dyDescent="0.3">
      <c r="A11" s="10" t="s">
        <v>13</v>
      </c>
      <c r="B11" s="26">
        <v>15</v>
      </c>
      <c r="C11" s="26">
        <v>15</v>
      </c>
      <c r="D11" s="26" t="s">
        <v>14</v>
      </c>
      <c r="E11" s="27">
        <v>0</v>
      </c>
      <c r="F11" s="10">
        <v>15</v>
      </c>
      <c r="G11" s="12">
        <v>20</v>
      </c>
      <c r="H11" s="15" t="s">
        <v>23</v>
      </c>
      <c r="I11" s="26" t="s">
        <v>16</v>
      </c>
      <c r="J11" s="26"/>
      <c r="K11" s="26"/>
      <c r="L11" s="12"/>
      <c r="M1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C20/251515-0OK14</v>
      </c>
    </row>
    <row r="12" spans="1:22" x14ac:dyDescent="0.25">
      <c r="A12" s="5" t="s">
        <v>13</v>
      </c>
      <c r="B12" s="22">
        <v>15</v>
      </c>
      <c r="C12" s="22">
        <v>10</v>
      </c>
      <c r="D12" s="22" t="s">
        <v>14</v>
      </c>
      <c r="E12" s="24">
        <v>0</v>
      </c>
      <c r="F12" s="5">
        <v>10</v>
      </c>
      <c r="G12" s="7">
        <v>0</v>
      </c>
      <c r="H12" s="13" t="s">
        <v>24</v>
      </c>
      <c r="I12" s="22" t="s">
        <v>16</v>
      </c>
      <c r="J12" s="22"/>
      <c r="K12" s="22"/>
      <c r="L12" s="7"/>
      <c r="M1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C20/251510-0OK14</v>
      </c>
    </row>
    <row r="13" spans="1:22" x14ac:dyDescent="0.25">
      <c r="A13" s="8" t="s">
        <v>13</v>
      </c>
      <c r="B13" s="2">
        <v>15</v>
      </c>
      <c r="C13" s="2">
        <v>10</v>
      </c>
      <c r="D13" s="2" t="s">
        <v>14</v>
      </c>
      <c r="E13" s="25">
        <v>0</v>
      </c>
      <c r="F13" s="8">
        <v>10</v>
      </c>
      <c r="G13" s="9">
        <v>2</v>
      </c>
      <c r="H13" s="14" t="s">
        <v>25</v>
      </c>
      <c r="I13" s="2" t="s">
        <v>16</v>
      </c>
      <c r="J13" s="2"/>
      <c r="K13" s="2"/>
      <c r="L13" s="9"/>
      <c r="M1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C20/251510-0OK14</v>
      </c>
    </row>
    <row r="14" spans="1:22" x14ac:dyDescent="0.25">
      <c r="A14" s="8" t="s">
        <v>13</v>
      </c>
      <c r="B14" s="2">
        <v>15</v>
      </c>
      <c r="C14" s="2">
        <v>10</v>
      </c>
      <c r="D14" s="2" t="s">
        <v>14</v>
      </c>
      <c r="E14" s="25">
        <v>0</v>
      </c>
      <c r="F14" s="8">
        <v>10</v>
      </c>
      <c r="G14" s="9">
        <v>7</v>
      </c>
      <c r="H14" s="14" t="s">
        <v>26</v>
      </c>
      <c r="I14" s="2" t="s">
        <v>16</v>
      </c>
      <c r="J14" s="2"/>
      <c r="K14" s="2"/>
      <c r="L14" s="9"/>
      <c r="M1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C20/251510-0OK14</v>
      </c>
    </row>
    <row r="15" spans="1:22" x14ac:dyDescent="0.25">
      <c r="A15" s="8" t="s">
        <v>13</v>
      </c>
      <c r="B15" s="2">
        <v>15</v>
      </c>
      <c r="C15" s="2">
        <v>10</v>
      </c>
      <c r="D15" s="2" t="s">
        <v>14</v>
      </c>
      <c r="E15" s="25">
        <v>0</v>
      </c>
      <c r="F15" s="8">
        <v>10</v>
      </c>
      <c r="G15" s="9">
        <v>12</v>
      </c>
      <c r="H15" s="14">
        <v>10</v>
      </c>
      <c r="I15" s="2" t="s">
        <v>16</v>
      </c>
      <c r="J15" s="2"/>
      <c r="K15" s="2"/>
      <c r="L15" s="9"/>
      <c r="M1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C20/251510-0OK14</v>
      </c>
    </row>
    <row r="16" spans="1:22" ht="15.75" thickBot="1" x14ac:dyDescent="0.3">
      <c r="A16" s="10" t="s">
        <v>13</v>
      </c>
      <c r="B16" s="26">
        <v>15</v>
      </c>
      <c r="C16" s="26">
        <v>10</v>
      </c>
      <c r="D16" s="26" t="s">
        <v>14</v>
      </c>
      <c r="E16" s="27">
        <v>0</v>
      </c>
      <c r="F16" s="10">
        <v>10</v>
      </c>
      <c r="G16" s="12">
        <v>20</v>
      </c>
      <c r="H16" s="15" t="s">
        <v>27</v>
      </c>
      <c r="I16" s="26" t="s">
        <v>16</v>
      </c>
      <c r="J16" s="26"/>
      <c r="K16" s="26"/>
      <c r="L16" s="12"/>
      <c r="M1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C20/251510-0OK14</v>
      </c>
    </row>
    <row r="17" spans="1:13" x14ac:dyDescent="0.25">
      <c r="A17" s="5" t="s">
        <v>13</v>
      </c>
      <c r="B17" s="22">
        <v>20</v>
      </c>
      <c r="C17" s="22">
        <v>5</v>
      </c>
      <c r="D17" s="22" t="s">
        <v>14</v>
      </c>
      <c r="E17" s="24">
        <v>0</v>
      </c>
      <c r="F17" s="5">
        <v>5</v>
      </c>
      <c r="G17" s="7">
        <v>0</v>
      </c>
      <c r="H17" s="13" t="s">
        <v>28</v>
      </c>
      <c r="I17" s="22" t="s">
        <v>16</v>
      </c>
      <c r="J17" s="22"/>
      <c r="K17" s="22"/>
      <c r="L17" s="7"/>
      <c r="M1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C20/25205-0OK14</v>
      </c>
    </row>
    <row r="18" spans="1:13" x14ac:dyDescent="0.25">
      <c r="A18" s="8" t="s">
        <v>13</v>
      </c>
      <c r="B18" s="2">
        <v>20</v>
      </c>
      <c r="C18" s="2">
        <v>5</v>
      </c>
      <c r="D18" s="2">
        <v>5</v>
      </c>
      <c r="E18" s="25">
        <v>0</v>
      </c>
      <c r="F18" s="8">
        <v>5</v>
      </c>
      <c r="G18" s="9">
        <v>2</v>
      </c>
      <c r="H18" s="14" t="s">
        <v>29</v>
      </c>
      <c r="I18" s="2" t="s">
        <v>16</v>
      </c>
      <c r="J18" s="2"/>
      <c r="K18" s="2"/>
      <c r="L18" s="9"/>
      <c r="M1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C20/2520550OK14</v>
      </c>
    </row>
    <row r="19" spans="1:13" x14ac:dyDescent="0.25">
      <c r="A19" s="8" t="s">
        <v>13</v>
      </c>
      <c r="B19" s="2">
        <v>20</v>
      </c>
      <c r="C19" s="2">
        <v>5</v>
      </c>
      <c r="D19" s="2">
        <v>5</v>
      </c>
      <c r="E19" s="25">
        <v>0</v>
      </c>
      <c r="F19" s="8">
        <v>5</v>
      </c>
      <c r="G19" s="9">
        <v>7</v>
      </c>
      <c r="H19" s="14">
        <v>13</v>
      </c>
      <c r="I19" s="2" t="s">
        <v>16</v>
      </c>
      <c r="J19" s="2"/>
      <c r="K19" s="2"/>
      <c r="L19" s="9"/>
      <c r="M1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C20/2520550OK14</v>
      </c>
    </row>
    <row r="20" spans="1:13" x14ac:dyDescent="0.25">
      <c r="A20" s="8" t="s">
        <v>13</v>
      </c>
      <c r="B20" s="2">
        <v>20</v>
      </c>
      <c r="C20" s="2">
        <v>5</v>
      </c>
      <c r="D20" s="2">
        <v>5</v>
      </c>
      <c r="E20" s="25">
        <v>0</v>
      </c>
      <c r="F20" s="8">
        <v>5</v>
      </c>
      <c r="G20" s="9">
        <v>12</v>
      </c>
      <c r="H20" s="14" t="s">
        <v>30</v>
      </c>
      <c r="I20" s="2" t="s">
        <v>16</v>
      </c>
      <c r="J20" s="2"/>
      <c r="K20" s="2"/>
      <c r="L20" s="9"/>
      <c r="M2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C20/2520550OK14</v>
      </c>
    </row>
    <row r="21" spans="1:13" ht="15.75" thickBot="1" x14ac:dyDescent="0.3">
      <c r="A21" s="10" t="s">
        <v>13</v>
      </c>
      <c r="B21" s="26">
        <v>20</v>
      </c>
      <c r="C21" s="26">
        <v>5</v>
      </c>
      <c r="D21" s="26">
        <v>5</v>
      </c>
      <c r="E21" s="27">
        <v>0</v>
      </c>
      <c r="F21" s="10">
        <v>5</v>
      </c>
      <c r="G21" s="12">
        <v>20</v>
      </c>
      <c r="H21" s="15" t="s">
        <v>31</v>
      </c>
      <c r="I21" s="26" t="s">
        <v>16</v>
      </c>
      <c r="J21" s="26"/>
      <c r="K21" s="26"/>
      <c r="L21" s="12"/>
      <c r="M2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C20/2520550OK14</v>
      </c>
    </row>
    <row r="22" spans="1:13" x14ac:dyDescent="0.25">
      <c r="A22" s="5" t="s">
        <v>13</v>
      </c>
      <c r="B22" s="22">
        <v>20</v>
      </c>
      <c r="C22" s="22">
        <v>5</v>
      </c>
      <c r="D22" s="22">
        <v>10</v>
      </c>
      <c r="E22" s="24">
        <v>0</v>
      </c>
      <c r="F22" s="5">
        <v>0</v>
      </c>
      <c r="G22" s="7">
        <v>0</v>
      </c>
      <c r="H22" s="13" t="s">
        <v>32</v>
      </c>
      <c r="I22" s="22" t="s">
        <v>16</v>
      </c>
      <c r="J22" s="22"/>
      <c r="K22" s="22"/>
      <c r="L22" s="7"/>
      <c r="M2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C20/25205100OK14</v>
      </c>
    </row>
    <row r="23" spans="1:13" x14ac:dyDescent="0.25">
      <c r="A23" s="8" t="s">
        <v>13</v>
      </c>
      <c r="B23" s="2">
        <v>20</v>
      </c>
      <c r="C23" s="2">
        <v>5</v>
      </c>
      <c r="D23" s="2">
        <v>15</v>
      </c>
      <c r="E23" s="25">
        <v>0</v>
      </c>
      <c r="F23" s="8">
        <v>0</v>
      </c>
      <c r="G23" s="9">
        <v>2</v>
      </c>
      <c r="H23" s="14">
        <v>14</v>
      </c>
      <c r="I23" s="2" t="s">
        <v>16</v>
      </c>
      <c r="J23" s="2"/>
      <c r="K23" s="2"/>
      <c r="L23" s="9"/>
      <c r="M2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C20/25205150OK14</v>
      </c>
    </row>
    <row r="24" spans="1:13" x14ac:dyDescent="0.25">
      <c r="A24" s="8" t="s">
        <v>13</v>
      </c>
      <c r="B24" s="2">
        <v>20</v>
      </c>
      <c r="C24" s="2">
        <v>5</v>
      </c>
      <c r="D24" s="2">
        <v>20</v>
      </c>
      <c r="E24" s="25" t="s">
        <v>33</v>
      </c>
      <c r="F24" s="8">
        <v>0</v>
      </c>
      <c r="G24" s="9">
        <v>7</v>
      </c>
      <c r="H24" s="14" t="s">
        <v>32</v>
      </c>
      <c r="I24" s="2" t="s">
        <v>16</v>
      </c>
      <c r="J24" s="2"/>
      <c r="K24" s="2"/>
      <c r="L24" s="9"/>
      <c r="M2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C20/2520520PresenningOK14</v>
      </c>
    </row>
    <row r="25" spans="1:13" x14ac:dyDescent="0.25">
      <c r="A25" s="8" t="s">
        <v>13</v>
      </c>
      <c r="B25" s="2">
        <v>20</v>
      </c>
      <c r="C25" s="2">
        <v>5</v>
      </c>
      <c r="D25" s="2">
        <v>20</v>
      </c>
      <c r="E25" s="25" t="s">
        <v>33</v>
      </c>
      <c r="F25" s="8">
        <v>0</v>
      </c>
      <c r="G25" s="9">
        <v>12</v>
      </c>
      <c r="H25" s="14" t="s">
        <v>31</v>
      </c>
      <c r="I25" s="2" t="s">
        <v>16</v>
      </c>
      <c r="J25" s="2"/>
      <c r="K25" s="2"/>
      <c r="L25" s="9"/>
      <c r="M2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C20/2520520PresenningOK14</v>
      </c>
    </row>
    <row r="26" spans="1:13" ht="15.75" thickBot="1" x14ac:dyDescent="0.3">
      <c r="A26" s="10" t="s">
        <v>13</v>
      </c>
      <c r="B26" s="26">
        <v>20</v>
      </c>
      <c r="C26" s="26">
        <v>5</v>
      </c>
      <c r="D26" s="26">
        <v>20</v>
      </c>
      <c r="E26" s="27" t="s">
        <v>33</v>
      </c>
      <c r="F26" s="10">
        <v>0</v>
      </c>
      <c r="G26" s="12">
        <v>20</v>
      </c>
      <c r="H26" s="15" t="s">
        <v>34</v>
      </c>
      <c r="I26" s="26" t="s">
        <v>16</v>
      </c>
      <c r="J26" s="26"/>
      <c r="K26" s="26"/>
      <c r="L26" s="12"/>
      <c r="M2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C20/2520520PresenningOK14</v>
      </c>
    </row>
    <row r="27" spans="1:13" x14ac:dyDescent="0.25">
      <c r="A27" s="5" t="s">
        <v>13</v>
      </c>
      <c r="B27" s="22">
        <v>20</v>
      </c>
      <c r="C27" s="22">
        <v>5</v>
      </c>
      <c r="D27" s="22">
        <v>20</v>
      </c>
      <c r="E27" s="24">
        <v>0</v>
      </c>
      <c r="F27" s="5">
        <v>-5</v>
      </c>
      <c r="G27" s="7">
        <v>0</v>
      </c>
      <c r="H27" s="13" t="s">
        <v>30</v>
      </c>
      <c r="I27" s="22" t="s">
        <v>16</v>
      </c>
      <c r="J27" s="22"/>
      <c r="K27" s="22"/>
      <c r="L27" s="7"/>
      <c r="M2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C20/25205200OK14</v>
      </c>
    </row>
    <row r="28" spans="1:13" x14ac:dyDescent="0.25">
      <c r="A28" s="8" t="s">
        <v>13</v>
      </c>
      <c r="B28" s="2">
        <v>20</v>
      </c>
      <c r="C28" s="2">
        <v>5</v>
      </c>
      <c r="D28" s="2">
        <v>20</v>
      </c>
      <c r="E28" s="25">
        <v>10</v>
      </c>
      <c r="F28" s="8">
        <v>-5</v>
      </c>
      <c r="G28" s="9">
        <v>2</v>
      </c>
      <c r="H28" s="14">
        <v>10</v>
      </c>
      <c r="I28" s="2" t="s">
        <v>16</v>
      </c>
      <c r="J28" s="2"/>
      <c r="K28" s="2"/>
      <c r="L28" s="9"/>
      <c r="M2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C20/252052010OK14</v>
      </c>
    </row>
    <row r="29" spans="1:13" x14ac:dyDescent="0.25">
      <c r="A29" s="8" t="s">
        <v>13</v>
      </c>
      <c r="B29" s="2">
        <v>20</v>
      </c>
      <c r="C29" s="2">
        <v>5</v>
      </c>
      <c r="D29" s="2">
        <v>20</v>
      </c>
      <c r="E29" s="25">
        <v>10</v>
      </c>
      <c r="F29" s="8">
        <v>-5</v>
      </c>
      <c r="G29" s="9">
        <v>7</v>
      </c>
      <c r="H29" s="14">
        <v>11</v>
      </c>
      <c r="I29" s="2" t="s">
        <v>16</v>
      </c>
      <c r="J29" s="2"/>
      <c r="K29" s="2"/>
      <c r="L29" s="9"/>
      <c r="M2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C20/252052010OK14</v>
      </c>
    </row>
    <row r="30" spans="1:13" x14ac:dyDescent="0.25">
      <c r="A30" s="8" t="s">
        <v>13</v>
      </c>
      <c r="B30" s="2">
        <v>20</v>
      </c>
      <c r="C30" s="2">
        <v>5</v>
      </c>
      <c r="D30" s="2">
        <v>20</v>
      </c>
      <c r="E30" s="25">
        <v>10</v>
      </c>
      <c r="F30" s="8">
        <v>-5</v>
      </c>
      <c r="G30" s="9">
        <v>12</v>
      </c>
      <c r="H30" s="14" t="s">
        <v>35</v>
      </c>
      <c r="I30" s="2" t="s">
        <v>16</v>
      </c>
      <c r="J30" s="2"/>
      <c r="K30" s="2"/>
      <c r="L30" s="9"/>
      <c r="M3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C20/252052010OK14</v>
      </c>
    </row>
    <row r="31" spans="1:13" ht="15.75" thickBot="1" x14ac:dyDescent="0.3">
      <c r="A31" s="10" t="s">
        <v>13</v>
      </c>
      <c r="B31" s="26">
        <v>20</v>
      </c>
      <c r="C31" s="26">
        <v>5</v>
      </c>
      <c r="D31" s="26">
        <v>20</v>
      </c>
      <c r="E31" s="27">
        <v>10</v>
      </c>
      <c r="F31" s="10">
        <v>-5</v>
      </c>
      <c r="G31" s="12">
        <v>20</v>
      </c>
      <c r="H31" s="15" t="s">
        <v>36</v>
      </c>
      <c r="I31" s="26" t="s">
        <v>16</v>
      </c>
      <c r="J31" s="26"/>
      <c r="K31" s="26"/>
      <c r="L31" s="12"/>
      <c r="M3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C20/252052010OK14</v>
      </c>
    </row>
    <row r="32" spans="1:13" x14ac:dyDescent="0.25">
      <c r="A32" s="5" t="s">
        <v>13</v>
      </c>
      <c r="B32" s="22">
        <v>20</v>
      </c>
      <c r="C32" s="22">
        <v>5</v>
      </c>
      <c r="D32" s="22">
        <v>20</v>
      </c>
      <c r="E32" s="24">
        <v>10</v>
      </c>
      <c r="F32" s="5">
        <v>-10</v>
      </c>
      <c r="G32" s="7">
        <v>0</v>
      </c>
      <c r="H32" s="13" t="s">
        <v>37</v>
      </c>
      <c r="I32" s="22" t="s">
        <v>16</v>
      </c>
      <c r="J32" s="22"/>
      <c r="K32" s="22"/>
      <c r="L32" s="7"/>
      <c r="M3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C20/252052010OK14</v>
      </c>
    </row>
    <row r="33" spans="1:13" x14ac:dyDescent="0.25">
      <c r="A33" s="8" t="s">
        <v>13</v>
      </c>
      <c r="B33" s="2">
        <v>20</v>
      </c>
      <c r="C33" s="2">
        <v>5</v>
      </c>
      <c r="D33" s="2">
        <v>20</v>
      </c>
      <c r="E33" s="25">
        <v>20</v>
      </c>
      <c r="F33" s="8">
        <v>-10</v>
      </c>
      <c r="G33" s="9">
        <v>2</v>
      </c>
      <c r="H33" s="14" t="s">
        <v>29</v>
      </c>
      <c r="I33" s="2" t="s">
        <v>16</v>
      </c>
      <c r="J33" s="2"/>
      <c r="K33" s="2"/>
      <c r="L33" s="9"/>
      <c r="M3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C20/252052020OK14</v>
      </c>
    </row>
    <row r="34" spans="1:13" x14ac:dyDescent="0.25">
      <c r="A34" s="8" t="s">
        <v>13</v>
      </c>
      <c r="B34" s="2">
        <v>20</v>
      </c>
      <c r="C34" s="2">
        <v>5</v>
      </c>
      <c r="D34" s="2">
        <v>20</v>
      </c>
      <c r="E34" s="25">
        <v>20</v>
      </c>
      <c r="F34" s="8">
        <v>-10</v>
      </c>
      <c r="G34" s="9">
        <v>7</v>
      </c>
      <c r="H34" s="14" t="s">
        <v>38</v>
      </c>
      <c r="I34" s="2" t="s">
        <v>16</v>
      </c>
      <c r="J34" s="2"/>
      <c r="K34" s="2"/>
      <c r="L34" s="9"/>
      <c r="M3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C20/252052020OK14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 t="s">
        <v>14</v>
      </c>
      <c r="I35" s="2"/>
      <c r="J35" s="2"/>
      <c r="K35" s="2"/>
      <c r="L35" s="9" t="s">
        <v>39</v>
      </c>
      <c r="M3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36" spans="1:13" ht="15.75" thickBot="1" x14ac:dyDescent="0.3">
      <c r="A36" s="10" t="s">
        <v>14</v>
      </c>
      <c r="B36" s="26" t="s">
        <v>14</v>
      </c>
      <c r="C36" s="26" t="s">
        <v>14</v>
      </c>
      <c r="D36" s="26" t="s">
        <v>14</v>
      </c>
      <c r="E36" s="27" t="s">
        <v>14</v>
      </c>
      <c r="F36" s="10">
        <v>-10</v>
      </c>
      <c r="G36" s="12">
        <v>20</v>
      </c>
      <c r="H36" s="15" t="s">
        <v>14</v>
      </c>
      <c r="I36" s="26"/>
      <c r="J36" s="26"/>
      <c r="K36" s="26"/>
      <c r="L36" s="12" t="s">
        <v>39</v>
      </c>
      <c r="M3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37" spans="1:13" x14ac:dyDescent="0.25">
      <c r="A37" s="5" t="s">
        <v>40</v>
      </c>
      <c r="B37" s="22">
        <v>15</v>
      </c>
      <c r="C37" s="22">
        <v>5</v>
      </c>
      <c r="D37" s="22">
        <v>20</v>
      </c>
      <c r="E37" s="24">
        <v>30</v>
      </c>
      <c r="F37" s="5">
        <v>-15</v>
      </c>
      <c r="G37" s="7">
        <v>0</v>
      </c>
      <c r="H37" s="13">
        <v>12</v>
      </c>
      <c r="I37" s="22" t="s">
        <v>16</v>
      </c>
      <c r="J37" s="22"/>
      <c r="K37" s="22"/>
      <c r="L37" s="7"/>
      <c r="M3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C28/351552030OK14</v>
      </c>
    </row>
    <row r="38" spans="1:13" x14ac:dyDescent="0.25">
      <c r="A38" s="8" t="s">
        <v>40</v>
      </c>
      <c r="B38" s="2">
        <v>15</v>
      </c>
      <c r="C38" s="2">
        <v>5</v>
      </c>
      <c r="D38" s="2">
        <v>20</v>
      </c>
      <c r="E38" s="25">
        <v>30</v>
      </c>
      <c r="F38" s="8">
        <v>-15</v>
      </c>
      <c r="G38" s="9">
        <v>2</v>
      </c>
      <c r="H38" s="14" t="s">
        <v>41</v>
      </c>
      <c r="I38" s="2" t="s">
        <v>16</v>
      </c>
      <c r="J38" s="2"/>
      <c r="K38" s="2"/>
      <c r="L38" s="9"/>
      <c r="M3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C28/351552030OK14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 s="8">
        <v>-15</v>
      </c>
      <c r="G39" s="9">
        <v>7</v>
      </c>
      <c r="H39" s="14" t="s">
        <v>14</v>
      </c>
      <c r="I39" s="2"/>
      <c r="J39" s="2"/>
      <c r="K39" s="2"/>
      <c r="L39" s="9" t="s">
        <v>39</v>
      </c>
      <c r="M3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 s="8">
        <v>-15</v>
      </c>
      <c r="G40" s="9">
        <v>12</v>
      </c>
      <c r="H40" s="14" t="s">
        <v>14</v>
      </c>
      <c r="I40" s="2"/>
      <c r="J40" s="2"/>
      <c r="K40" s="2"/>
      <c r="L40" s="9" t="s">
        <v>39</v>
      </c>
      <c r="M4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0">
        <v>-15</v>
      </c>
      <c r="G41" s="12">
        <v>20</v>
      </c>
      <c r="H41" s="15" t="s">
        <v>14</v>
      </c>
      <c r="I41" s="26"/>
      <c r="J41" s="26"/>
      <c r="K41" s="26"/>
      <c r="L41" s="12" t="s">
        <v>39</v>
      </c>
      <c r="M4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42" spans="1:13" x14ac:dyDescent="0.25">
      <c r="A42" s="8" t="s">
        <v>42</v>
      </c>
      <c r="B42" s="2">
        <v>10</v>
      </c>
      <c r="C42" s="2">
        <v>5</v>
      </c>
      <c r="D42" s="2">
        <v>20</v>
      </c>
      <c r="E42" s="25">
        <v>50</v>
      </c>
      <c r="F42" s="8">
        <v>-20</v>
      </c>
      <c r="G42" s="9">
        <v>0</v>
      </c>
      <c r="H42" s="14" t="s">
        <v>43</v>
      </c>
      <c r="I42" s="2" t="s">
        <v>16</v>
      </c>
      <c r="J42" s="2"/>
      <c r="K42" s="2"/>
      <c r="L42" s="9"/>
      <c r="M42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C35/451052050OK14</v>
      </c>
    </row>
    <row r="43" spans="1:13" x14ac:dyDescent="0.25">
      <c r="A43" s="8" t="s">
        <v>42</v>
      </c>
      <c r="B43" s="2">
        <v>10</v>
      </c>
      <c r="C43" s="2">
        <v>5</v>
      </c>
      <c r="D43" s="2">
        <v>20</v>
      </c>
      <c r="E43" s="25">
        <v>50</v>
      </c>
      <c r="F43" s="8">
        <v>-20</v>
      </c>
      <c r="G43" s="9">
        <v>2</v>
      </c>
      <c r="H43" s="14" t="s">
        <v>44</v>
      </c>
      <c r="I43" s="2" t="s">
        <v>16</v>
      </c>
      <c r="J43" s="2"/>
      <c r="K43" s="2"/>
      <c r="L43" s="9"/>
      <c r="M4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C35/451052050OK14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 s="8">
        <v>-20</v>
      </c>
      <c r="G44" s="9">
        <v>7</v>
      </c>
      <c r="H44" s="14"/>
      <c r="I44" s="2"/>
      <c r="J44" s="2"/>
      <c r="K44" s="2"/>
      <c r="L44" s="9" t="s">
        <v>39</v>
      </c>
      <c r="M4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 s="8">
        <v>-20</v>
      </c>
      <c r="G45" s="9">
        <v>12</v>
      </c>
      <c r="H45" s="14"/>
      <c r="I45" s="2"/>
      <c r="J45" s="2"/>
      <c r="K45" s="2"/>
      <c r="L45" s="9" t="s">
        <v>39</v>
      </c>
      <c r="M4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0">
        <v>-20</v>
      </c>
      <c r="G46" s="12">
        <v>20</v>
      </c>
      <c r="H46" s="15"/>
      <c r="I46" s="26"/>
      <c r="J46" s="26"/>
      <c r="K46" s="26"/>
      <c r="L46" s="12" t="s">
        <v>39</v>
      </c>
      <c r="M4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</f>
        <v>-----</v>
      </c>
    </row>
  </sheetData>
  <dataValidations count="1">
    <dataValidation type="list" allowBlank="1" showInputMessage="1" showErrorMessage="1" sqref="N2:N46" xr:uid="{F60A0CB1-7036-43F0-BEDB-AF1C6461F55D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0BC82E3-F37A-41CC-A4EF-2470A5DCAB3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0BD41FD8-75AE-4A66-9D4C-3D5EA6FB8F20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1CEF67F-D1CE-4AC4-81DD-702A6AD283DE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694F7ACA-ABAC-43D9-B076-E6DB468624C4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60245CC2-A4DC-4341-AC29-900DC5CED958}">
          <x14:formula1>
            <xm:f>Förutsättningar!$D$3:$D$7</xm:f>
          </x14:formula1>
          <xm:sqref>D2:D46</xm:sqref>
        </x14:dataValidation>
        <x14:dataValidation type="list" allowBlank="1" showInputMessage="1" showErrorMessage="1" xr:uid="{251C9A0F-9897-4E43-9BF9-A1269CA2DED6}">
          <x14:formula1>
            <xm:f>Förutsättningar!$F$2</xm:f>
          </x14:formula1>
          <xm:sqref>I2:I46</xm:sqref>
        </x14:dataValidation>
        <x14:dataValidation type="list" allowBlank="1" showInputMessage="1" showErrorMessage="1" xr:uid="{1BC54199-F24D-405F-94C5-D873F8B2E674}">
          <x14:formula1>
            <xm:f>Förutsättningar!$G$2</xm:f>
          </x14:formula1>
          <xm:sqref>K2:K46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4A6-A044-49F1-B880-07069BED6942}">
  <dimension ref="A1:M46"/>
  <sheetViews>
    <sheetView topLeftCell="A8" zoomScale="85" zoomScaleNormal="85" workbookViewId="0">
      <selection activeCell="I36" sqref="I36"/>
    </sheetView>
  </sheetViews>
  <sheetFormatPr defaultRowHeight="15" x14ac:dyDescent="0.25"/>
  <cols>
    <col min="1" max="1" width="10.140625" bestFit="1" customWidth="1"/>
    <col min="2" max="2" width="10.7109375" bestFit="1" customWidth="1"/>
    <col min="3" max="4" width="11.42578125" bestFit="1" customWidth="1"/>
    <col min="5" max="6" width="11.140625" bestFit="1" customWidth="1"/>
    <col min="7" max="7" width="7.28515625" bestFit="1" customWidth="1"/>
    <col min="8" max="8" width="10.85546875" bestFit="1" customWidth="1"/>
    <col min="9" max="9" width="10.85546875" customWidth="1"/>
    <col min="10" max="10" width="14.42578125" bestFit="1" customWidth="1"/>
    <col min="11" max="11" width="22.140625" bestFit="1" customWidth="1"/>
    <col min="12" max="12" width="23.42578125" customWidth="1"/>
    <col min="13" max="13" width="26.85546875" bestFit="1" customWidth="1"/>
  </cols>
  <sheetData>
    <row r="1" spans="1:13" ht="75.75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45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5">
      <c r="A2" s="5" t="s">
        <v>13</v>
      </c>
      <c r="B2" s="22">
        <v>15</v>
      </c>
      <c r="C2" s="22">
        <v>20</v>
      </c>
      <c r="D2" s="23" t="s">
        <v>14</v>
      </c>
      <c r="E2" s="24">
        <v>0</v>
      </c>
      <c r="F2" s="5">
        <v>20</v>
      </c>
      <c r="G2" s="7">
        <v>0</v>
      </c>
      <c r="H2" s="13" t="s">
        <v>20</v>
      </c>
      <c r="I2" s="22" t="s">
        <v>16</v>
      </c>
      <c r="J2" s="22"/>
      <c r="K2" s="22"/>
      <c r="L2" s="7"/>
      <c r="M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C20/251520-0OK14</v>
      </c>
    </row>
    <row r="3" spans="1:13" x14ac:dyDescent="0.25">
      <c r="A3" s="8" t="s">
        <v>13</v>
      </c>
      <c r="B3" s="2">
        <v>15</v>
      </c>
      <c r="C3" s="2">
        <v>20</v>
      </c>
      <c r="D3" s="2" t="s">
        <v>14</v>
      </c>
      <c r="E3" s="25">
        <v>0</v>
      </c>
      <c r="F3" s="8">
        <v>20</v>
      </c>
      <c r="G3" s="9">
        <v>2</v>
      </c>
      <c r="H3" s="14" t="s">
        <v>46</v>
      </c>
      <c r="I3" s="2" t="s">
        <v>16</v>
      </c>
      <c r="J3" s="2"/>
      <c r="K3" s="2"/>
      <c r="L3" s="9"/>
      <c r="M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C20/251520-0OK14</v>
      </c>
    </row>
    <row r="4" spans="1:13" x14ac:dyDescent="0.25">
      <c r="A4" s="8" t="s">
        <v>13</v>
      </c>
      <c r="B4" s="2">
        <v>15</v>
      </c>
      <c r="C4" s="2">
        <v>20</v>
      </c>
      <c r="D4" s="2" t="s">
        <v>14</v>
      </c>
      <c r="E4" s="25">
        <v>0</v>
      </c>
      <c r="F4" s="8">
        <v>20</v>
      </c>
      <c r="G4" s="9">
        <v>7</v>
      </c>
      <c r="H4" s="14">
        <v>7</v>
      </c>
      <c r="I4" s="2" t="s">
        <v>16</v>
      </c>
      <c r="J4" s="2"/>
      <c r="K4" s="2"/>
      <c r="L4" s="9"/>
      <c r="M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C20/251520-0OK14</v>
      </c>
    </row>
    <row r="5" spans="1:13" x14ac:dyDescent="0.25">
      <c r="A5" s="8" t="s">
        <v>13</v>
      </c>
      <c r="B5" s="2">
        <v>15</v>
      </c>
      <c r="C5" s="2">
        <v>20</v>
      </c>
      <c r="D5" s="2" t="s">
        <v>14</v>
      </c>
      <c r="E5" s="25">
        <v>0</v>
      </c>
      <c r="F5" s="8">
        <v>20</v>
      </c>
      <c r="G5" s="9">
        <v>12</v>
      </c>
      <c r="H5" s="14" t="s">
        <v>47</v>
      </c>
      <c r="I5" s="2" t="s">
        <v>16</v>
      </c>
      <c r="J5" s="2"/>
      <c r="K5" s="2"/>
      <c r="L5" s="9"/>
      <c r="M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C20/251520-0OK14</v>
      </c>
    </row>
    <row r="6" spans="1:13" ht="15.75" thickBot="1" x14ac:dyDescent="0.3">
      <c r="A6" s="10" t="s">
        <v>13</v>
      </c>
      <c r="B6" s="26">
        <v>15</v>
      </c>
      <c r="C6" s="26">
        <v>20</v>
      </c>
      <c r="D6" s="26" t="s">
        <v>14</v>
      </c>
      <c r="E6" s="27">
        <v>0</v>
      </c>
      <c r="F6" s="10">
        <v>20</v>
      </c>
      <c r="G6" s="12">
        <v>20</v>
      </c>
      <c r="H6" s="15" t="s">
        <v>47</v>
      </c>
      <c r="I6" s="26" t="s">
        <v>16</v>
      </c>
      <c r="J6" s="26"/>
      <c r="K6" s="26"/>
      <c r="L6" s="12"/>
      <c r="M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C20/251520-0OK14</v>
      </c>
    </row>
    <row r="7" spans="1:13" x14ac:dyDescent="0.25">
      <c r="A7" s="5" t="s">
        <v>13</v>
      </c>
      <c r="B7" s="22">
        <v>15</v>
      </c>
      <c r="C7" s="22">
        <v>15</v>
      </c>
      <c r="D7" s="22" t="s">
        <v>14</v>
      </c>
      <c r="E7" s="24">
        <v>0</v>
      </c>
      <c r="F7" s="5">
        <v>15</v>
      </c>
      <c r="G7" s="7">
        <v>0</v>
      </c>
      <c r="H7" s="13" t="s">
        <v>48</v>
      </c>
      <c r="I7" s="22" t="s">
        <v>16</v>
      </c>
      <c r="J7" s="22"/>
      <c r="K7" s="22"/>
      <c r="L7" s="7"/>
      <c r="M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C20/251515-0OK14</v>
      </c>
    </row>
    <row r="8" spans="1:13" x14ac:dyDescent="0.25">
      <c r="A8" s="8" t="s">
        <v>13</v>
      </c>
      <c r="B8" s="2">
        <v>15</v>
      </c>
      <c r="C8" s="2">
        <v>15</v>
      </c>
      <c r="D8" s="2" t="s">
        <v>14</v>
      </c>
      <c r="E8" s="25">
        <v>0</v>
      </c>
      <c r="F8" s="8">
        <v>15</v>
      </c>
      <c r="G8" s="9">
        <v>2</v>
      </c>
      <c r="H8" s="14" t="s">
        <v>49</v>
      </c>
      <c r="I8" s="2" t="s">
        <v>16</v>
      </c>
      <c r="J8" s="2"/>
      <c r="K8" s="2"/>
      <c r="L8" s="9"/>
      <c r="M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C20/251515-0OK14</v>
      </c>
    </row>
    <row r="9" spans="1:13" x14ac:dyDescent="0.25">
      <c r="A9" s="8" t="s">
        <v>13</v>
      </c>
      <c r="B9" s="2">
        <v>15</v>
      </c>
      <c r="C9" s="2">
        <v>15</v>
      </c>
      <c r="D9" s="2" t="s">
        <v>14</v>
      </c>
      <c r="E9" s="25">
        <v>0</v>
      </c>
      <c r="F9" s="8">
        <v>15</v>
      </c>
      <c r="G9" s="9">
        <v>7</v>
      </c>
      <c r="H9" s="14" t="s">
        <v>50</v>
      </c>
      <c r="I9" s="2" t="s">
        <v>16</v>
      </c>
      <c r="J9" s="2"/>
      <c r="K9" s="2"/>
      <c r="L9" s="9"/>
      <c r="M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C20/251515-0OK14</v>
      </c>
    </row>
    <row r="10" spans="1:13" x14ac:dyDescent="0.25">
      <c r="A10" s="8" t="s">
        <v>13</v>
      </c>
      <c r="B10" s="2">
        <v>15</v>
      </c>
      <c r="C10" s="2">
        <v>15</v>
      </c>
      <c r="D10" s="2" t="s">
        <v>14</v>
      </c>
      <c r="E10" s="25">
        <v>0</v>
      </c>
      <c r="F10" s="8">
        <v>15</v>
      </c>
      <c r="G10" s="9">
        <v>12</v>
      </c>
      <c r="H10" s="14" t="s">
        <v>51</v>
      </c>
      <c r="I10" s="2" t="s">
        <v>16</v>
      </c>
      <c r="J10" s="2"/>
      <c r="K10" s="2"/>
      <c r="L10" s="9"/>
      <c r="M1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C20/251515-0OK14</v>
      </c>
    </row>
    <row r="11" spans="1:13" ht="15.75" thickBot="1" x14ac:dyDescent="0.3">
      <c r="A11" s="10" t="s">
        <v>13</v>
      </c>
      <c r="B11" s="26">
        <v>15</v>
      </c>
      <c r="C11" s="26">
        <v>15</v>
      </c>
      <c r="D11" s="26" t="s">
        <v>14</v>
      </c>
      <c r="E11" s="27">
        <v>0</v>
      </c>
      <c r="F11" s="10">
        <v>15</v>
      </c>
      <c r="G11" s="12">
        <v>20</v>
      </c>
      <c r="H11" s="15" t="s">
        <v>51</v>
      </c>
      <c r="I11" s="26" t="s">
        <v>16</v>
      </c>
      <c r="J11" s="26"/>
      <c r="K11" s="26"/>
      <c r="L11" s="12"/>
      <c r="M1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C20/251515-0OK14</v>
      </c>
    </row>
    <row r="12" spans="1:13" x14ac:dyDescent="0.25">
      <c r="A12" s="5" t="s">
        <v>13</v>
      </c>
      <c r="B12" s="22">
        <v>15</v>
      </c>
      <c r="C12" s="22">
        <v>10</v>
      </c>
      <c r="D12" s="22" t="s">
        <v>14</v>
      </c>
      <c r="E12" s="24">
        <v>0</v>
      </c>
      <c r="F12" s="5">
        <v>10</v>
      </c>
      <c r="G12" s="7">
        <v>0</v>
      </c>
      <c r="H12" s="13" t="s">
        <v>52</v>
      </c>
      <c r="I12" s="22" t="s">
        <v>16</v>
      </c>
      <c r="J12" s="22"/>
      <c r="K12" s="22"/>
      <c r="L12" s="7"/>
      <c r="M1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C20/251510-0OK14</v>
      </c>
    </row>
    <row r="13" spans="1:13" x14ac:dyDescent="0.25">
      <c r="A13" s="8" t="s">
        <v>13</v>
      </c>
      <c r="B13" s="2">
        <v>15</v>
      </c>
      <c r="C13" s="2">
        <v>10</v>
      </c>
      <c r="D13" s="2" t="s">
        <v>14</v>
      </c>
      <c r="E13" s="25">
        <v>0</v>
      </c>
      <c r="F13" s="8">
        <v>10</v>
      </c>
      <c r="G13" s="9">
        <v>2</v>
      </c>
      <c r="H13" s="14" t="s">
        <v>53</v>
      </c>
      <c r="I13" s="2" t="s">
        <v>16</v>
      </c>
      <c r="J13" s="2"/>
      <c r="K13" s="2"/>
      <c r="L13" s="9"/>
      <c r="M1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C20/251510-0OK14</v>
      </c>
    </row>
    <row r="14" spans="1:13" x14ac:dyDescent="0.25">
      <c r="A14" s="8" t="s">
        <v>13</v>
      </c>
      <c r="B14" s="2">
        <v>15</v>
      </c>
      <c r="C14" s="2">
        <v>10</v>
      </c>
      <c r="D14" s="2" t="s">
        <v>14</v>
      </c>
      <c r="E14" s="25">
        <v>0</v>
      </c>
      <c r="F14" s="8">
        <v>10</v>
      </c>
      <c r="G14" s="9">
        <v>7</v>
      </c>
      <c r="H14" s="14" t="s">
        <v>54</v>
      </c>
      <c r="I14" s="2" t="s">
        <v>16</v>
      </c>
      <c r="J14" s="2"/>
      <c r="K14" s="2"/>
      <c r="L14" s="9"/>
      <c r="M1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C20/251510-0OK14</v>
      </c>
    </row>
    <row r="15" spans="1:13" x14ac:dyDescent="0.25">
      <c r="A15" s="8" t="s">
        <v>13</v>
      </c>
      <c r="B15" s="2">
        <v>15</v>
      </c>
      <c r="C15" s="2">
        <v>10</v>
      </c>
      <c r="D15" s="2" t="s">
        <v>14</v>
      </c>
      <c r="E15" s="25">
        <v>0</v>
      </c>
      <c r="F15" s="8">
        <v>10</v>
      </c>
      <c r="G15" s="9">
        <v>12</v>
      </c>
      <c r="H15" s="14" t="s">
        <v>38</v>
      </c>
      <c r="I15" s="2" t="s">
        <v>16</v>
      </c>
      <c r="J15" s="2"/>
      <c r="K15" s="2"/>
      <c r="L15" s="9"/>
      <c r="M1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C20/251510-0OK14</v>
      </c>
    </row>
    <row r="16" spans="1:13" ht="15.75" thickBot="1" x14ac:dyDescent="0.3">
      <c r="A16" s="10" t="s">
        <v>13</v>
      </c>
      <c r="B16" s="26">
        <v>15</v>
      </c>
      <c r="C16" s="26">
        <v>10</v>
      </c>
      <c r="D16" s="26" t="s">
        <v>14</v>
      </c>
      <c r="E16" s="27">
        <v>0</v>
      </c>
      <c r="F16" s="10">
        <v>10</v>
      </c>
      <c r="G16" s="12">
        <v>20</v>
      </c>
      <c r="H16" s="15" t="s">
        <v>43</v>
      </c>
      <c r="I16" s="26" t="s">
        <v>16</v>
      </c>
      <c r="J16" s="26"/>
      <c r="K16" s="26"/>
      <c r="L16" s="12"/>
      <c r="M1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C20/251510-0OK14</v>
      </c>
    </row>
    <row r="17" spans="1:13" x14ac:dyDescent="0.25">
      <c r="A17" s="5" t="s">
        <v>13</v>
      </c>
      <c r="B17" s="22">
        <v>20</v>
      </c>
      <c r="C17" s="22">
        <v>5</v>
      </c>
      <c r="D17" s="22">
        <v>5</v>
      </c>
      <c r="E17" s="24">
        <v>0</v>
      </c>
      <c r="F17" s="5">
        <v>5</v>
      </c>
      <c r="G17" s="7">
        <v>0</v>
      </c>
      <c r="H17" s="13" t="s">
        <v>31</v>
      </c>
      <c r="I17" s="22" t="s">
        <v>16</v>
      </c>
      <c r="J17" s="22"/>
      <c r="K17" s="22"/>
      <c r="L17" s="7"/>
      <c r="M1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C20/2520550OK14</v>
      </c>
    </row>
    <row r="18" spans="1:13" x14ac:dyDescent="0.25">
      <c r="A18" s="8" t="s">
        <v>13</v>
      </c>
      <c r="B18" s="2">
        <v>20</v>
      </c>
      <c r="C18" s="2">
        <v>5</v>
      </c>
      <c r="D18" s="2">
        <v>10</v>
      </c>
      <c r="E18" s="25">
        <v>0</v>
      </c>
      <c r="F18" s="8">
        <v>5</v>
      </c>
      <c r="G18" s="9">
        <v>2</v>
      </c>
      <c r="H18" s="14" t="s">
        <v>31</v>
      </c>
      <c r="I18" s="2" t="s">
        <v>16</v>
      </c>
      <c r="J18" s="2"/>
      <c r="K18" s="2"/>
      <c r="L18" s="9"/>
      <c r="M1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C20/25205100OK14</v>
      </c>
    </row>
    <row r="19" spans="1:13" x14ac:dyDescent="0.25">
      <c r="A19" s="8" t="s">
        <v>13</v>
      </c>
      <c r="B19" s="2">
        <v>20</v>
      </c>
      <c r="C19" s="2">
        <v>5</v>
      </c>
      <c r="D19" s="2">
        <v>15</v>
      </c>
      <c r="E19" s="25">
        <v>0</v>
      </c>
      <c r="F19" s="8">
        <v>5</v>
      </c>
      <c r="G19" s="9">
        <v>7</v>
      </c>
      <c r="H19" s="14" t="s">
        <v>44</v>
      </c>
      <c r="I19" s="2" t="s">
        <v>16</v>
      </c>
      <c r="J19" s="2"/>
      <c r="K19" s="2"/>
      <c r="L19" s="9"/>
      <c r="M1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C20/25205150OK14</v>
      </c>
    </row>
    <row r="20" spans="1:13" x14ac:dyDescent="0.25">
      <c r="A20" s="8" t="s">
        <v>13</v>
      </c>
      <c r="B20" s="2">
        <v>20</v>
      </c>
      <c r="C20" s="2">
        <v>5</v>
      </c>
      <c r="D20" s="2">
        <v>20</v>
      </c>
      <c r="E20" s="25">
        <v>0</v>
      </c>
      <c r="F20" s="8">
        <v>5</v>
      </c>
      <c r="G20" s="9">
        <v>12</v>
      </c>
      <c r="H20" s="14" t="s">
        <v>30</v>
      </c>
      <c r="I20" s="2" t="s">
        <v>16</v>
      </c>
      <c r="J20" s="2"/>
      <c r="K20" s="2"/>
      <c r="L20" s="9"/>
      <c r="M2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C20/25205200OK14</v>
      </c>
    </row>
    <row r="21" spans="1:13" ht="15.75" thickBot="1" x14ac:dyDescent="0.3">
      <c r="A21" s="10" t="s">
        <v>13</v>
      </c>
      <c r="B21" s="26">
        <v>20</v>
      </c>
      <c r="C21" s="26">
        <v>5</v>
      </c>
      <c r="D21" s="26">
        <v>20</v>
      </c>
      <c r="E21" s="27">
        <v>0</v>
      </c>
      <c r="F21" s="10">
        <v>5</v>
      </c>
      <c r="G21" s="12">
        <v>20</v>
      </c>
      <c r="H21" s="15" t="s">
        <v>55</v>
      </c>
      <c r="I21" s="26" t="s">
        <v>16</v>
      </c>
      <c r="J21" s="26"/>
      <c r="K21" s="26"/>
      <c r="L21" s="12"/>
      <c r="M2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C20/25205200OK14</v>
      </c>
    </row>
    <row r="22" spans="1:13" x14ac:dyDescent="0.25">
      <c r="A22" s="5" t="s">
        <v>13</v>
      </c>
      <c r="B22" s="22">
        <v>20</v>
      </c>
      <c r="C22" s="22">
        <v>5</v>
      </c>
      <c r="D22" s="22">
        <v>15</v>
      </c>
      <c r="E22" s="24">
        <v>0</v>
      </c>
      <c r="F22" s="5">
        <v>0</v>
      </c>
      <c r="G22" s="7">
        <v>0</v>
      </c>
      <c r="H22" s="13" t="s">
        <v>34</v>
      </c>
      <c r="I22" s="22" t="s">
        <v>16</v>
      </c>
      <c r="J22" s="22"/>
      <c r="K22" s="22"/>
      <c r="L22" s="7"/>
      <c r="M2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C20/25205150OK14</v>
      </c>
    </row>
    <row r="23" spans="1:13" x14ac:dyDescent="0.25">
      <c r="A23" s="8" t="s">
        <v>13</v>
      </c>
      <c r="B23" s="2">
        <v>20</v>
      </c>
      <c r="C23" s="2">
        <v>5</v>
      </c>
      <c r="D23" s="2">
        <v>20</v>
      </c>
      <c r="E23" s="25" t="s">
        <v>33</v>
      </c>
      <c r="F23" s="8">
        <v>0</v>
      </c>
      <c r="G23" s="9">
        <v>2</v>
      </c>
      <c r="H23" s="14">
        <v>14</v>
      </c>
      <c r="I23" s="2" t="s">
        <v>16</v>
      </c>
      <c r="J23" s="2"/>
      <c r="K23" s="2"/>
      <c r="L23" s="9"/>
      <c r="M2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C20/2520520PresenningOK14</v>
      </c>
    </row>
    <row r="24" spans="1:13" x14ac:dyDescent="0.25">
      <c r="A24" s="8" t="s">
        <v>13</v>
      </c>
      <c r="B24" s="2">
        <v>20</v>
      </c>
      <c r="C24" s="2">
        <v>5</v>
      </c>
      <c r="D24" s="2">
        <v>20</v>
      </c>
      <c r="E24" s="25">
        <v>10</v>
      </c>
      <c r="F24" s="8">
        <v>0</v>
      </c>
      <c r="G24" s="9">
        <v>7</v>
      </c>
      <c r="H24" s="14" t="s">
        <v>56</v>
      </c>
      <c r="I24" s="2" t="s">
        <v>16</v>
      </c>
      <c r="J24" s="2"/>
      <c r="K24" s="2"/>
      <c r="L24" s="9"/>
      <c r="M2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C20/252052010OK14</v>
      </c>
    </row>
    <row r="25" spans="1:13" x14ac:dyDescent="0.25">
      <c r="A25" s="8" t="s">
        <v>13</v>
      </c>
      <c r="B25" s="2">
        <v>20</v>
      </c>
      <c r="C25" s="2">
        <v>5</v>
      </c>
      <c r="D25" s="2">
        <v>20</v>
      </c>
      <c r="E25" s="25">
        <v>10</v>
      </c>
      <c r="F25" s="8">
        <v>0</v>
      </c>
      <c r="G25" s="9">
        <v>12</v>
      </c>
      <c r="H25" s="14" t="s">
        <v>57</v>
      </c>
      <c r="I25" s="2" t="s">
        <v>16</v>
      </c>
      <c r="J25" s="2"/>
      <c r="K25" s="2"/>
      <c r="L25" s="9"/>
      <c r="M2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C20/252052010OK14</v>
      </c>
    </row>
    <row r="26" spans="1:13" ht="15.75" thickBot="1" x14ac:dyDescent="0.3">
      <c r="A26" s="10" t="s">
        <v>13</v>
      </c>
      <c r="B26" s="26">
        <v>20</v>
      </c>
      <c r="C26" s="26">
        <v>5</v>
      </c>
      <c r="D26" s="26">
        <v>20</v>
      </c>
      <c r="E26" s="27">
        <v>10</v>
      </c>
      <c r="F26" s="10">
        <v>0</v>
      </c>
      <c r="G26" s="12">
        <v>20</v>
      </c>
      <c r="H26" s="15" t="s">
        <v>58</v>
      </c>
      <c r="I26" s="26" t="s">
        <v>16</v>
      </c>
      <c r="J26" s="26"/>
      <c r="K26" s="26"/>
      <c r="L26" s="12"/>
      <c r="M2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C20/252052010OK14</v>
      </c>
    </row>
    <row r="27" spans="1:13" x14ac:dyDescent="0.25">
      <c r="A27" s="5" t="s">
        <v>13</v>
      </c>
      <c r="B27" s="22">
        <v>20</v>
      </c>
      <c r="C27" s="22">
        <v>5</v>
      </c>
      <c r="D27" s="22">
        <v>20</v>
      </c>
      <c r="E27" s="24">
        <v>10</v>
      </c>
      <c r="F27" s="5">
        <v>-5</v>
      </c>
      <c r="G27" s="7">
        <v>0</v>
      </c>
      <c r="H27" s="13">
        <v>12</v>
      </c>
      <c r="I27" s="22" t="s">
        <v>16</v>
      </c>
      <c r="J27" s="22"/>
      <c r="K27" s="22"/>
      <c r="L27" s="7"/>
      <c r="M2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C20/252052010OK14</v>
      </c>
    </row>
    <row r="28" spans="1:13" x14ac:dyDescent="0.25">
      <c r="A28" s="8" t="s">
        <v>13</v>
      </c>
      <c r="B28" s="2">
        <v>20</v>
      </c>
      <c r="C28" s="2">
        <v>5</v>
      </c>
      <c r="D28" s="2">
        <v>20</v>
      </c>
      <c r="E28" s="25">
        <v>10</v>
      </c>
      <c r="F28" s="8">
        <v>-5</v>
      </c>
      <c r="G28" s="9">
        <v>2</v>
      </c>
      <c r="H28" s="14" t="s">
        <v>37</v>
      </c>
      <c r="I28" s="2" t="s">
        <v>16</v>
      </c>
      <c r="J28" s="2"/>
      <c r="K28" s="2"/>
      <c r="L28" s="9"/>
      <c r="M2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C20/252052010OK14</v>
      </c>
    </row>
    <row r="29" spans="1:13" x14ac:dyDescent="0.25">
      <c r="A29" s="8" t="s">
        <v>13</v>
      </c>
      <c r="B29" s="2">
        <v>20</v>
      </c>
      <c r="C29" s="2">
        <v>5</v>
      </c>
      <c r="D29" s="2">
        <v>20</v>
      </c>
      <c r="E29" s="25">
        <v>20</v>
      </c>
      <c r="F29" s="8">
        <v>-5</v>
      </c>
      <c r="G29" s="9">
        <v>7</v>
      </c>
      <c r="H29" s="14" t="s">
        <v>52</v>
      </c>
      <c r="I29" s="2" t="s">
        <v>16</v>
      </c>
      <c r="J29" s="2"/>
      <c r="K29" s="2"/>
      <c r="L29" s="9"/>
      <c r="M2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C20/252052020OK14</v>
      </c>
    </row>
    <row r="30" spans="1:13" x14ac:dyDescent="0.25">
      <c r="A30" s="8" t="s">
        <v>13</v>
      </c>
      <c r="B30" s="2">
        <v>20</v>
      </c>
      <c r="C30" s="2">
        <v>5</v>
      </c>
      <c r="D30" s="2">
        <v>20</v>
      </c>
      <c r="E30" s="25">
        <v>20</v>
      </c>
      <c r="F30" s="8">
        <v>-5</v>
      </c>
      <c r="G30" s="9">
        <v>12</v>
      </c>
      <c r="H30" s="14" t="s">
        <v>59</v>
      </c>
      <c r="I30" s="2" t="s">
        <v>16</v>
      </c>
      <c r="J30" s="2"/>
      <c r="K30" s="2"/>
      <c r="L30" s="9"/>
      <c r="M3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C20/252052020OK14</v>
      </c>
    </row>
    <row r="31" spans="1:13" ht="15.75" thickBot="1" x14ac:dyDescent="0.3">
      <c r="A31" s="10" t="s">
        <v>13</v>
      </c>
      <c r="B31" s="26">
        <v>20</v>
      </c>
      <c r="C31" s="26">
        <v>5</v>
      </c>
      <c r="D31" s="26">
        <v>20</v>
      </c>
      <c r="E31" s="27">
        <v>20</v>
      </c>
      <c r="F31" s="10">
        <v>-5</v>
      </c>
      <c r="G31" s="12">
        <v>20</v>
      </c>
      <c r="H31" s="15" t="s">
        <v>36</v>
      </c>
      <c r="I31" s="26" t="s">
        <v>16</v>
      </c>
      <c r="J31" s="26"/>
      <c r="K31" s="26"/>
      <c r="L31" s="12"/>
      <c r="M3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C20/252052020OK14</v>
      </c>
    </row>
    <row r="32" spans="1:13" x14ac:dyDescent="0.25">
      <c r="A32" s="5" t="s">
        <v>13</v>
      </c>
      <c r="B32" s="22">
        <v>20</v>
      </c>
      <c r="C32" s="22">
        <v>5</v>
      </c>
      <c r="D32" s="22">
        <v>20</v>
      </c>
      <c r="E32" s="24">
        <v>30</v>
      </c>
      <c r="F32" s="5">
        <v>-10</v>
      </c>
      <c r="G32" s="7">
        <v>0</v>
      </c>
      <c r="H32" s="13">
        <v>13</v>
      </c>
      <c r="I32" s="22" t="s">
        <v>16</v>
      </c>
      <c r="J32" s="22"/>
      <c r="K32" s="22"/>
      <c r="L32" s="7"/>
      <c r="M3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C20/252052030OK14</v>
      </c>
    </row>
    <row r="33" spans="1:13" x14ac:dyDescent="0.25">
      <c r="A33" s="8" t="s">
        <v>13</v>
      </c>
      <c r="B33" s="2">
        <v>20</v>
      </c>
      <c r="C33" s="2">
        <v>5</v>
      </c>
      <c r="D33" s="2">
        <v>20</v>
      </c>
      <c r="E33" s="25">
        <v>30</v>
      </c>
      <c r="F33" s="8">
        <v>-10</v>
      </c>
      <c r="G33" s="9">
        <v>2</v>
      </c>
      <c r="H33" s="14" t="s">
        <v>44</v>
      </c>
      <c r="I33" s="2" t="s">
        <v>16</v>
      </c>
      <c r="J33" s="2"/>
      <c r="K33" s="2"/>
      <c r="L33" s="9"/>
      <c r="M3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C20/252052030OK14</v>
      </c>
    </row>
    <row r="34" spans="1:13" x14ac:dyDescent="0.25">
      <c r="A34" s="8" t="s">
        <v>13</v>
      </c>
      <c r="B34" s="2">
        <v>20</v>
      </c>
      <c r="C34" s="2">
        <v>5</v>
      </c>
      <c r="D34" s="2">
        <v>20</v>
      </c>
      <c r="E34" s="25">
        <v>50</v>
      </c>
      <c r="F34" s="8">
        <v>-10</v>
      </c>
      <c r="G34" s="9">
        <v>7</v>
      </c>
      <c r="H34" s="14" t="s">
        <v>36</v>
      </c>
      <c r="I34" s="2" t="s">
        <v>16</v>
      </c>
      <c r="J34" s="2"/>
      <c r="K34" s="2"/>
      <c r="L34" s="9"/>
      <c r="M3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C20/252052050OK14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 t="s">
        <v>14</v>
      </c>
      <c r="I35" s="2"/>
      <c r="J35" s="2"/>
      <c r="K35" s="2"/>
      <c r="L35" s="9" t="s">
        <v>60</v>
      </c>
      <c r="M3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36" spans="1:13" ht="15.75" thickBot="1" x14ac:dyDescent="0.3">
      <c r="A36" s="10" t="s">
        <v>14</v>
      </c>
      <c r="B36" s="26" t="s">
        <v>14</v>
      </c>
      <c r="C36" s="26" t="s">
        <v>14</v>
      </c>
      <c r="D36" s="26" t="s">
        <v>14</v>
      </c>
      <c r="E36" s="27" t="s">
        <v>14</v>
      </c>
      <c r="F36" s="10">
        <v>-10</v>
      </c>
      <c r="G36" s="12">
        <v>20</v>
      </c>
      <c r="H36" s="15" t="s">
        <v>14</v>
      </c>
      <c r="I36" s="26"/>
      <c r="J36" s="26"/>
      <c r="K36" s="26"/>
      <c r="L36" s="12" t="s">
        <v>60</v>
      </c>
      <c r="M3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37" spans="1:13" x14ac:dyDescent="0.25">
      <c r="A37" s="5" t="s">
        <v>40</v>
      </c>
      <c r="B37" s="22">
        <v>15</v>
      </c>
      <c r="C37" s="22">
        <v>5</v>
      </c>
      <c r="D37" s="22">
        <v>20</v>
      </c>
      <c r="E37" s="24">
        <v>50</v>
      </c>
      <c r="F37" s="5">
        <v>-15</v>
      </c>
      <c r="G37" s="7">
        <v>0</v>
      </c>
      <c r="H37" s="13">
        <v>13</v>
      </c>
      <c r="I37" s="22" t="s">
        <v>16</v>
      </c>
      <c r="J37" s="22"/>
      <c r="K37" s="22"/>
      <c r="L37" s="7"/>
      <c r="M3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C28/351552050OK14</v>
      </c>
    </row>
    <row r="38" spans="1:13" x14ac:dyDescent="0.25">
      <c r="A38" s="8" t="s">
        <v>40</v>
      </c>
      <c r="B38" s="2">
        <v>15</v>
      </c>
      <c r="C38" s="2">
        <v>5</v>
      </c>
      <c r="D38" s="2">
        <v>20</v>
      </c>
      <c r="E38" s="25">
        <v>50</v>
      </c>
      <c r="F38" s="8">
        <v>-15</v>
      </c>
      <c r="G38" s="9">
        <v>2</v>
      </c>
      <c r="H38" s="14" t="s">
        <v>37</v>
      </c>
      <c r="I38" s="2" t="s">
        <v>16</v>
      </c>
      <c r="J38" s="2"/>
      <c r="K38" s="2"/>
      <c r="L38" s="9"/>
      <c r="M3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C28/351552050OK14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 s="8">
        <v>-15</v>
      </c>
      <c r="G39" s="9">
        <v>7</v>
      </c>
      <c r="H39" s="14"/>
      <c r="I39" s="2"/>
      <c r="J39" s="2"/>
      <c r="K39" s="2"/>
      <c r="L39" s="9" t="s">
        <v>60</v>
      </c>
      <c r="M3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 s="8">
        <v>-15</v>
      </c>
      <c r="G40" s="9">
        <v>12</v>
      </c>
      <c r="H40" s="14"/>
      <c r="I40" s="2"/>
      <c r="J40" s="2"/>
      <c r="K40" s="2"/>
      <c r="L40" s="9" t="s">
        <v>60</v>
      </c>
      <c r="M4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0">
        <v>-15</v>
      </c>
      <c r="G41" s="12">
        <v>20</v>
      </c>
      <c r="H41" s="15"/>
      <c r="I41" s="26"/>
      <c r="J41" s="26"/>
      <c r="K41" s="26"/>
      <c r="L41" s="12" t="s">
        <v>60</v>
      </c>
      <c r="M4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42" spans="1:13" x14ac:dyDescent="0.25">
      <c r="A42" s="8" t="s">
        <v>61</v>
      </c>
      <c r="B42" s="2">
        <v>10</v>
      </c>
      <c r="C42" s="2">
        <v>5</v>
      </c>
      <c r="D42" s="2">
        <v>20</v>
      </c>
      <c r="E42" s="25">
        <v>50</v>
      </c>
      <c r="F42" s="8">
        <v>-20</v>
      </c>
      <c r="G42" s="9">
        <v>0</v>
      </c>
      <c r="H42" s="14" t="s">
        <v>14</v>
      </c>
      <c r="I42" s="2"/>
      <c r="J42" s="2" t="s">
        <v>62</v>
      </c>
      <c r="K42" s="2" t="s">
        <v>63</v>
      </c>
      <c r="L42" s="9"/>
      <c r="M42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C40/501052050OK21</v>
      </c>
    </row>
    <row r="43" spans="1:13" x14ac:dyDescent="0.25">
      <c r="A43" s="8" t="s">
        <v>61</v>
      </c>
      <c r="B43" s="2">
        <v>10</v>
      </c>
      <c r="C43" s="2">
        <v>5</v>
      </c>
      <c r="D43" s="2">
        <v>20</v>
      </c>
      <c r="E43" s="25">
        <v>50</v>
      </c>
      <c r="F43" s="8">
        <v>-20</v>
      </c>
      <c r="G43" s="9">
        <v>2</v>
      </c>
      <c r="H43" s="14" t="s">
        <v>14</v>
      </c>
      <c r="I43" s="2"/>
      <c r="J43" s="2">
        <v>17</v>
      </c>
      <c r="K43" s="2" t="s">
        <v>63</v>
      </c>
      <c r="L43" s="9"/>
      <c r="M4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C40/501052050OK21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 s="8">
        <v>-20</v>
      </c>
      <c r="G44" s="9">
        <v>7</v>
      </c>
      <c r="H44" s="14"/>
      <c r="I44" s="2"/>
      <c r="J44" s="2"/>
      <c r="K44" s="2"/>
      <c r="L44" s="9" t="s">
        <v>60</v>
      </c>
      <c r="M4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 s="8">
        <v>-20</v>
      </c>
      <c r="G45" s="9">
        <v>12</v>
      </c>
      <c r="H45" s="14"/>
      <c r="I45" s="2"/>
      <c r="J45" s="2"/>
      <c r="K45" s="2"/>
      <c r="L45" s="9" t="s">
        <v>60</v>
      </c>
      <c r="M4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0">
        <v>-20</v>
      </c>
      <c r="G46" s="12">
        <v>20</v>
      </c>
      <c r="H46" s="15"/>
      <c r="I46" s="26"/>
      <c r="J46" s="26"/>
      <c r="K46" s="26"/>
      <c r="L46" s="12" t="s">
        <v>60</v>
      </c>
      <c r="M4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</f>
        <v>-----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D813B87-81FC-4DA2-A208-838F65BCCBAF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4CBD1903-5E17-4193-877A-47AD419D577F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DC09E667-59EE-4F28-B210-343F892B9BA3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984EAEE-022D-49CB-A43B-9B72445D5680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04145E6F-5993-4357-9F35-F02CD8B09D2B}">
          <x14:formula1>
            <xm:f>Förutsättningar!$D$3:$D$7</xm:f>
          </x14:formula1>
          <xm:sqref>D3:D46</xm:sqref>
        </x14:dataValidation>
        <x14:dataValidation type="list" allowBlank="1" showInputMessage="1" showErrorMessage="1" xr:uid="{89971D2C-BF10-4AD1-B4B2-0BEC04F28288}">
          <x14:formula1>
            <xm:f>Förutsättningar!$D$2:$D$7</xm:f>
          </x14:formula1>
          <xm:sqref>D2</xm:sqref>
        </x14:dataValidation>
        <x14:dataValidation type="list" allowBlank="1" showInputMessage="1" showErrorMessage="1" xr:uid="{4BEB4730-F876-4EAB-B2AF-B5FA873532A0}">
          <x14:formula1>
            <xm:f>Förutsättningar!$F$2</xm:f>
          </x14:formula1>
          <xm:sqref>I2:I46</xm:sqref>
        </x14:dataValidation>
        <x14:dataValidation type="list" allowBlank="1" showInputMessage="1" showErrorMessage="1" xr:uid="{BBE0883C-707F-4CE0-B9EC-A6A26F6FEF2A}">
          <x14:formula1>
            <xm:f>Förutsättningar!$G$2</xm:f>
          </x14:formula1>
          <xm:sqref>K2:K46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351-3B54-4803-8FA5-0B7584016F1E}">
  <dimension ref="A1:M46"/>
  <sheetViews>
    <sheetView zoomScale="70" zoomScaleNormal="70" workbookViewId="0">
      <selection activeCell="M2" sqref="M2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19.140625" customWidth="1"/>
    <col min="4" max="4" width="31.28515625" customWidth="1"/>
    <col min="5" max="6" width="11.140625" bestFit="1" customWidth="1"/>
    <col min="7" max="7" width="7.28515625" bestFit="1" customWidth="1"/>
    <col min="8" max="8" width="30.7109375" customWidth="1"/>
    <col min="9" max="9" width="20.28515625" customWidth="1"/>
    <col min="10" max="10" width="30" customWidth="1"/>
    <col min="11" max="11" width="22.140625" bestFit="1" customWidth="1"/>
    <col min="12" max="12" width="29.7109375" customWidth="1"/>
    <col min="13" max="13" width="31" bestFit="1" customWidth="1"/>
  </cols>
  <sheetData>
    <row r="1" spans="1:13" ht="31.5" customHeight="1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45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5">
      <c r="A2" s="5" t="s">
        <v>13</v>
      </c>
      <c r="B2" s="22">
        <v>15</v>
      </c>
      <c r="C2" s="22">
        <v>20</v>
      </c>
      <c r="D2" s="23" t="s">
        <v>14</v>
      </c>
      <c r="E2" s="24">
        <v>0</v>
      </c>
      <c r="F2" s="5">
        <v>20</v>
      </c>
      <c r="G2" s="7">
        <v>0</v>
      </c>
      <c r="H2" s="13">
        <v>7</v>
      </c>
      <c r="I2" s="22" t="s">
        <v>16</v>
      </c>
      <c r="J2" s="22"/>
      <c r="K2" s="22"/>
      <c r="L2" s="7"/>
      <c r="M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C20/251520-0OK14</v>
      </c>
    </row>
    <row r="3" spans="1:13" x14ac:dyDescent="0.25">
      <c r="A3" s="8" t="s">
        <v>13</v>
      </c>
      <c r="B3" s="2">
        <v>15</v>
      </c>
      <c r="C3" s="2">
        <v>20</v>
      </c>
      <c r="D3" s="2" t="s">
        <v>14</v>
      </c>
      <c r="E3" s="25">
        <v>0</v>
      </c>
      <c r="F3" s="8">
        <v>20</v>
      </c>
      <c r="G3" s="9">
        <v>2</v>
      </c>
      <c r="H3" s="14" t="s">
        <v>64</v>
      </c>
      <c r="I3" s="2" t="s">
        <v>16</v>
      </c>
      <c r="J3" s="2"/>
      <c r="K3" s="2"/>
      <c r="L3" s="9"/>
      <c r="M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C20/251520-0OK14</v>
      </c>
    </row>
    <row r="4" spans="1:13" x14ac:dyDescent="0.25">
      <c r="A4" s="8" t="s">
        <v>13</v>
      </c>
      <c r="B4" s="2">
        <v>15</v>
      </c>
      <c r="C4" s="2">
        <v>20</v>
      </c>
      <c r="D4" s="2" t="s">
        <v>14</v>
      </c>
      <c r="E4" s="25">
        <v>0</v>
      </c>
      <c r="F4" s="8">
        <v>20</v>
      </c>
      <c r="G4" s="9">
        <v>7</v>
      </c>
      <c r="H4" s="14" t="s">
        <v>65</v>
      </c>
      <c r="I4" s="2" t="s">
        <v>16</v>
      </c>
      <c r="J4" s="2"/>
      <c r="K4" s="2"/>
      <c r="L4" s="9"/>
      <c r="M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C20/251520-0OK14</v>
      </c>
    </row>
    <row r="5" spans="1:13" x14ac:dyDescent="0.25">
      <c r="A5" s="8" t="s">
        <v>13</v>
      </c>
      <c r="B5" s="2">
        <v>15</v>
      </c>
      <c r="C5" s="2">
        <v>20</v>
      </c>
      <c r="D5" s="2" t="s">
        <v>14</v>
      </c>
      <c r="E5" s="25">
        <v>0</v>
      </c>
      <c r="F5" s="8">
        <v>20</v>
      </c>
      <c r="G5" s="9">
        <v>12</v>
      </c>
      <c r="H5" s="14" t="s">
        <v>66</v>
      </c>
      <c r="I5" s="2" t="s">
        <v>16</v>
      </c>
      <c r="J5" s="2"/>
      <c r="K5" s="2"/>
      <c r="L5" s="9"/>
      <c r="M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C20/251520-0OK14</v>
      </c>
    </row>
    <row r="6" spans="1:13" ht="15.75" thickBot="1" x14ac:dyDescent="0.3">
      <c r="A6" s="10" t="s">
        <v>13</v>
      </c>
      <c r="B6" s="26">
        <v>15</v>
      </c>
      <c r="C6" s="26">
        <v>20</v>
      </c>
      <c r="D6" s="26" t="s">
        <v>14</v>
      </c>
      <c r="E6" s="27">
        <v>0</v>
      </c>
      <c r="F6" s="10">
        <v>20</v>
      </c>
      <c r="G6" s="12">
        <v>20</v>
      </c>
      <c r="H6" s="15" t="s">
        <v>66</v>
      </c>
      <c r="I6" s="26" t="s">
        <v>16</v>
      </c>
      <c r="J6" s="26"/>
      <c r="K6" s="26"/>
      <c r="L6" s="12"/>
      <c r="M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C20/251520-0OK14</v>
      </c>
    </row>
    <row r="7" spans="1:13" x14ac:dyDescent="0.25">
      <c r="A7" s="5" t="s">
        <v>13</v>
      </c>
      <c r="B7" s="22">
        <v>15</v>
      </c>
      <c r="C7" s="22">
        <v>15</v>
      </c>
      <c r="D7" s="22" t="s">
        <v>14</v>
      </c>
      <c r="E7" s="24">
        <v>0</v>
      </c>
      <c r="F7" s="5">
        <v>15</v>
      </c>
      <c r="G7" s="7">
        <v>0</v>
      </c>
      <c r="H7" s="13" t="s">
        <v>51</v>
      </c>
      <c r="I7" s="22" t="s">
        <v>16</v>
      </c>
      <c r="J7" s="22"/>
      <c r="K7" s="22"/>
      <c r="L7" s="7"/>
      <c r="M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C20/251515-0OK14</v>
      </c>
    </row>
    <row r="8" spans="1:13" x14ac:dyDescent="0.25">
      <c r="A8" s="8" t="s">
        <v>13</v>
      </c>
      <c r="B8" s="2">
        <v>15</v>
      </c>
      <c r="C8" s="2">
        <v>15</v>
      </c>
      <c r="D8" s="2" t="s">
        <v>14</v>
      </c>
      <c r="E8" s="25">
        <v>0</v>
      </c>
      <c r="F8" s="8">
        <v>15</v>
      </c>
      <c r="G8" s="9">
        <v>2</v>
      </c>
      <c r="H8" s="14" t="s">
        <v>26</v>
      </c>
      <c r="I8" s="2" t="s">
        <v>16</v>
      </c>
      <c r="J8" s="2"/>
      <c r="K8" s="2"/>
      <c r="L8" s="9"/>
      <c r="M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C20/251515-0OK14</v>
      </c>
    </row>
    <row r="9" spans="1:13" x14ac:dyDescent="0.25">
      <c r="A9" s="8" t="s">
        <v>13</v>
      </c>
      <c r="B9" s="2">
        <v>15</v>
      </c>
      <c r="C9" s="2">
        <v>15</v>
      </c>
      <c r="D9" s="2" t="s">
        <v>14</v>
      </c>
      <c r="E9" s="25">
        <v>0</v>
      </c>
      <c r="F9" s="8">
        <v>15</v>
      </c>
      <c r="G9" s="9">
        <v>7</v>
      </c>
      <c r="H9" s="14" t="s">
        <v>56</v>
      </c>
      <c r="I9" s="2" t="s">
        <v>16</v>
      </c>
      <c r="J9" s="2"/>
      <c r="K9" s="2"/>
      <c r="L9" s="9"/>
      <c r="M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C20/251515-0OK14</v>
      </c>
    </row>
    <row r="10" spans="1:13" x14ac:dyDescent="0.25">
      <c r="A10" s="8" t="s">
        <v>13</v>
      </c>
      <c r="B10" s="2">
        <v>15</v>
      </c>
      <c r="C10" s="2">
        <v>15</v>
      </c>
      <c r="D10" s="2" t="s">
        <v>14</v>
      </c>
      <c r="E10" s="25">
        <v>0</v>
      </c>
      <c r="F10" s="8">
        <v>15</v>
      </c>
      <c r="G10" s="9">
        <v>12</v>
      </c>
      <c r="H10" s="14" t="s">
        <v>57</v>
      </c>
      <c r="I10" s="2" t="s">
        <v>16</v>
      </c>
      <c r="J10" s="2"/>
      <c r="K10" s="2"/>
      <c r="L10" s="9"/>
      <c r="M1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C20/251515-0OK14</v>
      </c>
    </row>
    <row r="11" spans="1:13" ht="15.75" thickBot="1" x14ac:dyDescent="0.3">
      <c r="A11" s="10" t="s">
        <v>13</v>
      </c>
      <c r="B11" s="26">
        <v>15</v>
      </c>
      <c r="C11" s="26">
        <v>15</v>
      </c>
      <c r="D11" s="26" t="s">
        <v>14</v>
      </c>
      <c r="E11" s="27">
        <v>0</v>
      </c>
      <c r="F11" s="10">
        <v>15</v>
      </c>
      <c r="G11" s="12">
        <v>20</v>
      </c>
      <c r="H11" s="15" t="s">
        <v>57</v>
      </c>
      <c r="I11" s="26" t="s">
        <v>16</v>
      </c>
      <c r="J11" s="26"/>
      <c r="K11" s="26"/>
      <c r="L11" s="12"/>
      <c r="M1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C20/251515-0OK14</v>
      </c>
    </row>
    <row r="12" spans="1:13" x14ac:dyDescent="0.25">
      <c r="A12" s="5" t="s">
        <v>13</v>
      </c>
      <c r="B12" s="22">
        <v>15</v>
      </c>
      <c r="C12" s="22">
        <v>10</v>
      </c>
      <c r="D12" s="22" t="s">
        <v>14</v>
      </c>
      <c r="E12" s="24">
        <v>0</v>
      </c>
      <c r="F12" s="5">
        <v>10</v>
      </c>
      <c r="G12" s="7">
        <v>0</v>
      </c>
      <c r="H12" s="13" t="s">
        <v>43</v>
      </c>
      <c r="I12" s="22" t="s">
        <v>16</v>
      </c>
      <c r="J12" s="22"/>
      <c r="K12" s="22"/>
      <c r="L12" s="7"/>
      <c r="M1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C20/251510-0OK14</v>
      </c>
    </row>
    <row r="13" spans="1:13" x14ac:dyDescent="0.25">
      <c r="A13" s="8" t="s">
        <v>13</v>
      </c>
      <c r="B13" s="2">
        <v>15</v>
      </c>
      <c r="C13" s="2">
        <v>10</v>
      </c>
      <c r="D13" s="2" t="s">
        <v>14</v>
      </c>
      <c r="E13" s="25">
        <v>0</v>
      </c>
      <c r="F13" s="8">
        <v>10</v>
      </c>
      <c r="G13" s="9">
        <v>2</v>
      </c>
      <c r="H13" s="14" t="s">
        <v>37</v>
      </c>
      <c r="I13" s="2" t="s">
        <v>16</v>
      </c>
      <c r="J13" s="2"/>
      <c r="K13" s="2"/>
      <c r="L13" s="9"/>
      <c r="M1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C20/251510-0OK14</v>
      </c>
    </row>
    <row r="14" spans="1:13" x14ac:dyDescent="0.25">
      <c r="A14" s="8" t="s">
        <v>13</v>
      </c>
      <c r="B14" s="2">
        <v>15</v>
      </c>
      <c r="C14" s="2">
        <v>10</v>
      </c>
      <c r="D14" s="2" t="s">
        <v>14</v>
      </c>
      <c r="E14" s="25">
        <v>0</v>
      </c>
      <c r="F14" s="8">
        <v>10</v>
      </c>
      <c r="G14" s="9">
        <v>7</v>
      </c>
      <c r="H14" s="14">
        <v>14</v>
      </c>
      <c r="I14" s="2" t="s">
        <v>16</v>
      </c>
      <c r="J14" s="2"/>
      <c r="K14" s="2"/>
      <c r="L14" s="9"/>
      <c r="M1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C20/251510-0OK14</v>
      </c>
    </row>
    <row r="15" spans="1:13" x14ac:dyDescent="0.25">
      <c r="A15" s="8" t="s">
        <v>13</v>
      </c>
      <c r="B15" s="2">
        <v>15</v>
      </c>
      <c r="C15" s="2">
        <v>10</v>
      </c>
      <c r="D15" s="2">
        <v>0</v>
      </c>
      <c r="E15" s="25">
        <v>0</v>
      </c>
      <c r="F15" s="8">
        <v>10</v>
      </c>
      <c r="G15" s="9">
        <v>12</v>
      </c>
      <c r="H15" s="14" t="s">
        <v>44</v>
      </c>
      <c r="I15" s="2" t="s">
        <v>16</v>
      </c>
      <c r="J15" s="2"/>
      <c r="K15" s="2"/>
      <c r="L15" s="9"/>
      <c r="M1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C20/25151000OK14</v>
      </c>
    </row>
    <row r="16" spans="1:13" ht="15.75" thickBot="1" x14ac:dyDescent="0.3">
      <c r="A16" s="10" t="s">
        <v>13</v>
      </c>
      <c r="B16" s="26">
        <v>15</v>
      </c>
      <c r="C16" s="26">
        <v>10</v>
      </c>
      <c r="D16" s="26">
        <v>0</v>
      </c>
      <c r="E16" s="27">
        <v>0</v>
      </c>
      <c r="F16" s="10">
        <v>10</v>
      </c>
      <c r="G16" s="12">
        <v>20</v>
      </c>
      <c r="H16" s="15">
        <v>14</v>
      </c>
      <c r="I16" s="26" t="s">
        <v>16</v>
      </c>
      <c r="J16" s="26"/>
      <c r="K16" s="26"/>
      <c r="L16" s="12"/>
      <c r="M1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C20/25151000OK14</v>
      </c>
    </row>
    <row r="17" spans="1:13" x14ac:dyDescent="0.25">
      <c r="A17" s="5" t="s">
        <v>13</v>
      </c>
      <c r="B17" s="22">
        <v>20</v>
      </c>
      <c r="C17" s="22">
        <v>5</v>
      </c>
      <c r="D17" s="22">
        <v>10</v>
      </c>
      <c r="E17" s="24">
        <v>0</v>
      </c>
      <c r="F17" s="5">
        <v>5</v>
      </c>
      <c r="G17" s="7">
        <v>0</v>
      </c>
      <c r="H17" s="13" t="s">
        <v>43</v>
      </c>
      <c r="I17" s="22" t="s">
        <v>16</v>
      </c>
      <c r="J17" s="22"/>
      <c r="K17" s="22"/>
      <c r="L17" s="7"/>
      <c r="M1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C20/25205100OK14</v>
      </c>
    </row>
    <row r="18" spans="1:13" x14ac:dyDescent="0.25">
      <c r="A18" s="8" t="s">
        <v>13</v>
      </c>
      <c r="B18" s="2">
        <v>20</v>
      </c>
      <c r="C18" s="2">
        <v>5</v>
      </c>
      <c r="D18" s="2">
        <v>10</v>
      </c>
      <c r="E18" s="25">
        <v>0</v>
      </c>
      <c r="F18" s="8">
        <v>5</v>
      </c>
      <c r="G18" s="9">
        <v>2</v>
      </c>
      <c r="H18" s="14" t="s">
        <v>31</v>
      </c>
      <c r="I18" s="2" t="s">
        <v>16</v>
      </c>
      <c r="J18" s="2"/>
      <c r="K18" s="2"/>
      <c r="L18" s="9"/>
      <c r="M1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C20/25205100OK14</v>
      </c>
    </row>
    <row r="19" spans="1:13" x14ac:dyDescent="0.25">
      <c r="A19" s="8" t="s">
        <v>13</v>
      </c>
      <c r="B19" s="2">
        <v>20</v>
      </c>
      <c r="C19" s="2">
        <v>5</v>
      </c>
      <c r="D19" s="2">
        <v>20</v>
      </c>
      <c r="E19" s="25" t="s">
        <v>33</v>
      </c>
      <c r="F19" s="8">
        <v>5</v>
      </c>
      <c r="G19" s="9">
        <v>7</v>
      </c>
      <c r="H19" s="14" t="s">
        <v>54</v>
      </c>
      <c r="I19" s="2" t="s">
        <v>16</v>
      </c>
      <c r="J19" s="2"/>
      <c r="K19" s="2"/>
      <c r="L19" s="9"/>
      <c r="M1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C20/2520520PresenningOK14</v>
      </c>
    </row>
    <row r="20" spans="1:13" x14ac:dyDescent="0.25">
      <c r="A20" s="8" t="s">
        <v>13</v>
      </c>
      <c r="B20" s="2">
        <v>20</v>
      </c>
      <c r="C20" s="2">
        <v>5</v>
      </c>
      <c r="D20" s="2">
        <v>20</v>
      </c>
      <c r="E20" s="25" t="s">
        <v>33</v>
      </c>
      <c r="F20" s="8">
        <v>5</v>
      </c>
      <c r="G20" s="9">
        <v>12</v>
      </c>
      <c r="H20" s="14">
        <v>13</v>
      </c>
      <c r="I20" s="2" t="s">
        <v>16</v>
      </c>
      <c r="J20" s="2"/>
      <c r="K20" s="2"/>
      <c r="L20" s="9"/>
      <c r="M2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C20/2520520PresenningOK14</v>
      </c>
    </row>
    <row r="21" spans="1:13" ht="15.75" thickBot="1" x14ac:dyDescent="0.3">
      <c r="A21" s="10" t="s">
        <v>13</v>
      </c>
      <c r="B21" s="26">
        <v>20</v>
      </c>
      <c r="C21" s="26">
        <v>5</v>
      </c>
      <c r="D21" s="26">
        <v>20</v>
      </c>
      <c r="E21" s="27" t="s">
        <v>33</v>
      </c>
      <c r="F21" s="10">
        <v>5</v>
      </c>
      <c r="G21" s="12">
        <v>20</v>
      </c>
      <c r="H21" s="15" t="s">
        <v>30</v>
      </c>
      <c r="I21" s="26" t="s">
        <v>16</v>
      </c>
      <c r="J21" s="26"/>
      <c r="K21" s="26"/>
      <c r="L21" s="12"/>
      <c r="M2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C20/2520520PresenningOK14</v>
      </c>
    </row>
    <row r="22" spans="1:13" x14ac:dyDescent="0.25">
      <c r="A22" s="5" t="s">
        <v>13</v>
      </c>
      <c r="B22" s="22">
        <v>20</v>
      </c>
      <c r="C22" s="22">
        <v>5</v>
      </c>
      <c r="D22" s="22">
        <v>20</v>
      </c>
      <c r="E22" s="24">
        <v>0</v>
      </c>
      <c r="F22" s="5">
        <v>0</v>
      </c>
      <c r="G22" s="7">
        <v>0</v>
      </c>
      <c r="H22" s="13" t="s">
        <v>41</v>
      </c>
      <c r="I22" s="22" t="s">
        <v>16</v>
      </c>
      <c r="J22" s="22"/>
      <c r="K22" s="22"/>
      <c r="L22" s="7"/>
      <c r="M2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C20/25205200OK14</v>
      </c>
    </row>
    <row r="23" spans="1:13" x14ac:dyDescent="0.25">
      <c r="A23" s="8" t="s">
        <v>13</v>
      </c>
      <c r="B23" s="2">
        <v>20</v>
      </c>
      <c r="C23" s="2">
        <v>5</v>
      </c>
      <c r="D23" s="2">
        <v>20</v>
      </c>
      <c r="E23" s="25">
        <v>10</v>
      </c>
      <c r="F23" s="8">
        <v>0</v>
      </c>
      <c r="G23" s="9">
        <v>2</v>
      </c>
      <c r="H23" s="14" t="s">
        <v>67</v>
      </c>
      <c r="I23" s="2" t="s">
        <v>16</v>
      </c>
      <c r="J23" s="2"/>
      <c r="K23" s="2"/>
      <c r="L23" s="9"/>
      <c r="M2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C20/252052010OK14</v>
      </c>
    </row>
    <row r="24" spans="1:13" x14ac:dyDescent="0.25">
      <c r="A24" s="8" t="s">
        <v>13</v>
      </c>
      <c r="B24" s="2">
        <v>20</v>
      </c>
      <c r="C24" s="2">
        <v>5</v>
      </c>
      <c r="D24" s="2">
        <v>20</v>
      </c>
      <c r="E24" s="25">
        <v>10</v>
      </c>
      <c r="F24" s="8">
        <v>0</v>
      </c>
      <c r="G24" s="9">
        <v>7</v>
      </c>
      <c r="H24" s="14" t="s">
        <v>59</v>
      </c>
      <c r="I24" s="2" t="s">
        <v>16</v>
      </c>
      <c r="J24" s="2"/>
      <c r="K24" s="2"/>
      <c r="L24" s="9"/>
      <c r="M2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C20/252052010OK14</v>
      </c>
    </row>
    <row r="25" spans="1:13" x14ac:dyDescent="0.25">
      <c r="A25" s="8" t="s">
        <v>13</v>
      </c>
      <c r="B25" s="2">
        <v>20</v>
      </c>
      <c r="C25" s="2">
        <v>5</v>
      </c>
      <c r="D25" s="2">
        <v>20</v>
      </c>
      <c r="E25" s="25">
        <v>10</v>
      </c>
      <c r="F25" s="8">
        <v>0</v>
      </c>
      <c r="G25" s="9">
        <v>12</v>
      </c>
      <c r="H25" s="14" t="s">
        <v>68</v>
      </c>
      <c r="I25" s="2" t="s">
        <v>16</v>
      </c>
      <c r="J25" s="2"/>
      <c r="K25" s="2"/>
      <c r="L25" s="9"/>
      <c r="M2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C20/252052010OK14</v>
      </c>
    </row>
    <row r="26" spans="1:13" ht="15.75" thickBot="1" x14ac:dyDescent="0.3">
      <c r="A26" s="10" t="s">
        <v>13</v>
      </c>
      <c r="B26" s="26">
        <v>20</v>
      </c>
      <c r="C26" s="26">
        <v>5</v>
      </c>
      <c r="D26" s="26">
        <v>20</v>
      </c>
      <c r="E26" s="27">
        <v>10</v>
      </c>
      <c r="F26" s="10">
        <v>0</v>
      </c>
      <c r="G26" s="12">
        <v>20</v>
      </c>
      <c r="H26" s="15" t="s">
        <v>29</v>
      </c>
      <c r="I26" s="26" t="s">
        <v>16</v>
      </c>
      <c r="J26" s="26"/>
      <c r="K26" s="26"/>
      <c r="L26" s="12"/>
      <c r="M2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C20/252052010OK14</v>
      </c>
    </row>
    <row r="27" spans="1:13" x14ac:dyDescent="0.25">
      <c r="A27" s="5" t="s">
        <v>13</v>
      </c>
      <c r="B27" s="22">
        <v>20</v>
      </c>
      <c r="C27" s="22">
        <v>5</v>
      </c>
      <c r="D27" s="22">
        <v>20</v>
      </c>
      <c r="E27" s="24">
        <v>10</v>
      </c>
      <c r="F27" s="5">
        <v>-5</v>
      </c>
      <c r="G27" s="7">
        <v>0</v>
      </c>
      <c r="H27" s="13" t="s">
        <v>55</v>
      </c>
      <c r="I27" s="22" t="s">
        <v>16</v>
      </c>
      <c r="J27" s="22"/>
      <c r="K27" s="22"/>
      <c r="L27" s="7"/>
      <c r="M2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C20/252052010OK14</v>
      </c>
    </row>
    <row r="28" spans="1:13" x14ac:dyDescent="0.25">
      <c r="A28" s="8" t="s">
        <v>13</v>
      </c>
      <c r="B28" s="2">
        <v>20</v>
      </c>
      <c r="C28" s="2">
        <v>5</v>
      </c>
      <c r="D28" s="2">
        <v>20</v>
      </c>
      <c r="E28" s="25">
        <v>20</v>
      </c>
      <c r="F28" s="8">
        <v>-5</v>
      </c>
      <c r="G28" s="9">
        <v>2</v>
      </c>
      <c r="H28" s="14" t="s">
        <v>69</v>
      </c>
      <c r="I28" s="2" t="s">
        <v>16</v>
      </c>
      <c r="J28" s="2"/>
      <c r="K28" s="2"/>
      <c r="L28" s="9"/>
      <c r="M2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C20/252052020OK14</v>
      </c>
    </row>
    <row r="29" spans="1:13" x14ac:dyDescent="0.25">
      <c r="A29" s="8" t="s">
        <v>13</v>
      </c>
      <c r="B29" s="2">
        <v>20</v>
      </c>
      <c r="C29" s="2">
        <v>5</v>
      </c>
      <c r="D29" s="2">
        <v>20</v>
      </c>
      <c r="E29" s="25">
        <v>20</v>
      </c>
      <c r="F29" s="8">
        <v>-5</v>
      </c>
      <c r="G29" s="9">
        <v>7</v>
      </c>
      <c r="H29" s="14">
        <v>13</v>
      </c>
      <c r="I29" s="2" t="s">
        <v>16</v>
      </c>
      <c r="J29" s="2"/>
      <c r="K29" s="2"/>
      <c r="L29" s="9"/>
      <c r="M2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C20/252052020OK14</v>
      </c>
    </row>
    <row r="30" spans="1:13" x14ac:dyDescent="0.25">
      <c r="A30" s="8" t="s">
        <v>13</v>
      </c>
      <c r="B30" s="2">
        <v>20</v>
      </c>
      <c r="C30" s="2">
        <v>5</v>
      </c>
      <c r="D30" s="2">
        <v>20</v>
      </c>
      <c r="E30" s="25">
        <v>20</v>
      </c>
      <c r="F30" s="8">
        <v>-5</v>
      </c>
      <c r="G30" s="9">
        <v>12</v>
      </c>
      <c r="H30" s="14" t="s">
        <v>41</v>
      </c>
      <c r="I30" s="2" t="s">
        <v>16</v>
      </c>
      <c r="J30" s="2"/>
      <c r="K30" s="2"/>
      <c r="L30" s="9"/>
      <c r="M3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C20/252052020OK14</v>
      </c>
    </row>
    <row r="31" spans="1:13" ht="15.75" thickBot="1" x14ac:dyDescent="0.3">
      <c r="A31" s="10" t="s">
        <v>13</v>
      </c>
      <c r="B31" s="26">
        <v>20</v>
      </c>
      <c r="C31" s="26">
        <v>5</v>
      </c>
      <c r="D31" s="26">
        <v>20</v>
      </c>
      <c r="E31" s="27">
        <v>20</v>
      </c>
      <c r="F31" s="10">
        <v>-5</v>
      </c>
      <c r="G31" s="12">
        <v>20</v>
      </c>
      <c r="H31" s="15" t="s">
        <v>30</v>
      </c>
      <c r="I31" s="26" t="s">
        <v>16</v>
      </c>
      <c r="J31" s="26"/>
      <c r="K31" s="26"/>
      <c r="L31" s="12"/>
      <c r="M3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C20/252052020OK14</v>
      </c>
    </row>
    <row r="32" spans="1:13" x14ac:dyDescent="0.25">
      <c r="A32" s="5" t="s">
        <v>13</v>
      </c>
      <c r="B32" s="22">
        <v>20</v>
      </c>
      <c r="C32" s="22">
        <v>5</v>
      </c>
      <c r="D32" s="22">
        <v>20</v>
      </c>
      <c r="E32" s="24">
        <v>50</v>
      </c>
      <c r="F32" s="5">
        <v>-10</v>
      </c>
      <c r="G32" s="7">
        <v>0</v>
      </c>
      <c r="H32" s="13" t="s">
        <v>43</v>
      </c>
      <c r="I32" s="22" t="s">
        <v>16</v>
      </c>
      <c r="J32" s="22"/>
      <c r="K32" s="22"/>
      <c r="L32" s="7"/>
      <c r="M3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C20/252052050OK14</v>
      </c>
    </row>
    <row r="33" spans="1:13" x14ac:dyDescent="0.25">
      <c r="A33" s="8" t="s">
        <v>13</v>
      </c>
      <c r="B33" s="2">
        <v>20</v>
      </c>
      <c r="C33" s="2">
        <v>5</v>
      </c>
      <c r="D33" s="2">
        <v>20</v>
      </c>
      <c r="E33" s="25">
        <v>50</v>
      </c>
      <c r="F33" s="8">
        <v>-10</v>
      </c>
      <c r="G33" s="9">
        <v>2</v>
      </c>
      <c r="H33" s="14" t="s">
        <v>41</v>
      </c>
      <c r="I33" s="2" t="s">
        <v>16</v>
      </c>
      <c r="J33" s="2"/>
      <c r="K33" s="2"/>
      <c r="L33" s="9"/>
      <c r="M3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C20/252052050OK14</v>
      </c>
    </row>
    <row r="34" spans="1:13" x14ac:dyDescent="0.25">
      <c r="A34" s="8" t="s">
        <v>13</v>
      </c>
      <c r="B34" s="2">
        <v>20</v>
      </c>
      <c r="C34" s="2">
        <v>5</v>
      </c>
      <c r="D34" s="2">
        <v>20</v>
      </c>
      <c r="E34" s="25">
        <v>50</v>
      </c>
      <c r="F34" s="8">
        <v>-10</v>
      </c>
      <c r="G34" s="9">
        <v>7</v>
      </c>
      <c r="H34" s="14" t="s">
        <v>37</v>
      </c>
      <c r="I34" s="2" t="s">
        <v>16</v>
      </c>
      <c r="J34" s="2"/>
      <c r="K34" s="2"/>
      <c r="L34" s="9"/>
      <c r="M3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C20/252052050OK14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/>
      <c r="I35" s="2"/>
      <c r="J35" s="2"/>
      <c r="K35" s="2"/>
      <c r="L35" s="9" t="s">
        <v>70</v>
      </c>
      <c r="M3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36" spans="1:13" ht="15.75" thickBot="1" x14ac:dyDescent="0.3">
      <c r="A36" s="8" t="s">
        <v>14</v>
      </c>
      <c r="B36" s="2" t="s">
        <v>14</v>
      </c>
      <c r="C36" s="2" t="s">
        <v>14</v>
      </c>
      <c r="D36" s="2" t="s">
        <v>14</v>
      </c>
      <c r="E36" s="25" t="s">
        <v>14</v>
      </c>
      <c r="F36" s="10">
        <v>-10</v>
      </c>
      <c r="G36" s="12">
        <v>20</v>
      </c>
      <c r="H36" s="15"/>
      <c r="I36" s="26"/>
      <c r="J36" s="26"/>
      <c r="K36" s="26"/>
      <c r="L36" s="12" t="s">
        <v>70</v>
      </c>
      <c r="M3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37" spans="1:13" x14ac:dyDescent="0.25">
      <c r="A37" s="5" t="s">
        <v>71</v>
      </c>
      <c r="B37" s="22">
        <v>15</v>
      </c>
      <c r="C37" s="22">
        <v>5</v>
      </c>
      <c r="D37" s="22">
        <v>20</v>
      </c>
      <c r="E37" s="24">
        <v>30</v>
      </c>
      <c r="F37" s="6">
        <v>-15</v>
      </c>
      <c r="G37" s="7">
        <v>0</v>
      </c>
      <c r="H37" s="13" t="s">
        <v>43</v>
      </c>
      <c r="I37" s="22" t="s">
        <v>16</v>
      </c>
      <c r="J37" s="22"/>
      <c r="K37" s="22"/>
      <c r="L37" s="7"/>
      <c r="M3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C25/301552030OK14</v>
      </c>
    </row>
    <row r="38" spans="1:13" x14ac:dyDescent="0.25">
      <c r="A38" s="8" t="s">
        <v>71</v>
      </c>
      <c r="B38" s="2">
        <v>15</v>
      </c>
      <c r="C38" s="2">
        <v>5</v>
      </c>
      <c r="D38" s="2">
        <v>20</v>
      </c>
      <c r="E38" s="25">
        <v>30</v>
      </c>
      <c r="F38">
        <v>-15</v>
      </c>
      <c r="G38" s="9">
        <v>2</v>
      </c>
      <c r="H38" s="14" t="s">
        <v>34</v>
      </c>
      <c r="I38" s="2" t="s">
        <v>16</v>
      </c>
      <c r="J38" s="2"/>
      <c r="K38" s="2"/>
      <c r="L38" s="9"/>
      <c r="M3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C25/301552030OK14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>
        <v>-15</v>
      </c>
      <c r="G39" s="9">
        <v>7</v>
      </c>
      <c r="H39" s="14"/>
      <c r="I39" s="2"/>
      <c r="J39" s="2"/>
      <c r="K39" s="2"/>
      <c r="L39" s="9" t="s">
        <v>70</v>
      </c>
      <c r="M3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>
        <v>-15</v>
      </c>
      <c r="G40" s="9">
        <v>12</v>
      </c>
      <c r="H40" s="14"/>
      <c r="I40" s="2"/>
      <c r="J40" s="2"/>
      <c r="K40" s="2"/>
      <c r="L40" s="9" t="s">
        <v>70</v>
      </c>
      <c r="M4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1">
        <v>-15</v>
      </c>
      <c r="G41" s="12">
        <v>20</v>
      </c>
      <c r="H41" s="15"/>
      <c r="I41" s="26"/>
      <c r="J41" s="26"/>
      <c r="K41" s="26"/>
      <c r="L41" s="12" t="s">
        <v>70</v>
      </c>
      <c r="M4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2" spans="1:13" x14ac:dyDescent="0.25">
      <c r="A42" s="8" t="s">
        <v>14</v>
      </c>
      <c r="B42" s="2" t="s">
        <v>14</v>
      </c>
      <c r="C42" s="2" t="s">
        <v>14</v>
      </c>
      <c r="D42" s="2" t="s">
        <v>14</v>
      </c>
      <c r="E42" s="25" t="s">
        <v>14</v>
      </c>
      <c r="F42">
        <v>-20</v>
      </c>
      <c r="G42" s="9">
        <v>0</v>
      </c>
      <c r="H42" s="14" t="s">
        <v>14</v>
      </c>
      <c r="I42" s="2"/>
      <c r="J42" s="2" t="s">
        <v>14</v>
      </c>
      <c r="K42" s="2"/>
      <c r="L42" s="9" t="s">
        <v>72</v>
      </c>
      <c r="M42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3" spans="1:13" x14ac:dyDescent="0.25">
      <c r="A43" s="8" t="s">
        <v>14</v>
      </c>
      <c r="B43" s="2" t="s">
        <v>14</v>
      </c>
      <c r="C43" s="2" t="s">
        <v>14</v>
      </c>
      <c r="D43" s="2" t="s">
        <v>14</v>
      </c>
      <c r="E43" s="25" t="s">
        <v>14</v>
      </c>
      <c r="F43">
        <v>-20</v>
      </c>
      <c r="G43" s="9">
        <v>2</v>
      </c>
      <c r="H43" s="14" t="s">
        <v>14</v>
      </c>
      <c r="I43" s="2"/>
      <c r="J43" s="2" t="s">
        <v>14</v>
      </c>
      <c r="K43" s="2"/>
      <c r="L43" s="9" t="s">
        <v>72</v>
      </c>
      <c r="M4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>
        <v>-20</v>
      </c>
      <c r="G44" s="9">
        <v>7</v>
      </c>
      <c r="H44" s="14" t="s">
        <v>14</v>
      </c>
      <c r="I44" s="2"/>
      <c r="J44" s="2" t="s">
        <v>14</v>
      </c>
      <c r="K44" s="2"/>
      <c r="L44" s="9" t="s">
        <v>72</v>
      </c>
      <c r="M4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>
        <v>-20</v>
      </c>
      <c r="G45" s="9">
        <v>12</v>
      </c>
      <c r="H45" s="14" t="s">
        <v>14</v>
      </c>
      <c r="I45" s="2"/>
      <c r="J45" s="2" t="s">
        <v>14</v>
      </c>
      <c r="K45" s="2"/>
      <c r="L45" s="9" t="s">
        <v>72</v>
      </c>
      <c r="M4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1">
        <v>-20</v>
      </c>
      <c r="G46" s="12">
        <v>20</v>
      </c>
      <c r="H46" s="15" t="s">
        <v>14</v>
      </c>
      <c r="I46" s="26"/>
      <c r="J46" s="26" t="s">
        <v>14</v>
      </c>
      <c r="K46" s="26"/>
      <c r="L46" s="12" t="s">
        <v>72</v>
      </c>
      <c r="M4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</f>
        <v>-----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BA283CF-201B-4367-BB91-8A4AE89AA715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65A81A9-6C58-4902-80D4-4FFCA4256FD6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1F90241-FEE6-41B0-A1C1-678690BC1061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1B8351D1-979A-49BB-8304-B2F1FCF67383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67D7D140-0C93-4EDF-A2DB-42E3E40B8C11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55307F2E-450B-47C7-AEFA-94694C1B0911}">
          <x14:formula1>
            <xm:f>Förutsättningar!$F$2</xm:f>
          </x14:formula1>
          <xm:sqref>I2:I46</xm:sqref>
        </x14:dataValidation>
        <x14:dataValidation type="list" allowBlank="1" showInputMessage="1" showErrorMessage="1" xr:uid="{D75C466C-76AB-4CE7-9DD9-6226EA55B820}">
          <x14:formula1>
            <xm:f>Förutsättningar!$G$2</xm:f>
          </x14:formula1>
          <xm:sqref>K2:K46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DC3-5934-4686-BB45-360A18084ACD}">
  <dimension ref="A1:M46"/>
  <sheetViews>
    <sheetView zoomScaleNormal="100" workbookViewId="0">
      <selection activeCell="H11" sqref="H2:H11"/>
    </sheetView>
  </sheetViews>
  <sheetFormatPr defaultRowHeight="15" x14ac:dyDescent="0.25"/>
  <cols>
    <col min="1" max="2" width="11.42578125" customWidth="1"/>
    <col min="3" max="3" width="16.28515625" customWidth="1"/>
    <col min="4" max="4" width="23.7109375" customWidth="1"/>
    <col min="5" max="7" width="11.42578125" customWidth="1"/>
    <col min="8" max="8" width="24.85546875" customWidth="1"/>
    <col min="9" max="9" width="18.28515625" customWidth="1"/>
    <col min="10" max="10" width="26.140625" customWidth="1"/>
    <col min="11" max="11" width="17.42578125" customWidth="1"/>
    <col min="12" max="12" width="11.42578125" customWidth="1"/>
    <col min="13" max="13" width="29" customWidth="1"/>
  </cols>
  <sheetData>
    <row r="1" spans="1:13" ht="39" customHeight="1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73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5">
      <c r="A2" s="5" t="s">
        <v>13</v>
      </c>
      <c r="B2" s="22">
        <v>15</v>
      </c>
      <c r="C2" s="22">
        <v>20</v>
      </c>
      <c r="D2" s="23" t="s">
        <v>14</v>
      </c>
      <c r="E2" s="24">
        <v>0</v>
      </c>
      <c r="F2" s="5">
        <v>20</v>
      </c>
      <c r="G2" s="7">
        <v>0</v>
      </c>
      <c r="H2" s="13" t="s">
        <v>65</v>
      </c>
      <c r="I2" s="22" t="s">
        <v>16</v>
      </c>
      <c r="J2" s="22"/>
      <c r="K2" s="22"/>
      <c r="L2" s="7"/>
      <c r="M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C20/251520-0OK14</v>
      </c>
    </row>
    <row r="3" spans="1:13" x14ac:dyDescent="0.25">
      <c r="A3" s="8" t="s">
        <v>13</v>
      </c>
      <c r="B3" s="2">
        <v>15</v>
      </c>
      <c r="C3" s="2">
        <v>20</v>
      </c>
      <c r="D3" s="2" t="s">
        <v>14</v>
      </c>
      <c r="E3" s="25">
        <v>0</v>
      </c>
      <c r="F3" s="8">
        <v>20</v>
      </c>
      <c r="G3" s="9">
        <v>2</v>
      </c>
      <c r="H3" s="14" t="s">
        <v>74</v>
      </c>
      <c r="I3" s="2" t="s">
        <v>16</v>
      </c>
      <c r="J3" s="2"/>
      <c r="K3" s="2"/>
      <c r="L3" s="9"/>
      <c r="M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C20/251520-0OK14</v>
      </c>
    </row>
    <row r="4" spans="1:13" x14ac:dyDescent="0.25">
      <c r="A4" s="8" t="s">
        <v>13</v>
      </c>
      <c r="B4" s="2">
        <v>15</v>
      </c>
      <c r="C4" s="2">
        <v>20</v>
      </c>
      <c r="D4" s="2" t="s">
        <v>14</v>
      </c>
      <c r="E4" s="25">
        <v>0</v>
      </c>
      <c r="F4" s="8">
        <v>20</v>
      </c>
      <c r="G4" s="9">
        <v>7</v>
      </c>
      <c r="H4" s="14" t="s">
        <v>75</v>
      </c>
      <c r="I4" s="2" t="s">
        <v>16</v>
      </c>
      <c r="J4" s="2"/>
      <c r="K4" s="2"/>
      <c r="L4" s="9"/>
      <c r="M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C20/251520-0OK14</v>
      </c>
    </row>
    <row r="5" spans="1:13" x14ac:dyDescent="0.25">
      <c r="A5" s="8" t="s">
        <v>13</v>
      </c>
      <c r="B5" s="2">
        <v>15</v>
      </c>
      <c r="C5" s="2">
        <v>20</v>
      </c>
      <c r="D5" s="2" t="s">
        <v>14</v>
      </c>
      <c r="E5" s="25">
        <v>0</v>
      </c>
      <c r="F5" s="8">
        <v>20</v>
      </c>
      <c r="G5" s="9">
        <v>12</v>
      </c>
      <c r="H5" s="14" t="s">
        <v>76</v>
      </c>
      <c r="I5" s="2" t="s">
        <v>16</v>
      </c>
      <c r="J5" s="2"/>
      <c r="K5" s="2"/>
      <c r="L5" s="9"/>
      <c r="M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C20/251520-0OK14</v>
      </c>
    </row>
    <row r="6" spans="1:13" ht="15.75" thickBot="1" x14ac:dyDescent="0.3">
      <c r="A6" s="10" t="s">
        <v>13</v>
      </c>
      <c r="B6" s="26">
        <v>15</v>
      </c>
      <c r="C6" s="26">
        <v>20</v>
      </c>
      <c r="D6" s="26" t="s">
        <v>14</v>
      </c>
      <c r="E6" s="27">
        <v>0</v>
      </c>
      <c r="F6" s="10">
        <v>20</v>
      </c>
      <c r="G6" s="12">
        <v>20</v>
      </c>
      <c r="H6" s="15" t="s">
        <v>76</v>
      </c>
      <c r="I6" s="26" t="s">
        <v>16</v>
      </c>
      <c r="J6" s="26"/>
      <c r="K6" s="26"/>
      <c r="L6" s="12"/>
      <c r="M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C20/251520-0OK14</v>
      </c>
    </row>
    <row r="7" spans="1:13" x14ac:dyDescent="0.25">
      <c r="A7" s="5" t="s">
        <v>13</v>
      </c>
      <c r="B7" s="22">
        <v>15</v>
      </c>
      <c r="C7" s="22">
        <v>15</v>
      </c>
      <c r="D7" s="22" t="s">
        <v>14</v>
      </c>
      <c r="E7" s="24">
        <v>0</v>
      </c>
      <c r="F7" s="5">
        <v>15</v>
      </c>
      <c r="G7" s="7">
        <v>0</v>
      </c>
      <c r="H7" s="13" t="s">
        <v>27</v>
      </c>
      <c r="I7" s="22" t="s">
        <v>16</v>
      </c>
      <c r="J7" s="22"/>
      <c r="K7" s="22"/>
      <c r="L7" s="7"/>
      <c r="M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C20/251515-0OK14</v>
      </c>
    </row>
    <row r="8" spans="1:13" x14ac:dyDescent="0.25">
      <c r="A8" s="8" t="s">
        <v>13</v>
      </c>
      <c r="B8" s="2">
        <v>15</v>
      </c>
      <c r="C8" s="2">
        <v>15</v>
      </c>
      <c r="D8" s="2" t="s">
        <v>14</v>
      </c>
      <c r="E8" s="25">
        <v>0</v>
      </c>
      <c r="F8" s="8">
        <v>15</v>
      </c>
      <c r="G8" s="9">
        <v>2</v>
      </c>
      <c r="H8" s="14" t="s">
        <v>77</v>
      </c>
      <c r="I8" s="2" t="s">
        <v>16</v>
      </c>
      <c r="J8" s="2"/>
      <c r="K8" s="2"/>
      <c r="L8" s="9"/>
      <c r="M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C20/251515-0OK14</v>
      </c>
    </row>
    <row r="9" spans="1:13" x14ac:dyDescent="0.25">
      <c r="A9" s="8" t="s">
        <v>13</v>
      </c>
      <c r="B9" s="2">
        <v>15</v>
      </c>
      <c r="C9" s="2">
        <v>15</v>
      </c>
      <c r="D9" s="2" t="s">
        <v>14</v>
      </c>
      <c r="E9" s="25">
        <v>0</v>
      </c>
      <c r="F9" s="8">
        <v>15</v>
      </c>
      <c r="G9" s="9">
        <v>7</v>
      </c>
      <c r="H9" s="14">
        <v>11</v>
      </c>
      <c r="I9" s="2" t="s">
        <v>16</v>
      </c>
      <c r="J9" s="2"/>
      <c r="K9" s="2"/>
      <c r="L9" s="9"/>
      <c r="M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C20/251515-0OK14</v>
      </c>
    </row>
    <row r="10" spans="1:13" x14ac:dyDescent="0.25">
      <c r="A10" s="8" t="s">
        <v>13</v>
      </c>
      <c r="B10" s="2">
        <v>15</v>
      </c>
      <c r="C10" s="2">
        <v>15</v>
      </c>
      <c r="D10" s="2" t="s">
        <v>14</v>
      </c>
      <c r="E10" s="25">
        <v>0</v>
      </c>
      <c r="F10" s="8">
        <v>15</v>
      </c>
      <c r="G10" s="9">
        <v>12</v>
      </c>
      <c r="H10" s="14">
        <v>11</v>
      </c>
      <c r="I10" s="2" t="s">
        <v>16</v>
      </c>
      <c r="J10" s="2"/>
      <c r="K10" s="2"/>
      <c r="L10" s="9"/>
      <c r="M1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C20/251515-0OK14</v>
      </c>
    </row>
    <row r="11" spans="1:13" ht="15.75" thickBot="1" x14ac:dyDescent="0.3">
      <c r="A11" s="10" t="s">
        <v>13</v>
      </c>
      <c r="B11" s="26">
        <v>15</v>
      </c>
      <c r="C11" s="26">
        <v>15</v>
      </c>
      <c r="D11" s="26" t="s">
        <v>14</v>
      </c>
      <c r="E11" s="27">
        <v>0</v>
      </c>
      <c r="F11" s="10">
        <v>15</v>
      </c>
      <c r="G11" s="12">
        <v>20</v>
      </c>
      <c r="H11" s="15" t="s">
        <v>78</v>
      </c>
      <c r="I11" s="26" t="s">
        <v>16</v>
      </c>
      <c r="J11" s="26"/>
      <c r="K11" s="26"/>
      <c r="L11" s="12"/>
      <c r="M1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C20/251515-0OK14</v>
      </c>
    </row>
    <row r="12" spans="1:13" x14ac:dyDescent="0.25">
      <c r="A12" s="5" t="s">
        <v>13</v>
      </c>
      <c r="B12" s="22">
        <v>15</v>
      </c>
      <c r="C12" s="22">
        <v>10</v>
      </c>
      <c r="D12" s="22" t="s">
        <v>14</v>
      </c>
      <c r="E12" s="24">
        <v>0</v>
      </c>
      <c r="F12" s="5">
        <v>10</v>
      </c>
      <c r="G12" s="7">
        <v>0</v>
      </c>
      <c r="H12" s="13" t="s">
        <v>34</v>
      </c>
      <c r="I12" s="22" t="s">
        <v>16</v>
      </c>
      <c r="J12" s="22"/>
      <c r="K12" s="22"/>
      <c r="L12" s="7"/>
      <c r="M1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C20/251510-0OK14</v>
      </c>
    </row>
    <row r="13" spans="1:13" x14ac:dyDescent="0.25">
      <c r="A13" s="8" t="s">
        <v>13</v>
      </c>
      <c r="B13" s="2">
        <v>15</v>
      </c>
      <c r="C13" s="2">
        <v>10</v>
      </c>
      <c r="D13" s="2">
        <v>5</v>
      </c>
      <c r="E13" s="25">
        <v>0</v>
      </c>
      <c r="F13" s="8">
        <v>10</v>
      </c>
      <c r="G13" s="9">
        <v>2</v>
      </c>
      <c r="H13" s="14">
        <v>13</v>
      </c>
      <c r="I13" s="2" t="s">
        <v>16</v>
      </c>
      <c r="J13" s="2"/>
      <c r="K13" s="2"/>
      <c r="L13" s="9"/>
      <c r="M1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C20/25151050OK14</v>
      </c>
    </row>
    <row r="14" spans="1:13" x14ac:dyDescent="0.25">
      <c r="A14" s="8" t="s">
        <v>13</v>
      </c>
      <c r="B14" s="2">
        <v>15</v>
      </c>
      <c r="C14" s="2">
        <v>10</v>
      </c>
      <c r="D14" s="2">
        <v>5</v>
      </c>
      <c r="E14" s="25">
        <v>0</v>
      </c>
      <c r="F14" s="8">
        <v>10</v>
      </c>
      <c r="G14" s="9">
        <v>7</v>
      </c>
      <c r="H14" s="14" t="s">
        <v>55</v>
      </c>
      <c r="I14" s="2" t="s">
        <v>16</v>
      </c>
      <c r="J14" s="2"/>
      <c r="K14" s="2"/>
      <c r="L14" s="9"/>
      <c r="M1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C20/25151050OK14</v>
      </c>
    </row>
    <row r="15" spans="1:13" x14ac:dyDescent="0.25">
      <c r="A15" s="8" t="s">
        <v>13</v>
      </c>
      <c r="B15" s="2">
        <v>15</v>
      </c>
      <c r="C15" s="2">
        <v>10</v>
      </c>
      <c r="D15" s="2">
        <v>5</v>
      </c>
      <c r="E15" s="25">
        <v>0</v>
      </c>
      <c r="F15" s="8">
        <v>10</v>
      </c>
      <c r="G15" s="9">
        <v>12</v>
      </c>
      <c r="H15" s="14" t="s">
        <v>34</v>
      </c>
      <c r="I15" s="2" t="s">
        <v>16</v>
      </c>
      <c r="J15" s="2"/>
      <c r="K15" s="2"/>
      <c r="L15" s="9"/>
      <c r="M1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C20/25151050OK14</v>
      </c>
    </row>
    <row r="16" spans="1:13" ht="15.75" thickBot="1" x14ac:dyDescent="0.3">
      <c r="A16" s="10" t="s">
        <v>13</v>
      </c>
      <c r="B16" s="26">
        <v>15</v>
      </c>
      <c r="C16" s="26">
        <v>10</v>
      </c>
      <c r="D16" s="26">
        <v>5</v>
      </c>
      <c r="E16" s="27">
        <v>0</v>
      </c>
      <c r="F16" s="10">
        <v>10</v>
      </c>
      <c r="G16" s="12">
        <v>20</v>
      </c>
      <c r="H16" s="15">
        <v>14</v>
      </c>
      <c r="I16" s="26" t="s">
        <v>16</v>
      </c>
      <c r="J16" s="26"/>
      <c r="K16" s="26"/>
      <c r="L16" s="12"/>
      <c r="M1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C20/25151050OK14</v>
      </c>
    </row>
    <row r="17" spans="1:13" x14ac:dyDescent="0.25">
      <c r="A17" s="5" t="s">
        <v>13</v>
      </c>
      <c r="B17" s="22">
        <v>20</v>
      </c>
      <c r="C17" s="22">
        <v>5</v>
      </c>
      <c r="D17" s="22">
        <v>15</v>
      </c>
      <c r="E17" s="24">
        <v>0</v>
      </c>
      <c r="F17" s="5">
        <v>5</v>
      </c>
      <c r="G17" s="7">
        <v>0</v>
      </c>
      <c r="H17" s="13">
        <v>12</v>
      </c>
      <c r="I17" s="22" t="s">
        <v>16</v>
      </c>
      <c r="J17" s="22"/>
      <c r="K17" s="22"/>
      <c r="L17" s="7"/>
      <c r="M1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C20/25205150OK14</v>
      </c>
    </row>
    <row r="18" spans="1:13" x14ac:dyDescent="0.25">
      <c r="A18" s="8" t="s">
        <v>13</v>
      </c>
      <c r="B18" s="2">
        <v>20</v>
      </c>
      <c r="C18" s="2">
        <v>5</v>
      </c>
      <c r="D18" s="2">
        <v>20</v>
      </c>
      <c r="E18" s="25">
        <v>0</v>
      </c>
      <c r="F18" s="8">
        <v>5</v>
      </c>
      <c r="G18" s="9">
        <v>2</v>
      </c>
      <c r="H18" s="14" t="s">
        <v>79</v>
      </c>
      <c r="I18" s="2" t="s">
        <v>16</v>
      </c>
      <c r="J18" s="2"/>
      <c r="K18" s="2"/>
      <c r="L18" s="9"/>
      <c r="M1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C20/25205200OK14</v>
      </c>
    </row>
    <row r="19" spans="1:13" x14ac:dyDescent="0.25">
      <c r="A19" s="8" t="s">
        <v>13</v>
      </c>
      <c r="B19" s="2">
        <v>20</v>
      </c>
      <c r="C19" s="2">
        <v>5</v>
      </c>
      <c r="D19" s="2">
        <v>20</v>
      </c>
      <c r="E19" s="25">
        <v>10</v>
      </c>
      <c r="F19" s="8">
        <v>5</v>
      </c>
      <c r="G19" s="9">
        <v>7</v>
      </c>
      <c r="H19" s="14" t="s">
        <v>51</v>
      </c>
      <c r="I19" s="2" t="s">
        <v>16</v>
      </c>
      <c r="J19" s="2"/>
      <c r="K19" s="2"/>
      <c r="L19" s="9"/>
      <c r="M1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0" spans="1:13" x14ac:dyDescent="0.25">
      <c r="A20" s="8" t="s">
        <v>13</v>
      </c>
      <c r="B20" s="2">
        <v>20</v>
      </c>
      <c r="C20" s="2">
        <v>5</v>
      </c>
      <c r="D20" s="2">
        <v>20</v>
      </c>
      <c r="E20" s="25">
        <v>10</v>
      </c>
      <c r="F20" s="8">
        <v>5</v>
      </c>
      <c r="G20" s="9">
        <v>12</v>
      </c>
      <c r="H20" s="14" t="s">
        <v>25</v>
      </c>
      <c r="I20" s="2" t="s">
        <v>16</v>
      </c>
      <c r="J20" s="2"/>
      <c r="K20" s="2"/>
      <c r="L20" s="9"/>
      <c r="M2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1" spans="1:13" ht="15.75" thickBot="1" x14ac:dyDescent="0.3">
      <c r="A21" s="10" t="s">
        <v>13</v>
      </c>
      <c r="B21" s="26">
        <v>20</v>
      </c>
      <c r="C21" s="26">
        <v>5</v>
      </c>
      <c r="D21" s="26">
        <v>20</v>
      </c>
      <c r="E21" s="27">
        <v>10</v>
      </c>
      <c r="F21" s="10">
        <v>5</v>
      </c>
      <c r="G21" s="12">
        <v>20</v>
      </c>
      <c r="H21" s="15" t="s">
        <v>25</v>
      </c>
      <c r="I21" s="26" t="s">
        <v>16</v>
      </c>
      <c r="J21" s="26"/>
      <c r="K21" s="26"/>
      <c r="L21" s="12"/>
      <c r="M2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2" spans="1:13" x14ac:dyDescent="0.25">
      <c r="A22" s="5" t="s">
        <v>13</v>
      </c>
      <c r="B22" s="22">
        <v>20</v>
      </c>
      <c r="C22" s="22">
        <v>5</v>
      </c>
      <c r="D22" s="22">
        <v>20</v>
      </c>
      <c r="E22" s="24" t="s">
        <v>33</v>
      </c>
      <c r="F22" s="5">
        <v>0</v>
      </c>
      <c r="G22" s="7">
        <v>0</v>
      </c>
      <c r="H22" s="13" t="s">
        <v>37</v>
      </c>
      <c r="I22" s="22" t="s">
        <v>16</v>
      </c>
      <c r="J22" s="22"/>
      <c r="K22" s="22"/>
      <c r="L22" s="7"/>
      <c r="M2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C20/2520520PresenningOK14</v>
      </c>
    </row>
    <row r="23" spans="1:13" x14ac:dyDescent="0.25">
      <c r="A23" s="8" t="s">
        <v>13</v>
      </c>
      <c r="B23" s="2">
        <v>20</v>
      </c>
      <c r="C23" s="2">
        <v>5</v>
      </c>
      <c r="D23" s="2">
        <v>20</v>
      </c>
      <c r="E23" s="25">
        <v>10</v>
      </c>
      <c r="F23" s="8">
        <v>0</v>
      </c>
      <c r="G23" s="9">
        <v>2</v>
      </c>
      <c r="H23" s="14" t="s">
        <v>29</v>
      </c>
      <c r="I23" s="2" t="s">
        <v>16</v>
      </c>
      <c r="J23" s="2"/>
      <c r="K23" s="2"/>
      <c r="L23" s="9"/>
      <c r="M2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4" spans="1:13" x14ac:dyDescent="0.25">
      <c r="A24" s="8" t="s">
        <v>13</v>
      </c>
      <c r="B24" s="2">
        <v>20</v>
      </c>
      <c r="C24" s="2">
        <v>5</v>
      </c>
      <c r="D24" s="2">
        <v>20</v>
      </c>
      <c r="E24" s="25">
        <v>10</v>
      </c>
      <c r="F24" s="8">
        <v>0</v>
      </c>
      <c r="G24" s="9">
        <v>7</v>
      </c>
      <c r="H24" s="14" t="s">
        <v>54</v>
      </c>
      <c r="I24" s="2" t="s">
        <v>16</v>
      </c>
      <c r="J24" s="2"/>
      <c r="K24" s="2"/>
      <c r="L24" s="9"/>
      <c r="M2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5" spans="1:13" x14ac:dyDescent="0.25">
      <c r="A25" s="8" t="s">
        <v>13</v>
      </c>
      <c r="B25" s="2">
        <v>20</v>
      </c>
      <c r="C25" s="2">
        <v>5</v>
      </c>
      <c r="D25" s="2">
        <v>20</v>
      </c>
      <c r="E25" s="25">
        <v>10</v>
      </c>
      <c r="F25" s="8">
        <v>0</v>
      </c>
      <c r="G25" s="9">
        <v>12</v>
      </c>
      <c r="H25" s="14" t="s">
        <v>43</v>
      </c>
      <c r="I25" s="2" t="s">
        <v>16</v>
      </c>
      <c r="J25" s="2"/>
      <c r="K25" s="2"/>
      <c r="L25" s="9"/>
      <c r="M2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6" spans="1:13" ht="15.75" thickBot="1" x14ac:dyDescent="0.3">
      <c r="A26" s="10" t="s">
        <v>13</v>
      </c>
      <c r="B26" s="26">
        <v>20</v>
      </c>
      <c r="C26" s="26">
        <v>5</v>
      </c>
      <c r="D26" s="26">
        <v>20</v>
      </c>
      <c r="E26" s="27">
        <v>10</v>
      </c>
      <c r="F26" s="10">
        <v>0</v>
      </c>
      <c r="G26" s="12">
        <v>20</v>
      </c>
      <c r="H26" s="15">
        <v>13</v>
      </c>
      <c r="I26" s="26" t="s">
        <v>16</v>
      </c>
      <c r="J26" s="26"/>
      <c r="K26" s="26"/>
      <c r="L26" s="12"/>
      <c r="M2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C20/252052010OK14</v>
      </c>
    </row>
    <row r="27" spans="1:13" x14ac:dyDescent="0.25">
      <c r="A27" s="5" t="s">
        <v>13</v>
      </c>
      <c r="B27" s="22">
        <v>20</v>
      </c>
      <c r="C27" s="22">
        <v>5</v>
      </c>
      <c r="D27" s="22">
        <v>20</v>
      </c>
      <c r="E27" s="24">
        <v>20</v>
      </c>
      <c r="F27" s="5">
        <v>-5</v>
      </c>
      <c r="G27" s="7">
        <v>0</v>
      </c>
      <c r="H27" s="13" t="s">
        <v>32</v>
      </c>
      <c r="I27" s="22" t="s">
        <v>16</v>
      </c>
      <c r="J27" s="22"/>
      <c r="K27" s="22"/>
      <c r="L27" s="7"/>
      <c r="M2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C20/252052020OK14</v>
      </c>
    </row>
    <row r="28" spans="1:13" x14ac:dyDescent="0.25">
      <c r="A28" s="8" t="s">
        <v>13</v>
      </c>
      <c r="B28" s="2">
        <v>20</v>
      </c>
      <c r="C28" s="2">
        <v>5</v>
      </c>
      <c r="D28" s="2">
        <v>20</v>
      </c>
      <c r="E28" s="25">
        <v>20</v>
      </c>
      <c r="F28" s="8">
        <v>-5</v>
      </c>
      <c r="G28" s="9">
        <v>2</v>
      </c>
      <c r="H28" s="14" t="s">
        <v>44</v>
      </c>
      <c r="I28" s="2" t="s">
        <v>16</v>
      </c>
      <c r="J28" s="2"/>
      <c r="K28" s="2"/>
      <c r="L28" s="9"/>
      <c r="M2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C20/252052020OK14</v>
      </c>
    </row>
    <row r="29" spans="1:13" x14ac:dyDescent="0.25">
      <c r="A29" s="8" t="s">
        <v>13</v>
      </c>
      <c r="B29" s="2">
        <v>20</v>
      </c>
      <c r="C29" s="2">
        <v>5</v>
      </c>
      <c r="D29" s="2">
        <v>20</v>
      </c>
      <c r="E29" s="25">
        <v>30</v>
      </c>
      <c r="F29" s="8">
        <v>-5</v>
      </c>
      <c r="G29" s="9">
        <v>7</v>
      </c>
      <c r="H29" s="14" t="s">
        <v>54</v>
      </c>
      <c r="I29" s="2" t="s">
        <v>16</v>
      </c>
      <c r="J29" s="2"/>
      <c r="K29" s="2"/>
      <c r="L29" s="9"/>
      <c r="M2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C20/252052030OK14</v>
      </c>
    </row>
    <row r="30" spans="1:13" x14ac:dyDescent="0.25">
      <c r="A30" s="8" t="s">
        <v>13</v>
      </c>
      <c r="B30" s="2">
        <v>20</v>
      </c>
      <c r="C30" s="2">
        <v>5</v>
      </c>
      <c r="D30" s="2">
        <v>20</v>
      </c>
      <c r="E30" s="25">
        <v>30</v>
      </c>
      <c r="F30" s="8">
        <v>-5</v>
      </c>
      <c r="G30" s="9">
        <v>12</v>
      </c>
      <c r="H30" s="14" t="s">
        <v>43</v>
      </c>
      <c r="I30" s="2" t="s">
        <v>16</v>
      </c>
      <c r="J30" s="2"/>
      <c r="K30" s="2"/>
      <c r="L30" s="9"/>
      <c r="M3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C20/252052030OK14</v>
      </c>
    </row>
    <row r="31" spans="1:13" ht="15.75" thickBot="1" x14ac:dyDescent="0.3">
      <c r="A31" s="10" t="s">
        <v>13</v>
      </c>
      <c r="B31" s="26">
        <v>20</v>
      </c>
      <c r="C31" s="26">
        <v>5</v>
      </c>
      <c r="D31" s="26">
        <v>20</v>
      </c>
      <c r="E31" s="27">
        <v>30</v>
      </c>
      <c r="F31" s="10">
        <v>-5</v>
      </c>
      <c r="G31" s="12">
        <v>20</v>
      </c>
      <c r="H31" s="15" t="s">
        <v>32</v>
      </c>
      <c r="I31" s="26" t="s">
        <v>16</v>
      </c>
      <c r="J31" s="26"/>
      <c r="K31" s="26"/>
      <c r="L31" s="12"/>
      <c r="M3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C20/252052030OK14</v>
      </c>
    </row>
    <row r="32" spans="1:13" x14ac:dyDescent="0.25">
      <c r="A32" s="5" t="s">
        <v>71</v>
      </c>
      <c r="B32" s="22">
        <v>20</v>
      </c>
      <c r="C32" s="22">
        <v>5</v>
      </c>
      <c r="D32" s="22">
        <v>20</v>
      </c>
      <c r="E32" s="24">
        <v>50</v>
      </c>
      <c r="F32" s="5">
        <v>-10</v>
      </c>
      <c r="G32" s="7">
        <v>0</v>
      </c>
      <c r="H32" s="13" t="s">
        <v>79</v>
      </c>
      <c r="I32" s="22" t="s">
        <v>16</v>
      </c>
      <c r="J32" s="22"/>
      <c r="K32" s="22"/>
      <c r="L32" s="7"/>
      <c r="M3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C25/302052050OK14</v>
      </c>
    </row>
    <row r="33" spans="1:13" x14ac:dyDescent="0.25">
      <c r="A33" s="8" t="s">
        <v>71</v>
      </c>
      <c r="B33" s="2">
        <v>20</v>
      </c>
      <c r="C33" s="2">
        <v>5</v>
      </c>
      <c r="D33" s="2">
        <v>20</v>
      </c>
      <c r="E33" s="25">
        <v>50</v>
      </c>
      <c r="F33" s="8">
        <v>-10</v>
      </c>
      <c r="G33" s="9">
        <v>2</v>
      </c>
      <c r="H33" s="14" t="s">
        <v>80</v>
      </c>
      <c r="I33" s="2" t="s">
        <v>16</v>
      </c>
      <c r="J33" s="2"/>
      <c r="K33" s="2"/>
      <c r="L33" s="9"/>
      <c r="M3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C25/302052050OK14</v>
      </c>
    </row>
    <row r="34" spans="1:13" x14ac:dyDescent="0.25">
      <c r="A34" s="8" t="s">
        <v>71</v>
      </c>
      <c r="B34" s="2">
        <v>20</v>
      </c>
      <c r="C34" s="2">
        <v>5</v>
      </c>
      <c r="D34" s="2">
        <v>20</v>
      </c>
      <c r="E34" s="25">
        <v>50</v>
      </c>
      <c r="F34" s="8">
        <v>-10</v>
      </c>
      <c r="G34" s="9">
        <v>7</v>
      </c>
      <c r="H34" s="14" t="s">
        <v>44</v>
      </c>
      <c r="I34" s="2" t="s">
        <v>16</v>
      </c>
      <c r="J34" s="2"/>
      <c r="K34" s="2"/>
      <c r="L34" s="9"/>
      <c r="M3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C25/302052050OK14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/>
      <c r="I35" s="2"/>
      <c r="J35" s="2"/>
      <c r="K35" s="2"/>
      <c r="L35" s="9" t="s">
        <v>70</v>
      </c>
      <c r="M3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36" spans="1:13" ht="15.75" thickBot="1" x14ac:dyDescent="0.3">
      <c r="A36" s="8" t="s">
        <v>14</v>
      </c>
      <c r="B36" s="2" t="s">
        <v>14</v>
      </c>
      <c r="C36" s="2" t="s">
        <v>14</v>
      </c>
      <c r="D36" s="2" t="s">
        <v>14</v>
      </c>
      <c r="E36" s="25" t="s">
        <v>14</v>
      </c>
      <c r="F36" s="10">
        <v>-10</v>
      </c>
      <c r="G36" s="12">
        <v>20</v>
      </c>
      <c r="H36" s="15"/>
      <c r="I36" s="26"/>
      <c r="J36" s="26"/>
      <c r="K36" s="26"/>
      <c r="L36" s="12" t="s">
        <v>70</v>
      </c>
      <c r="M3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37" spans="1:13" x14ac:dyDescent="0.25">
      <c r="A37" s="5" t="s">
        <v>61</v>
      </c>
      <c r="B37" s="22">
        <v>15</v>
      </c>
      <c r="C37" s="22">
        <v>5</v>
      </c>
      <c r="D37" s="22">
        <v>20</v>
      </c>
      <c r="E37" s="24">
        <v>50</v>
      </c>
      <c r="F37" s="6">
        <v>-15</v>
      </c>
      <c r="G37" s="7">
        <v>0</v>
      </c>
      <c r="H37" s="13" t="s">
        <v>14</v>
      </c>
      <c r="I37" s="22"/>
      <c r="J37" s="22" t="s">
        <v>81</v>
      </c>
      <c r="K37" s="22" t="s">
        <v>63</v>
      </c>
      <c r="L37" s="7"/>
      <c r="M3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C40/501552050OK21</v>
      </c>
    </row>
    <row r="38" spans="1:13" x14ac:dyDescent="0.25">
      <c r="A38" s="8" t="s">
        <v>61</v>
      </c>
      <c r="B38" s="2">
        <v>15</v>
      </c>
      <c r="C38" s="2">
        <v>5</v>
      </c>
      <c r="D38" s="2">
        <v>20</v>
      </c>
      <c r="E38" s="25">
        <v>50</v>
      </c>
      <c r="F38">
        <v>-15</v>
      </c>
      <c r="G38" s="9">
        <v>2</v>
      </c>
      <c r="H38" s="14" t="s">
        <v>14</v>
      </c>
      <c r="I38" s="2"/>
      <c r="J38" s="2" t="s">
        <v>82</v>
      </c>
      <c r="K38" s="2" t="s">
        <v>63</v>
      </c>
      <c r="L38" s="9"/>
      <c r="M3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C40/501552050OK21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>
        <v>-15</v>
      </c>
      <c r="G39" s="9">
        <v>7</v>
      </c>
      <c r="H39" s="14" t="s">
        <v>14</v>
      </c>
      <c r="I39" s="2"/>
      <c r="J39" s="2"/>
      <c r="K39" s="2"/>
      <c r="L39" s="9" t="s">
        <v>60</v>
      </c>
      <c r="M3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>
        <v>-15</v>
      </c>
      <c r="G40" s="9">
        <v>12</v>
      </c>
      <c r="H40" s="14" t="s">
        <v>14</v>
      </c>
      <c r="I40" s="2"/>
      <c r="J40" s="2"/>
      <c r="K40" s="2"/>
      <c r="L40" s="9" t="s">
        <v>60</v>
      </c>
      <c r="M4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1">
        <v>-15</v>
      </c>
      <c r="G41" s="12">
        <v>20</v>
      </c>
      <c r="H41" s="15" t="s">
        <v>14</v>
      </c>
      <c r="I41" s="26"/>
      <c r="J41" s="26"/>
      <c r="K41" s="26"/>
      <c r="L41" s="12" t="s">
        <v>83</v>
      </c>
      <c r="M4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2" spans="1:13" x14ac:dyDescent="0.25">
      <c r="A42" s="8" t="s">
        <v>14</v>
      </c>
      <c r="B42" s="2" t="s">
        <v>14</v>
      </c>
      <c r="C42" s="2" t="s">
        <v>14</v>
      </c>
      <c r="D42" s="2" t="s">
        <v>14</v>
      </c>
      <c r="E42" s="25" t="s">
        <v>14</v>
      </c>
      <c r="F42">
        <v>-20</v>
      </c>
      <c r="G42" s="9">
        <v>0</v>
      </c>
      <c r="H42" s="14"/>
      <c r="I42" s="2"/>
      <c r="J42" s="2"/>
      <c r="K42" s="2"/>
      <c r="L42" s="9" t="s">
        <v>72</v>
      </c>
      <c r="M42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3" spans="1:13" x14ac:dyDescent="0.25">
      <c r="A43" s="8" t="s">
        <v>14</v>
      </c>
      <c r="B43" s="2" t="s">
        <v>14</v>
      </c>
      <c r="C43" s="2" t="s">
        <v>14</v>
      </c>
      <c r="D43" s="2" t="s">
        <v>14</v>
      </c>
      <c r="E43" s="25" t="s">
        <v>14</v>
      </c>
      <c r="F43">
        <v>-20</v>
      </c>
      <c r="G43" s="9">
        <v>2</v>
      </c>
      <c r="H43" s="14"/>
      <c r="I43" s="2"/>
      <c r="J43" s="2"/>
      <c r="K43" s="2"/>
      <c r="L43" s="9" t="s">
        <v>72</v>
      </c>
      <c r="M4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>
        <v>-20</v>
      </c>
      <c r="G44" s="9">
        <v>7</v>
      </c>
      <c r="H44" s="14"/>
      <c r="I44" s="2"/>
      <c r="J44" s="2"/>
      <c r="K44" s="2"/>
      <c r="L44" s="9" t="s">
        <v>72</v>
      </c>
      <c r="M4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>
        <v>-20</v>
      </c>
      <c r="G45" s="9">
        <v>12</v>
      </c>
      <c r="H45" s="14"/>
      <c r="I45" s="2"/>
      <c r="J45" s="2"/>
      <c r="K45" s="2"/>
      <c r="L45" s="9" t="s">
        <v>72</v>
      </c>
      <c r="M4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1">
        <v>-20</v>
      </c>
      <c r="G46" s="12">
        <v>20</v>
      </c>
      <c r="H46" s="15"/>
      <c r="I46" s="26"/>
      <c r="J46" s="26"/>
      <c r="K46" s="26"/>
      <c r="L46" s="12" t="s">
        <v>72</v>
      </c>
      <c r="M4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</f>
        <v>-----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A555FA4-5E0C-403C-805D-B7BF6D8C2C46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23BA732C-5FB5-4BD9-B6AF-9E78791390F2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FB9E6E3D-EC4F-4DBD-A074-72E63D6DC552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BD1E9617-67F8-4F19-93F2-B511FCDB9D36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9C59860C-C7F9-438D-AC68-A34CD0CB548F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5B14663-3BF9-415D-81A3-DBF20BF92C06}">
          <x14:formula1>
            <xm:f>Förutsättningar!$F$2</xm:f>
          </x14:formula1>
          <xm:sqref>I2:I46</xm:sqref>
        </x14:dataValidation>
        <x14:dataValidation type="list" allowBlank="1" showInputMessage="1" showErrorMessage="1" xr:uid="{19BF2243-3E5A-432B-B3C9-2FC6CE169637}">
          <x14:formula1>
            <xm:f>Förutsättningar!$G$2</xm:f>
          </x14:formula1>
          <xm:sqref>K2:K46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dimension ref="A1:M205"/>
  <sheetViews>
    <sheetView topLeftCell="A86" workbookViewId="0">
      <selection activeCell="M104" sqref="M103:M104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5" width="22.140625" bestFit="1" customWidth="1"/>
    <col min="6" max="6" width="12.5703125" bestFit="1" customWidth="1"/>
    <col min="7" max="8" width="22.140625" bestFit="1" customWidth="1"/>
    <col min="9" max="9" width="12.5703125" bestFit="1" customWidth="1"/>
    <col min="10" max="10" width="12.5703125" customWidth="1"/>
    <col min="11" max="11" width="26.85546875" bestFit="1" customWidth="1"/>
    <col min="12" max="12" width="22.140625" customWidth="1"/>
    <col min="13" max="13" width="11.28515625" style="47" customWidth="1"/>
  </cols>
  <sheetData>
    <row r="1" spans="1:13" ht="15.75" thickBot="1" x14ac:dyDescent="0.3">
      <c r="A1" s="29" t="s">
        <v>5</v>
      </c>
      <c r="B1" s="30" t="s">
        <v>6</v>
      </c>
      <c r="C1" s="31" t="s">
        <v>84</v>
      </c>
      <c r="D1" s="31" t="s">
        <v>85</v>
      </c>
      <c r="E1" s="31" t="s">
        <v>86</v>
      </c>
      <c r="F1" s="32" t="s">
        <v>87</v>
      </c>
      <c r="H1" s="33" t="s">
        <v>5</v>
      </c>
      <c r="I1" s="34" t="s">
        <v>6</v>
      </c>
      <c r="J1" s="45" t="s">
        <v>88</v>
      </c>
      <c r="K1" t="s">
        <v>12</v>
      </c>
      <c r="L1" t="s">
        <v>89</v>
      </c>
      <c r="M1" s="47" t="s">
        <v>90</v>
      </c>
    </row>
    <row r="2" spans="1:13" x14ac:dyDescent="0.25">
      <c r="A2" s="5">
        <v>20</v>
      </c>
      <c r="B2" s="6">
        <v>0</v>
      </c>
      <c r="C2" s="6" t="str">
        <f>'Bjälklag (10% slagg)'!M2</f>
        <v>C20/251520-0OK14</v>
      </c>
      <c r="D2" s="6" t="str">
        <f>'Bjälklag (20% slagg)'!M2</f>
        <v>C20/251520-0OK14</v>
      </c>
      <c r="E2" s="6" t="str">
        <f>'Bjälklag (30% slagg)'!M2</f>
        <v>C20/251520-0OK14</v>
      </c>
      <c r="F2" s="7" t="str">
        <f>'Bjälklag (40% slagg)'!M2</f>
        <v>C20/251520-0OK14</v>
      </c>
      <c r="K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C20/251520-0OK14</v>
      </c>
      <c r="L2">
        <v>1</v>
      </c>
      <c r="M2" s="47">
        <f>MATCH(K2, _xlfn.UNIQUE($K$2:$K$204), 0)</f>
        <v>1</v>
      </c>
    </row>
    <row r="3" spans="1:13" x14ac:dyDescent="0.25">
      <c r="A3" s="8">
        <v>20</v>
      </c>
      <c r="B3">
        <v>2</v>
      </c>
      <c r="C3" t="str">
        <f>'Bjälklag (10% slagg)'!M3</f>
        <v>C20/251520-0OK14</v>
      </c>
      <c r="D3" t="str">
        <f>'Bjälklag (20% slagg)'!M3</f>
        <v>C20/251520-0OK14</v>
      </c>
      <c r="E3" t="str">
        <f>'Bjälklag (30% slagg)'!M3</f>
        <v>C20/251520-0OK14</v>
      </c>
      <c r="F3" s="9" t="str">
        <f>'Bjälklag (40% slagg)'!M3</f>
        <v>C20/251520-0OK14</v>
      </c>
      <c r="K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C20/251515-0OK14</v>
      </c>
      <c r="L3">
        <v>2</v>
      </c>
      <c r="M3" s="47">
        <f t="shared" ref="M3:M66" si="0">MATCH(K3, _xlfn.UNIQUE($K$2:$K$204), 0)</f>
        <v>2</v>
      </c>
    </row>
    <row r="4" spans="1:13" x14ac:dyDescent="0.25">
      <c r="A4" s="8">
        <v>20</v>
      </c>
      <c r="B4">
        <v>7</v>
      </c>
      <c r="C4" t="str">
        <f>'Bjälklag (10% slagg)'!M4</f>
        <v>C20/251520-0OK14</v>
      </c>
      <c r="D4" t="str">
        <f>'Bjälklag (20% slagg)'!M4</f>
        <v>C20/251520-0OK14</v>
      </c>
      <c r="E4" t="str">
        <f>'Bjälklag (30% slagg)'!M4</f>
        <v>C20/251520-0OK14</v>
      </c>
      <c r="F4" s="9" t="str">
        <f>'Bjälklag (40% slagg)'!M4</f>
        <v>C20/251520-0OK14</v>
      </c>
      <c r="K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C20/251510-0OK14</v>
      </c>
      <c r="L4">
        <v>3</v>
      </c>
      <c r="M4" s="47">
        <f t="shared" si="0"/>
        <v>3</v>
      </c>
    </row>
    <row r="5" spans="1:13" x14ac:dyDescent="0.25">
      <c r="A5" s="8">
        <v>20</v>
      </c>
      <c r="B5">
        <v>12</v>
      </c>
      <c r="C5" t="str">
        <f>'Bjälklag (10% slagg)'!M5</f>
        <v>C20/251520-0OK14</v>
      </c>
      <c r="D5" t="str">
        <f>'Bjälklag (20% slagg)'!M5</f>
        <v>C20/251520-0OK14</v>
      </c>
      <c r="E5" t="str">
        <f>'Bjälklag (30% slagg)'!M5</f>
        <v>C20/251520-0OK14</v>
      </c>
      <c r="F5" s="9" t="str">
        <f>'Bjälklag (40% slagg)'!M5</f>
        <v>C20/251520-0OK14</v>
      </c>
      <c r="K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C20/25151000OK14</v>
      </c>
      <c r="L5">
        <v>4</v>
      </c>
      <c r="M5" s="47">
        <f t="shared" si="0"/>
        <v>4</v>
      </c>
    </row>
    <row r="6" spans="1:13" ht="15.75" thickBot="1" x14ac:dyDescent="0.3">
      <c r="A6" s="10">
        <v>20</v>
      </c>
      <c r="B6" s="11">
        <v>20</v>
      </c>
      <c r="C6" s="11" t="str">
        <f>'Bjälklag (10% slagg)'!M6</f>
        <v>C20/251520-0OK14</v>
      </c>
      <c r="D6" s="11" t="str">
        <f>'Bjälklag (20% slagg)'!M6</f>
        <v>C20/251520-0OK14</v>
      </c>
      <c r="E6" s="11" t="str">
        <f>'Bjälklag (30% slagg)'!M6</f>
        <v>C20/251520-0OK14</v>
      </c>
      <c r="F6" s="12" t="str">
        <f>'Bjälklag (40% slagg)'!M6</f>
        <v>C20/251520-0OK14</v>
      </c>
      <c r="K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C20/25151050OK14</v>
      </c>
      <c r="L6">
        <v>5</v>
      </c>
      <c r="M6" s="47">
        <f t="shared" si="0"/>
        <v>5</v>
      </c>
    </row>
    <row r="7" spans="1:13" x14ac:dyDescent="0.25">
      <c r="A7" s="5">
        <v>15</v>
      </c>
      <c r="B7" s="6">
        <v>0</v>
      </c>
      <c r="C7" s="6" t="str">
        <f>'Bjälklag (10% slagg)'!M7</f>
        <v>C20/251515-0OK14</v>
      </c>
      <c r="D7" s="6" t="str">
        <f>'Bjälklag (20% slagg)'!M7</f>
        <v>C20/251515-0OK14</v>
      </c>
      <c r="E7" s="6" t="str">
        <f>'Bjälklag (30% slagg)'!M7</f>
        <v>C20/251515-0OK14</v>
      </c>
      <c r="F7" s="7" t="str">
        <f>'Bjälklag (40% slagg)'!M7</f>
        <v>C20/251515-0OK14</v>
      </c>
      <c r="K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C20/25205-0OK14</v>
      </c>
      <c r="L7">
        <v>6</v>
      </c>
      <c r="M7" s="47">
        <f t="shared" si="0"/>
        <v>6</v>
      </c>
    </row>
    <row r="8" spans="1:13" x14ac:dyDescent="0.25">
      <c r="A8" s="8">
        <v>15</v>
      </c>
      <c r="B8">
        <v>2</v>
      </c>
      <c r="C8" t="str">
        <f>'Bjälklag (10% slagg)'!M8</f>
        <v>C20/251515-0OK14</v>
      </c>
      <c r="D8" t="str">
        <f>'Bjälklag (20% slagg)'!M8</f>
        <v>C20/251515-0OK14</v>
      </c>
      <c r="E8" t="str">
        <f>'Bjälklag (30% slagg)'!M8</f>
        <v>C20/251515-0OK14</v>
      </c>
      <c r="F8" s="9" t="str">
        <f>'Bjälklag (40% slagg)'!M8</f>
        <v>C20/251515-0OK14</v>
      </c>
      <c r="K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C20/2520550OK14</v>
      </c>
      <c r="L8">
        <v>7</v>
      </c>
      <c r="M8">
        <f t="shared" si="0"/>
        <v>7</v>
      </c>
    </row>
    <row r="9" spans="1:13" x14ac:dyDescent="0.25">
      <c r="A9" s="8">
        <v>15</v>
      </c>
      <c r="B9">
        <v>7</v>
      </c>
      <c r="C9" t="str">
        <f>'Bjälklag (10% slagg)'!M9</f>
        <v>C20/251515-0OK14</v>
      </c>
      <c r="D9" t="str">
        <f>'Bjälklag (20% slagg)'!M9</f>
        <v>C20/251515-0OK14</v>
      </c>
      <c r="E9" t="str">
        <f>'Bjälklag (30% slagg)'!M9</f>
        <v>C20/251515-0OK14</v>
      </c>
      <c r="F9" s="9" t="str">
        <f>'Bjälklag (40% slagg)'!M9</f>
        <v>C20/251515-0OK14</v>
      </c>
      <c r="K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C20/25205100OK14</v>
      </c>
      <c r="L9">
        <v>8</v>
      </c>
      <c r="M9" s="47">
        <f t="shared" si="0"/>
        <v>8</v>
      </c>
    </row>
    <row r="10" spans="1:13" x14ac:dyDescent="0.25">
      <c r="A10" s="8">
        <v>15</v>
      </c>
      <c r="B10">
        <v>12</v>
      </c>
      <c r="C10" t="str">
        <f>'Bjälklag (10% slagg)'!M10</f>
        <v>C20/251515-0OK14</v>
      </c>
      <c r="D10" t="str">
        <f>'Bjälklag (20% slagg)'!M10</f>
        <v>C20/251515-0OK14</v>
      </c>
      <c r="E10" t="str">
        <f>'Bjälklag (30% slagg)'!M10</f>
        <v>C20/251515-0OK14</v>
      </c>
      <c r="F10" s="9" t="str">
        <f>'Bjälklag (40% slagg)'!M10</f>
        <v>C20/251515-0OK14</v>
      </c>
      <c r="K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C20/25205150OK14</v>
      </c>
      <c r="L10">
        <v>9</v>
      </c>
      <c r="M10" s="47">
        <f t="shared" si="0"/>
        <v>9</v>
      </c>
    </row>
    <row r="11" spans="1:13" ht="15.75" thickBot="1" x14ac:dyDescent="0.3">
      <c r="A11" s="10">
        <v>15</v>
      </c>
      <c r="B11" s="11">
        <v>20</v>
      </c>
      <c r="C11" s="11" t="str">
        <f>'Bjälklag (10% slagg)'!M11</f>
        <v>C20/251515-0OK14</v>
      </c>
      <c r="D11" s="11" t="str">
        <f>'Bjälklag (20% slagg)'!M11</f>
        <v>C20/251515-0OK14</v>
      </c>
      <c r="E11" s="11" t="str">
        <f>'Bjälklag (30% slagg)'!M11</f>
        <v>C20/251515-0OK14</v>
      </c>
      <c r="F11" s="12" t="str">
        <f>'Bjälklag (40% slagg)'!M11</f>
        <v>C20/251515-0OK14</v>
      </c>
      <c r="K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C20/2520520PresenningOK14</v>
      </c>
      <c r="L11">
        <v>10</v>
      </c>
      <c r="M11" s="47">
        <f t="shared" si="0"/>
        <v>10</v>
      </c>
    </row>
    <row r="12" spans="1:13" x14ac:dyDescent="0.25">
      <c r="A12" s="5">
        <v>10</v>
      </c>
      <c r="B12" s="6">
        <v>0</v>
      </c>
      <c r="C12" s="6" t="str">
        <f>'Bjälklag (10% slagg)'!M12</f>
        <v>C20/251510-0OK14</v>
      </c>
      <c r="D12" s="6" t="str">
        <f>'Bjälklag (20% slagg)'!M12</f>
        <v>C20/251510-0OK14</v>
      </c>
      <c r="E12" s="6" t="str">
        <f>'Bjälklag (30% slagg)'!M12</f>
        <v>C20/251510-0OK14</v>
      </c>
      <c r="F12" s="7" t="str">
        <f>'Bjälklag (40% slagg)'!M12</f>
        <v>C20/251510-0OK14</v>
      </c>
      <c r="K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C20/25205200OK14</v>
      </c>
      <c r="L12">
        <v>11</v>
      </c>
      <c r="M12" s="47">
        <f t="shared" si="0"/>
        <v>11</v>
      </c>
    </row>
    <row r="13" spans="1:13" x14ac:dyDescent="0.25">
      <c r="A13" s="8">
        <v>10</v>
      </c>
      <c r="B13">
        <v>2</v>
      </c>
      <c r="C13" t="str">
        <f>'Bjälklag (10% slagg)'!M13</f>
        <v>C20/251510-0OK14</v>
      </c>
      <c r="D13" t="str">
        <f>'Bjälklag (20% slagg)'!M13</f>
        <v>C20/251510-0OK14</v>
      </c>
      <c r="E13" t="str">
        <f>'Bjälklag (30% slagg)'!M13</f>
        <v>C20/251510-0OK14</v>
      </c>
      <c r="F13" s="9" t="str">
        <f>'Bjälklag (40% slagg)'!M13</f>
        <v>C20/25151050OK14</v>
      </c>
      <c r="K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C20/252052010OK14</v>
      </c>
      <c r="L13">
        <v>12</v>
      </c>
      <c r="M13" s="47">
        <f t="shared" si="0"/>
        <v>12</v>
      </c>
    </row>
    <row r="14" spans="1:13" x14ac:dyDescent="0.25">
      <c r="A14" s="8">
        <v>10</v>
      </c>
      <c r="B14">
        <v>7</v>
      </c>
      <c r="C14" t="str">
        <f>'Bjälklag (10% slagg)'!M14</f>
        <v>C20/251510-0OK14</v>
      </c>
      <c r="D14" t="str">
        <f>'Bjälklag (20% slagg)'!M14</f>
        <v>C20/251510-0OK14</v>
      </c>
      <c r="E14" t="str">
        <f>'Bjälklag (30% slagg)'!M14</f>
        <v>C20/251510-0OK14</v>
      </c>
      <c r="F14" s="9" t="str">
        <f>'Bjälklag (40% slagg)'!M14</f>
        <v>C20/25151050OK14</v>
      </c>
      <c r="K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C20/252052020OK14</v>
      </c>
      <c r="L14">
        <v>13</v>
      </c>
      <c r="M14" s="47">
        <f t="shared" si="0"/>
        <v>13</v>
      </c>
    </row>
    <row r="15" spans="1:13" x14ac:dyDescent="0.25">
      <c r="A15" s="8">
        <v>10</v>
      </c>
      <c r="B15">
        <v>12</v>
      </c>
      <c r="C15" t="str">
        <f>'Bjälklag (10% slagg)'!M15</f>
        <v>C20/251510-0OK14</v>
      </c>
      <c r="D15" t="str">
        <f>'Bjälklag (20% slagg)'!M15</f>
        <v>C20/251510-0OK14</v>
      </c>
      <c r="E15" t="str">
        <f>'Bjälklag (30% slagg)'!M15</f>
        <v>C20/25151000OK14</v>
      </c>
      <c r="F15" s="9" t="str">
        <f>'Bjälklag (40% slagg)'!M15</f>
        <v>C20/25151050OK14</v>
      </c>
      <c r="K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C20/252052030OK14</v>
      </c>
      <c r="L15">
        <v>14</v>
      </c>
      <c r="M15" s="47">
        <f t="shared" si="0"/>
        <v>14</v>
      </c>
    </row>
    <row r="16" spans="1:13" ht="15.75" thickBot="1" x14ac:dyDescent="0.3">
      <c r="A16" s="10">
        <v>10</v>
      </c>
      <c r="B16" s="11">
        <v>20</v>
      </c>
      <c r="C16" s="11" t="str">
        <f>'Bjälklag (10% slagg)'!M16</f>
        <v>C20/251510-0OK14</v>
      </c>
      <c r="D16" s="11" t="str">
        <f>'Bjälklag (20% slagg)'!M16</f>
        <v>C20/251510-0OK14</v>
      </c>
      <c r="E16" s="11" t="str">
        <f>'Bjälklag (30% slagg)'!M16</f>
        <v>C20/25151000OK14</v>
      </c>
      <c r="F16" s="12" t="str">
        <f>'Bjälklag (40% slagg)'!M16</f>
        <v>C20/25151050OK14</v>
      </c>
      <c r="K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C20/252052050OK14</v>
      </c>
      <c r="L16">
        <v>15</v>
      </c>
      <c r="M16" s="47">
        <f t="shared" si="0"/>
        <v>15</v>
      </c>
    </row>
    <row r="17" spans="1:13" x14ac:dyDescent="0.25">
      <c r="A17" s="5">
        <v>5</v>
      </c>
      <c r="B17" s="6">
        <v>0</v>
      </c>
      <c r="C17" s="6" t="str">
        <f>'Bjälklag (10% slagg)'!M17</f>
        <v>C20/25205-0OK14</v>
      </c>
      <c r="D17" s="6" t="str">
        <f>'Bjälklag (20% slagg)'!M17</f>
        <v>C20/2520550OK14</v>
      </c>
      <c r="E17" s="6" t="str">
        <f>'Bjälklag (30% slagg)'!M17</f>
        <v>C20/25205100OK14</v>
      </c>
      <c r="F17" s="7" t="str">
        <f>'Bjälklag (40% slagg)'!M17</f>
        <v>C20/25205150OK14</v>
      </c>
      <c r="K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C25/301552030OK14</v>
      </c>
      <c r="L17">
        <v>16</v>
      </c>
      <c r="M17" s="47">
        <f t="shared" si="0"/>
        <v>16</v>
      </c>
    </row>
    <row r="18" spans="1:13" x14ac:dyDescent="0.25">
      <c r="A18" s="8">
        <v>5</v>
      </c>
      <c r="B18">
        <v>2</v>
      </c>
      <c r="C18" t="str">
        <f>'Bjälklag (10% slagg)'!M18</f>
        <v>C20/2520550OK14</v>
      </c>
      <c r="D18" t="str">
        <f>'Bjälklag (20% slagg)'!M18</f>
        <v>C20/25205100OK14</v>
      </c>
      <c r="E18" t="str">
        <f>'Bjälklag (30% slagg)'!M18</f>
        <v>C20/25205100OK14</v>
      </c>
      <c r="F18" s="9" t="str">
        <f>'Bjälklag (40% slagg)'!M18</f>
        <v>C20/25205200OK14</v>
      </c>
      <c r="K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C25/302052050OK14</v>
      </c>
      <c r="L18">
        <v>17</v>
      </c>
      <c r="M18" s="47">
        <f t="shared" si="0"/>
        <v>17</v>
      </c>
    </row>
    <row r="19" spans="1:13" x14ac:dyDescent="0.25">
      <c r="A19" s="8">
        <v>5</v>
      </c>
      <c r="B19">
        <v>7</v>
      </c>
      <c r="C19" t="str">
        <f>'Bjälklag (10% slagg)'!M19</f>
        <v>C20/2520550OK14</v>
      </c>
      <c r="D19" t="str">
        <f>'Bjälklag (20% slagg)'!M19</f>
        <v>C20/25205150OK14</v>
      </c>
      <c r="E19" t="str">
        <f>'Bjälklag (30% slagg)'!M19</f>
        <v>C20/2520520PresenningOK14</v>
      </c>
      <c r="F19" s="9" t="str">
        <f>'Bjälklag (40% slagg)'!M19</f>
        <v>C20/252052010OK14</v>
      </c>
      <c r="K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C28/351552030OK14</v>
      </c>
      <c r="L19">
        <v>18</v>
      </c>
      <c r="M19" s="47">
        <f t="shared" si="0"/>
        <v>18</v>
      </c>
    </row>
    <row r="20" spans="1:13" x14ac:dyDescent="0.25">
      <c r="A20" s="8">
        <v>5</v>
      </c>
      <c r="B20">
        <v>12</v>
      </c>
      <c r="C20" t="str">
        <f>'Bjälklag (10% slagg)'!M20</f>
        <v>C20/2520550OK14</v>
      </c>
      <c r="D20" t="str">
        <f>'Bjälklag (20% slagg)'!M20</f>
        <v>C20/25205200OK14</v>
      </c>
      <c r="E20" t="str">
        <f>'Bjälklag (30% slagg)'!M20</f>
        <v>C20/2520520PresenningOK14</v>
      </c>
      <c r="F20" s="9" t="str">
        <f>'Bjälklag (40% slagg)'!M20</f>
        <v>C20/252052010OK14</v>
      </c>
      <c r="K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C28/351552050OK14</v>
      </c>
      <c r="L20">
        <v>19</v>
      </c>
      <c r="M20" s="47">
        <f t="shared" si="0"/>
        <v>19</v>
      </c>
    </row>
    <row r="21" spans="1:13" ht="15.75" thickBot="1" x14ac:dyDescent="0.3">
      <c r="A21" s="10">
        <v>5</v>
      </c>
      <c r="B21" s="11">
        <v>20</v>
      </c>
      <c r="C21" s="11" t="str">
        <f>'Bjälklag (10% slagg)'!M21</f>
        <v>C20/2520550OK14</v>
      </c>
      <c r="D21" s="11" t="str">
        <f>'Bjälklag (20% slagg)'!M21</f>
        <v>C20/25205200OK14</v>
      </c>
      <c r="E21" s="11" t="str">
        <f>'Bjälklag (30% slagg)'!M21</f>
        <v>C20/2520520PresenningOK14</v>
      </c>
      <c r="F21" s="12" t="str">
        <f>'Bjälklag (40% slagg)'!M21</f>
        <v>C20/252052010OK14</v>
      </c>
      <c r="K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C35/451052050OK14</v>
      </c>
      <c r="L21">
        <v>20</v>
      </c>
      <c r="M21" s="47">
        <f t="shared" si="0"/>
        <v>20</v>
      </c>
    </row>
    <row r="22" spans="1:13" x14ac:dyDescent="0.25">
      <c r="A22" s="5">
        <v>0</v>
      </c>
      <c r="B22" s="6">
        <v>0</v>
      </c>
      <c r="C22" s="6" t="str">
        <f>'Bjälklag (10% slagg)'!M22</f>
        <v>C20/25205100OK14</v>
      </c>
      <c r="D22" s="6" t="str">
        <f>'Bjälklag (20% slagg)'!M22</f>
        <v>C20/25205150OK14</v>
      </c>
      <c r="E22" s="6" t="str">
        <f>'Bjälklag (30% slagg)'!M22</f>
        <v>C20/25205200OK14</v>
      </c>
      <c r="F22" s="7" t="str">
        <f>'Bjälklag (40% slagg)'!M22</f>
        <v>C20/2520520PresenningOK14</v>
      </c>
      <c r="K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C40/501052050OK21</v>
      </c>
      <c r="L22">
        <v>21</v>
      </c>
      <c r="M22" s="47">
        <f t="shared" si="0"/>
        <v>21</v>
      </c>
    </row>
    <row r="23" spans="1:13" x14ac:dyDescent="0.25">
      <c r="A23" s="8">
        <v>0</v>
      </c>
      <c r="B23">
        <v>2</v>
      </c>
      <c r="C23" t="str">
        <f>'Bjälklag (10% slagg)'!M23</f>
        <v>C20/25205150OK14</v>
      </c>
      <c r="D23" t="str">
        <f>'Bjälklag (20% slagg)'!M23</f>
        <v>C20/2520520PresenningOK14</v>
      </c>
      <c r="E23" t="str">
        <f>'Bjälklag (30% slagg)'!M23</f>
        <v>C20/252052010OK14</v>
      </c>
      <c r="F23" s="9" t="str">
        <f>'Bjälklag (40% slagg)'!M23</f>
        <v>C20/252052010OK14</v>
      </c>
      <c r="K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C40/501552050OK21</v>
      </c>
      <c r="L23">
        <v>22</v>
      </c>
      <c r="M23" s="47">
        <f t="shared" si="0"/>
        <v>22</v>
      </c>
    </row>
    <row r="24" spans="1:13" ht="15.75" thickBot="1" x14ac:dyDescent="0.3">
      <c r="A24" s="8">
        <v>0</v>
      </c>
      <c r="B24">
        <v>7</v>
      </c>
      <c r="C24" t="str">
        <f>'Bjälklag (10% slagg)'!M24</f>
        <v>C20/2520520PresenningOK14</v>
      </c>
      <c r="D24" t="str">
        <f>'Bjälklag (20% slagg)'!M24</f>
        <v>C20/252052010OK14</v>
      </c>
      <c r="E24" t="str">
        <f>'Bjälklag (30% slagg)'!M24</f>
        <v>C20/252052010OK14</v>
      </c>
      <c r="F24" s="9" t="str">
        <f>'Bjälklag (40% slagg)'!M24</f>
        <v>C20/252052010OK14</v>
      </c>
      <c r="K24" t="str">
        <f>Table8[[#This Row],[Betongkvalitet]]&amp;Table8[[#This Row],[Gjuttemperatur (varmbetong)]]&amp;Table8[[#This Row],[Temperatur motgjutningsyta]]&amp;Table8[[#This Row],[Väderskydd, uppvärmning (ingen vind)]]&amp;Table8[[#This Row],[Täckning '[mm']]]</f>
        <v>-----</v>
      </c>
      <c r="L24">
        <v>23</v>
      </c>
      <c r="M24" s="47">
        <f>MATCH(K24, _xlfn.UNIQUE($K$2:$K$204), 0)</f>
        <v>23</v>
      </c>
    </row>
    <row r="25" spans="1:13" x14ac:dyDescent="0.25">
      <c r="A25" s="8">
        <v>0</v>
      </c>
      <c r="B25">
        <v>12</v>
      </c>
      <c r="C25" t="str">
        <f>'Bjälklag (10% slagg)'!M25</f>
        <v>C20/2520520PresenningOK14</v>
      </c>
      <c r="D25" t="str">
        <f>'Bjälklag (20% slagg)'!M25</f>
        <v>C20/252052010OK14</v>
      </c>
      <c r="E25" t="str">
        <f>'Bjälklag (30% slagg)'!M25</f>
        <v>C20/252052010OK14</v>
      </c>
      <c r="F25" s="9" t="str">
        <f>'Bjälklag (40% slagg)'!M25</f>
        <v>C20/252052010OK14</v>
      </c>
      <c r="H25" s="35">
        <v>20</v>
      </c>
      <c r="I25" s="36">
        <v>0</v>
      </c>
      <c r="J25" s="46"/>
      <c r="K25" t="str">
        <f>'Bjälklag (10% slagg)'!M2</f>
        <v>C20/251520-0OK14</v>
      </c>
      <c r="M25" s="47">
        <f t="shared" si="0"/>
        <v>1</v>
      </c>
    </row>
    <row r="26" spans="1:13" ht="15.75" thickBot="1" x14ac:dyDescent="0.3">
      <c r="A26" s="10">
        <v>0</v>
      </c>
      <c r="B26" s="11">
        <v>20</v>
      </c>
      <c r="C26" s="11" t="str">
        <f>'Bjälklag (10% slagg)'!M26</f>
        <v>C20/2520520PresenningOK14</v>
      </c>
      <c r="D26" s="11" t="str">
        <f>'Bjälklag (20% slagg)'!M26</f>
        <v>C20/252052010OK14</v>
      </c>
      <c r="E26" s="11" t="str">
        <f>'Bjälklag (30% slagg)'!M26</f>
        <v>C20/252052010OK14</v>
      </c>
      <c r="F26" s="12" t="str">
        <f>'Bjälklag (40% slagg)'!M26</f>
        <v>C20/252052010OK14</v>
      </c>
      <c r="H26" s="37">
        <v>20</v>
      </c>
      <c r="I26" s="4">
        <v>2</v>
      </c>
      <c r="K26" t="str">
        <f>'Bjälklag (10% slagg)'!M3</f>
        <v>C20/251520-0OK14</v>
      </c>
      <c r="M26" s="47">
        <f t="shared" si="0"/>
        <v>1</v>
      </c>
    </row>
    <row r="27" spans="1:13" x14ac:dyDescent="0.25">
      <c r="A27" s="5">
        <v>-5</v>
      </c>
      <c r="B27" s="6">
        <v>0</v>
      </c>
      <c r="C27" s="6" t="str">
        <f>'Bjälklag (10% slagg)'!M27</f>
        <v>C20/25205200OK14</v>
      </c>
      <c r="D27" s="6" t="str">
        <f>'Bjälklag (20% slagg)'!M27</f>
        <v>C20/252052010OK14</v>
      </c>
      <c r="E27" s="6" t="str">
        <f>'Bjälklag (30% slagg)'!M27</f>
        <v>C20/252052010OK14</v>
      </c>
      <c r="F27" s="7" t="str">
        <f>'Bjälklag (40% slagg)'!M27</f>
        <v>C20/252052020OK14</v>
      </c>
      <c r="H27" s="38">
        <v>20</v>
      </c>
      <c r="I27" s="3">
        <v>7</v>
      </c>
      <c r="J27" s="46"/>
      <c r="K27" t="str">
        <f>'Bjälklag (10% slagg)'!M4</f>
        <v>C20/251520-0OK14</v>
      </c>
      <c r="M27" s="47">
        <f t="shared" si="0"/>
        <v>1</v>
      </c>
    </row>
    <row r="28" spans="1:13" x14ac:dyDescent="0.25">
      <c r="A28" s="8">
        <v>-5</v>
      </c>
      <c r="B28">
        <v>2</v>
      </c>
      <c r="C28" t="str">
        <f>'Bjälklag (10% slagg)'!M28</f>
        <v>C20/252052010OK14</v>
      </c>
      <c r="D28" t="str">
        <f>'Bjälklag (20% slagg)'!M28</f>
        <v>C20/252052010OK14</v>
      </c>
      <c r="E28" t="str">
        <f>'Bjälklag (30% slagg)'!M28</f>
        <v>C20/252052020OK14</v>
      </c>
      <c r="F28" s="9" t="str">
        <f>'Bjälklag (40% slagg)'!M28</f>
        <v>C20/252052020OK14</v>
      </c>
      <c r="H28" s="37">
        <v>20</v>
      </c>
      <c r="I28" s="4">
        <v>12</v>
      </c>
      <c r="K28" t="str">
        <f>'Bjälklag (10% slagg)'!M5</f>
        <v>C20/251520-0OK14</v>
      </c>
      <c r="M28" s="47">
        <f t="shared" si="0"/>
        <v>1</v>
      </c>
    </row>
    <row r="29" spans="1:13" ht="15.75" thickBot="1" x14ac:dyDescent="0.3">
      <c r="A29" s="8">
        <v>-5</v>
      </c>
      <c r="B29">
        <v>7</v>
      </c>
      <c r="C29" t="str">
        <f>'Bjälklag (10% slagg)'!M29</f>
        <v>C20/252052010OK14</v>
      </c>
      <c r="D29" t="str">
        <f>'Bjälklag (20% slagg)'!M29</f>
        <v>C20/252052020OK14</v>
      </c>
      <c r="E29" t="str">
        <f>'Bjälklag (30% slagg)'!M29</f>
        <v>C20/252052020OK14</v>
      </c>
      <c r="F29" s="9" t="str">
        <f>'Bjälklag (40% slagg)'!M29</f>
        <v>C20/252052030OK14</v>
      </c>
      <c r="H29" s="39">
        <v>20</v>
      </c>
      <c r="I29" s="40">
        <v>20</v>
      </c>
      <c r="J29" s="46"/>
      <c r="K29" t="str">
        <f>'Bjälklag (10% slagg)'!M6</f>
        <v>C20/251520-0OK14</v>
      </c>
      <c r="M29" s="47">
        <f t="shared" si="0"/>
        <v>1</v>
      </c>
    </row>
    <row r="30" spans="1:13" x14ac:dyDescent="0.25">
      <c r="A30" s="8">
        <v>-5</v>
      </c>
      <c r="B30">
        <v>12</v>
      </c>
      <c r="C30" t="str">
        <f>'Bjälklag (10% slagg)'!M30</f>
        <v>C20/252052010OK14</v>
      </c>
      <c r="D30" t="str">
        <f>'Bjälklag (20% slagg)'!M30</f>
        <v>C20/252052020OK14</v>
      </c>
      <c r="E30" t="str">
        <f>'Bjälklag (30% slagg)'!M30</f>
        <v>C20/252052020OK14</v>
      </c>
      <c r="F30" s="9" t="str">
        <f>'Bjälklag (40% slagg)'!M30</f>
        <v>C20/252052030OK14</v>
      </c>
      <c r="H30" s="41">
        <v>15</v>
      </c>
      <c r="I30" s="42">
        <v>0</v>
      </c>
      <c r="K30" t="str">
        <f>'Bjälklag (10% slagg)'!M7</f>
        <v>C20/251515-0OK14</v>
      </c>
      <c r="M30" s="47">
        <f t="shared" si="0"/>
        <v>2</v>
      </c>
    </row>
    <row r="31" spans="1:13" ht="15.75" thickBot="1" x14ac:dyDescent="0.3">
      <c r="A31" s="10">
        <v>-5</v>
      </c>
      <c r="B31" s="11">
        <v>20</v>
      </c>
      <c r="C31" s="11" t="str">
        <f>'Bjälklag (10% slagg)'!M31</f>
        <v>C20/252052010OK14</v>
      </c>
      <c r="D31" s="11" t="str">
        <f>'Bjälklag (20% slagg)'!M31</f>
        <v>C20/252052020OK14</v>
      </c>
      <c r="E31" s="11" t="str">
        <f>'Bjälklag (30% slagg)'!M31</f>
        <v>C20/252052020OK14</v>
      </c>
      <c r="F31" s="12" t="str">
        <f>'Bjälklag (40% slagg)'!M31</f>
        <v>C20/252052030OK14</v>
      </c>
      <c r="H31" s="38">
        <v>15</v>
      </c>
      <c r="I31" s="3">
        <v>2</v>
      </c>
      <c r="J31" s="46"/>
      <c r="K31" t="str">
        <f>'Bjälklag (10% slagg)'!M8</f>
        <v>C20/251515-0OK14</v>
      </c>
      <c r="M31" s="47">
        <f t="shared" si="0"/>
        <v>2</v>
      </c>
    </row>
    <row r="32" spans="1:13" x14ac:dyDescent="0.25">
      <c r="A32" s="5">
        <v>-10</v>
      </c>
      <c r="B32" s="6">
        <v>0</v>
      </c>
      <c r="C32" s="6" t="str">
        <f>'Bjälklag (10% slagg)'!M32</f>
        <v>C20/252052010OK14</v>
      </c>
      <c r="D32" s="6" t="str">
        <f>'Bjälklag (20% slagg)'!M32</f>
        <v>C20/252052030OK14</v>
      </c>
      <c r="E32" s="6" t="str">
        <f>'Bjälklag (30% slagg)'!M32</f>
        <v>C20/252052050OK14</v>
      </c>
      <c r="F32" s="7" t="str">
        <f>'Bjälklag (40% slagg)'!M32</f>
        <v>C25/302052050OK14</v>
      </c>
      <c r="H32" s="37">
        <v>15</v>
      </c>
      <c r="I32" s="4">
        <v>7</v>
      </c>
      <c r="K32" t="str">
        <f>'Bjälklag (10% slagg)'!M9</f>
        <v>C20/251515-0OK14</v>
      </c>
      <c r="M32" s="47">
        <f t="shared" si="0"/>
        <v>2</v>
      </c>
    </row>
    <row r="33" spans="1:13" x14ac:dyDescent="0.25">
      <c r="A33" s="8">
        <v>-10</v>
      </c>
      <c r="B33">
        <v>2</v>
      </c>
      <c r="C33" t="str">
        <f>'Bjälklag (10% slagg)'!M33</f>
        <v>C20/252052020OK14</v>
      </c>
      <c r="D33" t="str">
        <f>'Bjälklag (20% slagg)'!M33</f>
        <v>C20/252052030OK14</v>
      </c>
      <c r="E33" t="str">
        <f>'Bjälklag (30% slagg)'!M33</f>
        <v>C20/252052050OK14</v>
      </c>
      <c r="F33" s="9" t="str">
        <f>'Bjälklag (40% slagg)'!M33</f>
        <v>C25/302052050OK14</v>
      </c>
      <c r="H33" s="38">
        <v>15</v>
      </c>
      <c r="I33" s="3">
        <v>12</v>
      </c>
      <c r="J33" s="46"/>
      <c r="K33" t="str">
        <f>'Bjälklag (10% slagg)'!M10</f>
        <v>C20/251515-0OK14</v>
      </c>
      <c r="M33" s="47">
        <f t="shared" si="0"/>
        <v>2</v>
      </c>
    </row>
    <row r="34" spans="1:13" ht="15.75" thickBot="1" x14ac:dyDescent="0.3">
      <c r="A34" s="8">
        <v>-10</v>
      </c>
      <c r="B34">
        <v>7</v>
      </c>
      <c r="C34" t="str">
        <f>'Bjälklag (10% slagg)'!M34</f>
        <v>C20/252052020OK14</v>
      </c>
      <c r="D34" t="str">
        <f>'Bjälklag (20% slagg)'!M34</f>
        <v>C20/252052050OK14</v>
      </c>
      <c r="E34" t="str">
        <f>'Bjälklag (30% slagg)'!M34</f>
        <v>C20/252052050OK14</v>
      </c>
      <c r="F34" s="9" t="str">
        <f>'Bjälklag (40% slagg)'!M34</f>
        <v>C25/302052050OK14</v>
      </c>
      <c r="H34" s="43">
        <v>15</v>
      </c>
      <c r="I34" s="44">
        <v>20</v>
      </c>
      <c r="K34" t="str">
        <f>'Bjälklag (10% slagg)'!M11</f>
        <v>C20/251515-0OK14</v>
      </c>
      <c r="M34" s="47">
        <f t="shared" si="0"/>
        <v>2</v>
      </c>
    </row>
    <row r="35" spans="1:13" x14ac:dyDescent="0.25">
      <c r="A35" s="8">
        <v>-10</v>
      </c>
      <c r="B35">
        <v>12</v>
      </c>
      <c r="C35" t="str">
        <f>'Bjälklag (10% slagg)'!M35</f>
        <v>-----</v>
      </c>
      <c r="D35" t="str">
        <f>'Bjälklag (20% slagg)'!M35</f>
        <v>-----</v>
      </c>
      <c r="E35" t="str">
        <f>'Bjälklag (30% slagg)'!M35</f>
        <v>-----</v>
      </c>
      <c r="F35" s="9" t="str">
        <f>'Bjälklag (40% slagg)'!M35</f>
        <v>-----</v>
      </c>
      <c r="H35" s="35">
        <v>10</v>
      </c>
      <c r="I35" s="36">
        <v>0</v>
      </c>
      <c r="J35" s="46"/>
      <c r="K35" t="str">
        <f>'Bjälklag (10% slagg)'!M12</f>
        <v>C20/251510-0OK14</v>
      </c>
      <c r="M35" s="47">
        <f t="shared" si="0"/>
        <v>3</v>
      </c>
    </row>
    <row r="36" spans="1:13" ht="15.75" thickBot="1" x14ac:dyDescent="0.3">
      <c r="A36" s="10">
        <v>-10</v>
      </c>
      <c r="B36" s="11">
        <v>20</v>
      </c>
      <c r="C36" s="11" t="str">
        <f>'Bjälklag (10% slagg)'!M36</f>
        <v>-----</v>
      </c>
      <c r="D36" s="11" t="str">
        <f>'Bjälklag (20% slagg)'!M36</f>
        <v>-----</v>
      </c>
      <c r="E36" s="11" t="str">
        <f>'Bjälklag (30% slagg)'!M36</f>
        <v>-----</v>
      </c>
      <c r="F36" s="12" t="str">
        <f>'Bjälklag (40% slagg)'!M36</f>
        <v>-----</v>
      </c>
      <c r="H36" s="37">
        <v>10</v>
      </c>
      <c r="I36" s="4">
        <v>2</v>
      </c>
      <c r="K36" t="str">
        <f>'Bjälklag (10% slagg)'!M13</f>
        <v>C20/251510-0OK14</v>
      </c>
      <c r="M36" s="47">
        <f t="shared" si="0"/>
        <v>3</v>
      </c>
    </row>
    <row r="37" spans="1:13" x14ac:dyDescent="0.25">
      <c r="A37" s="5">
        <v>-15</v>
      </c>
      <c r="B37" s="6">
        <v>0</v>
      </c>
      <c r="C37" s="6" t="str">
        <f>'Bjälklag (10% slagg)'!M37</f>
        <v>C28/351552030OK14</v>
      </c>
      <c r="D37" s="6" t="str">
        <f>'Bjälklag (20% slagg)'!M37</f>
        <v>C28/351552050OK14</v>
      </c>
      <c r="E37" s="6" t="str">
        <f>'Bjälklag (30% slagg)'!M37</f>
        <v>C25/301552030OK14</v>
      </c>
      <c r="F37" s="7" t="str">
        <f>'Bjälklag (40% slagg)'!M37</f>
        <v>C40/501552050OK21</v>
      </c>
      <c r="H37" s="38">
        <v>10</v>
      </c>
      <c r="I37" s="3">
        <v>7</v>
      </c>
      <c r="J37" s="46"/>
      <c r="K37" t="str">
        <f>'Bjälklag (10% slagg)'!M14</f>
        <v>C20/251510-0OK14</v>
      </c>
      <c r="M37" s="47">
        <f t="shared" si="0"/>
        <v>3</v>
      </c>
    </row>
    <row r="38" spans="1:13" x14ac:dyDescent="0.25">
      <c r="A38" s="8">
        <v>-15</v>
      </c>
      <c r="B38">
        <v>2</v>
      </c>
      <c r="C38" t="str">
        <f>'Bjälklag (10% slagg)'!M38</f>
        <v>C28/351552030OK14</v>
      </c>
      <c r="D38" t="str">
        <f>'Bjälklag (20% slagg)'!M38</f>
        <v>C28/351552050OK14</v>
      </c>
      <c r="E38" t="str">
        <f>'Bjälklag (30% slagg)'!M38</f>
        <v>C25/301552030OK14</v>
      </c>
      <c r="F38" s="9" t="str">
        <f>'Bjälklag (40% slagg)'!M38</f>
        <v>C40/501552050OK21</v>
      </c>
      <c r="H38" s="37">
        <v>10</v>
      </c>
      <c r="I38" s="4">
        <v>12</v>
      </c>
      <c r="K38" t="str">
        <f>'Bjälklag (10% slagg)'!M15</f>
        <v>C20/251510-0OK14</v>
      </c>
      <c r="M38" s="47">
        <f t="shared" si="0"/>
        <v>3</v>
      </c>
    </row>
    <row r="39" spans="1:13" ht="15.75" thickBot="1" x14ac:dyDescent="0.3">
      <c r="A39" s="8">
        <v>-15</v>
      </c>
      <c r="B39">
        <v>7</v>
      </c>
      <c r="C39" t="str">
        <f>'Bjälklag (10% slagg)'!M39</f>
        <v>-----</v>
      </c>
      <c r="D39" t="str">
        <f>'Bjälklag (20% slagg)'!M39</f>
        <v>-----</v>
      </c>
      <c r="E39" t="str">
        <f>'Bjälklag (30% slagg)'!M39</f>
        <v>-----</v>
      </c>
      <c r="F39" s="9" t="str">
        <f>'Bjälklag (40% slagg)'!M39</f>
        <v>-----</v>
      </c>
      <c r="H39" s="39">
        <v>10</v>
      </c>
      <c r="I39" s="40">
        <v>20</v>
      </c>
      <c r="J39" s="46"/>
      <c r="K39" t="str">
        <f>'Bjälklag (10% slagg)'!M16</f>
        <v>C20/251510-0OK14</v>
      </c>
      <c r="M39" s="47">
        <f t="shared" si="0"/>
        <v>3</v>
      </c>
    </row>
    <row r="40" spans="1:13" x14ac:dyDescent="0.25">
      <c r="A40" s="8">
        <v>-15</v>
      </c>
      <c r="B40">
        <v>12</v>
      </c>
      <c r="C40" t="str">
        <f>'Bjälklag (10% slagg)'!M40</f>
        <v>-----</v>
      </c>
      <c r="D40" t="str">
        <f>'Bjälklag (20% slagg)'!M40</f>
        <v>-----</v>
      </c>
      <c r="E40" t="str">
        <f>'Bjälklag (30% slagg)'!M40</f>
        <v>-----</v>
      </c>
      <c r="F40" s="9" t="str">
        <f>'Bjälklag (40% slagg)'!M40</f>
        <v>-----</v>
      </c>
      <c r="H40" s="41">
        <v>5</v>
      </c>
      <c r="I40" s="42">
        <v>0</v>
      </c>
      <c r="K40" t="str">
        <f>'Bjälklag (10% slagg)'!M17</f>
        <v>C20/25205-0OK14</v>
      </c>
      <c r="M40" s="47">
        <f t="shared" si="0"/>
        <v>6</v>
      </c>
    </row>
    <row r="41" spans="1:13" ht="15.75" thickBot="1" x14ac:dyDescent="0.3">
      <c r="A41" s="10">
        <v>-15</v>
      </c>
      <c r="B41" s="11">
        <v>20</v>
      </c>
      <c r="C41" s="11" t="str">
        <f>'Bjälklag (10% slagg)'!M41</f>
        <v>-----</v>
      </c>
      <c r="D41" s="11" t="str">
        <f>'Bjälklag (20% slagg)'!M41</f>
        <v>-----</v>
      </c>
      <c r="E41" s="11" t="str">
        <f>'Bjälklag (30% slagg)'!M41</f>
        <v>-----</v>
      </c>
      <c r="F41" s="12" t="str">
        <f>'Bjälklag (40% slagg)'!M41</f>
        <v>-----</v>
      </c>
      <c r="H41" s="38">
        <v>5</v>
      </c>
      <c r="I41" s="3">
        <v>2</v>
      </c>
      <c r="J41" s="46"/>
      <c r="K41" t="str">
        <f>'Bjälklag (10% slagg)'!M18</f>
        <v>C20/2520550OK14</v>
      </c>
      <c r="M41" s="47">
        <f t="shared" si="0"/>
        <v>7</v>
      </c>
    </row>
    <row r="42" spans="1:13" x14ac:dyDescent="0.25">
      <c r="A42" s="5">
        <v>-20</v>
      </c>
      <c r="B42" s="6">
        <v>0</v>
      </c>
      <c r="C42" s="6" t="str">
        <f>'Bjälklag (10% slagg)'!M42</f>
        <v>C35/451052050OK14</v>
      </c>
      <c r="D42" s="6" t="str">
        <f>'Bjälklag (20% slagg)'!M42</f>
        <v>C40/501052050OK21</v>
      </c>
      <c r="E42" s="6" t="str">
        <f>'Bjälklag (30% slagg)'!M42</f>
        <v>-----</v>
      </c>
      <c r="F42" s="7" t="str">
        <f>'Bjälklag (40% slagg)'!M42</f>
        <v>-----</v>
      </c>
      <c r="H42" s="37">
        <v>5</v>
      </c>
      <c r="I42" s="4">
        <v>7</v>
      </c>
      <c r="K42" t="str">
        <f>'Bjälklag (10% slagg)'!M19</f>
        <v>C20/2520550OK14</v>
      </c>
      <c r="M42" s="47">
        <f t="shared" si="0"/>
        <v>7</v>
      </c>
    </row>
    <row r="43" spans="1:13" x14ac:dyDescent="0.25">
      <c r="A43" s="8">
        <v>-20</v>
      </c>
      <c r="B43">
        <v>2</v>
      </c>
      <c r="C43" t="str">
        <f>'Bjälklag (10% slagg)'!M43</f>
        <v>C35/451052050OK14</v>
      </c>
      <c r="D43" t="str">
        <f>'Bjälklag (20% slagg)'!M43</f>
        <v>C40/501052050OK21</v>
      </c>
      <c r="E43" t="str">
        <f>'Bjälklag (30% slagg)'!M43</f>
        <v>-----</v>
      </c>
      <c r="F43" s="9" t="str">
        <f>'Bjälklag (40% slagg)'!M43</f>
        <v>-----</v>
      </c>
      <c r="H43" s="38">
        <v>5</v>
      </c>
      <c r="I43" s="3">
        <v>12</v>
      </c>
      <c r="J43" s="46"/>
      <c r="K43" t="str">
        <f>'Bjälklag (10% slagg)'!M20</f>
        <v>C20/2520550OK14</v>
      </c>
      <c r="M43" s="47">
        <f t="shared" si="0"/>
        <v>7</v>
      </c>
    </row>
    <row r="44" spans="1:13" ht="15.75" thickBot="1" x14ac:dyDescent="0.3">
      <c r="A44" s="8">
        <v>-20</v>
      </c>
      <c r="B44">
        <v>7</v>
      </c>
      <c r="C44" t="str">
        <f>'Bjälklag (10% slagg)'!M44</f>
        <v>-----</v>
      </c>
      <c r="D44" t="str">
        <f>'Bjälklag (20% slagg)'!M44</f>
        <v>-----</v>
      </c>
      <c r="E44" t="str">
        <f>'Bjälklag (30% slagg)'!M44</f>
        <v>-----</v>
      </c>
      <c r="F44" s="9" t="str">
        <f>'Bjälklag (40% slagg)'!M44</f>
        <v>-----</v>
      </c>
      <c r="H44" s="43">
        <v>5</v>
      </c>
      <c r="I44" s="44">
        <v>20</v>
      </c>
      <c r="K44" t="str">
        <f>'Bjälklag (10% slagg)'!M21</f>
        <v>C20/2520550OK14</v>
      </c>
      <c r="M44" s="47">
        <f t="shared" si="0"/>
        <v>7</v>
      </c>
    </row>
    <row r="45" spans="1:13" x14ac:dyDescent="0.25">
      <c r="A45" s="8">
        <v>-20</v>
      </c>
      <c r="B45">
        <v>12</v>
      </c>
      <c r="C45" t="str">
        <f>'Bjälklag (10% slagg)'!M45</f>
        <v>-----</v>
      </c>
      <c r="D45" t="str">
        <f>'Bjälklag (20% slagg)'!M45</f>
        <v>-----</v>
      </c>
      <c r="E45" t="str">
        <f>'Bjälklag (30% slagg)'!M45</f>
        <v>-----</v>
      </c>
      <c r="F45" s="9" t="str">
        <f>'Bjälklag (40% slagg)'!M45</f>
        <v>-----</v>
      </c>
      <c r="H45" s="35">
        <v>0</v>
      </c>
      <c r="I45" s="36">
        <v>0</v>
      </c>
      <c r="J45" s="46"/>
      <c r="K45" t="str">
        <f>'Bjälklag (10% slagg)'!M22</f>
        <v>C20/25205100OK14</v>
      </c>
      <c r="M45" s="47">
        <f t="shared" si="0"/>
        <v>8</v>
      </c>
    </row>
    <row r="46" spans="1:13" ht="15.75" thickBot="1" x14ac:dyDescent="0.3">
      <c r="A46" s="10">
        <v>-20</v>
      </c>
      <c r="B46" s="11">
        <v>20</v>
      </c>
      <c r="C46" s="11" t="str">
        <f>'Bjälklag (10% slagg)'!M46</f>
        <v>-----</v>
      </c>
      <c r="D46" s="11" t="str">
        <f>'Bjälklag (20% slagg)'!M46</f>
        <v>-----</v>
      </c>
      <c r="E46" s="11" t="str">
        <f>'Bjälklag (30% slagg)'!M46</f>
        <v>-----</v>
      </c>
      <c r="F46" s="12" t="str">
        <f>'Bjälklag (40% slagg)'!M46</f>
        <v>-----</v>
      </c>
      <c r="H46" s="37">
        <v>0</v>
      </c>
      <c r="I46" s="4">
        <v>2</v>
      </c>
      <c r="K46" t="str">
        <f>'Bjälklag (10% slagg)'!M23</f>
        <v>C20/25205150OK14</v>
      </c>
      <c r="M46" s="47">
        <f t="shared" si="0"/>
        <v>9</v>
      </c>
    </row>
    <row r="47" spans="1:13" x14ac:dyDescent="0.25">
      <c r="H47" s="38">
        <v>0</v>
      </c>
      <c r="I47" s="3">
        <v>7</v>
      </c>
      <c r="J47" s="46"/>
      <c r="K47" t="str">
        <f>'Bjälklag (10% slagg)'!M24</f>
        <v>C20/2520520PresenningOK14</v>
      </c>
      <c r="M47" s="47">
        <f t="shared" si="0"/>
        <v>10</v>
      </c>
    </row>
    <row r="48" spans="1:13" x14ac:dyDescent="0.25">
      <c r="H48" s="37">
        <v>0</v>
      </c>
      <c r="I48" s="4">
        <v>12</v>
      </c>
      <c r="K48" t="str">
        <f>'Bjälklag (10% slagg)'!M25</f>
        <v>C20/2520520PresenningOK14</v>
      </c>
      <c r="M48" s="47">
        <f t="shared" si="0"/>
        <v>10</v>
      </c>
    </row>
    <row r="49" spans="8:13" ht="15.75" thickBot="1" x14ac:dyDescent="0.3">
      <c r="H49" s="39">
        <v>0</v>
      </c>
      <c r="I49" s="40">
        <v>20</v>
      </c>
      <c r="J49" s="46"/>
      <c r="K49" t="str">
        <f>'Bjälklag (10% slagg)'!M26</f>
        <v>C20/2520520PresenningOK14</v>
      </c>
      <c r="M49" s="47">
        <f t="shared" si="0"/>
        <v>10</v>
      </c>
    </row>
    <row r="50" spans="8:13" x14ac:dyDescent="0.25">
      <c r="H50" s="41">
        <v>-5</v>
      </c>
      <c r="I50" s="42">
        <v>0</v>
      </c>
      <c r="K50" t="str">
        <f>'Bjälklag (10% slagg)'!M27</f>
        <v>C20/25205200OK14</v>
      </c>
      <c r="M50" s="47">
        <f t="shared" si="0"/>
        <v>11</v>
      </c>
    </row>
    <row r="51" spans="8:13" x14ac:dyDescent="0.25">
      <c r="H51" s="38">
        <v>-5</v>
      </c>
      <c r="I51" s="3">
        <v>2</v>
      </c>
      <c r="J51" s="46"/>
      <c r="K51" t="str">
        <f>'Bjälklag (10% slagg)'!M28</f>
        <v>C20/252052010OK14</v>
      </c>
      <c r="M51" s="47">
        <f t="shared" si="0"/>
        <v>12</v>
      </c>
    </row>
    <row r="52" spans="8:13" x14ac:dyDescent="0.25">
      <c r="H52" s="37">
        <v>-5</v>
      </c>
      <c r="I52" s="4">
        <v>7</v>
      </c>
      <c r="K52" t="str">
        <f>'Bjälklag (10% slagg)'!M29</f>
        <v>C20/252052010OK14</v>
      </c>
      <c r="M52" s="47">
        <f t="shared" si="0"/>
        <v>12</v>
      </c>
    </row>
    <row r="53" spans="8:13" x14ac:dyDescent="0.25">
      <c r="H53" s="38">
        <v>-5</v>
      </c>
      <c r="I53" s="3">
        <v>12</v>
      </c>
      <c r="J53" s="46"/>
      <c r="K53" t="str">
        <f>'Bjälklag (10% slagg)'!M30</f>
        <v>C20/252052010OK14</v>
      </c>
      <c r="M53" s="47">
        <f t="shared" si="0"/>
        <v>12</v>
      </c>
    </row>
    <row r="54" spans="8:13" ht="15.75" thickBot="1" x14ac:dyDescent="0.3">
      <c r="H54" s="43">
        <v>-5</v>
      </c>
      <c r="I54" s="44">
        <v>20</v>
      </c>
      <c r="K54" t="str">
        <f>'Bjälklag (10% slagg)'!M31</f>
        <v>C20/252052010OK14</v>
      </c>
      <c r="M54" s="47">
        <f t="shared" si="0"/>
        <v>12</v>
      </c>
    </row>
    <row r="55" spans="8:13" x14ac:dyDescent="0.25">
      <c r="H55" s="35">
        <v>-10</v>
      </c>
      <c r="I55" s="36">
        <v>0</v>
      </c>
      <c r="J55" s="46"/>
      <c r="K55" t="str">
        <f>'Bjälklag (10% slagg)'!M32</f>
        <v>C20/252052010OK14</v>
      </c>
      <c r="M55" s="47">
        <f t="shared" si="0"/>
        <v>12</v>
      </c>
    </row>
    <row r="56" spans="8:13" x14ac:dyDescent="0.25">
      <c r="H56" s="37">
        <v>-10</v>
      </c>
      <c r="I56" s="4">
        <v>2</v>
      </c>
      <c r="K56" t="str">
        <f>'Bjälklag (10% slagg)'!M33</f>
        <v>C20/252052020OK14</v>
      </c>
      <c r="M56" s="47">
        <f t="shared" si="0"/>
        <v>13</v>
      </c>
    </row>
    <row r="57" spans="8:13" x14ac:dyDescent="0.25">
      <c r="H57" s="38">
        <v>-10</v>
      </c>
      <c r="I57" s="3">
        <v>7</v>
      </c>
      <c r="J57" s="46"/>
      <c r="K57" t="str">
        <f>'Bjälklag (10% slagg)'!M34</f>
        <v>C20/252052020OK14</v>
      </c>
      <c r="M57" s="47">
        <f t="shared" si="0"/>
        <v>13</v>
      </c>
    </row>
    <row r="58" spans="8:13" x14ac:dyDescent="0.25">
      <c r="H58" s="37">
        <v>-10</v>
      </c>
      <c r="I58" s="4">
        <v>12</v>
      </c>
      <c r="K58" t="str">
        <f>'Bjälklag (10% slagg)'!M35</f>
        <v>-----</v>
      </c>
      <c r="M58" s="47">
        <f t="shared" si="0"/>
        <v>23</v>
      </c>
    </row>
    <row r="59" spans="8:13" ht="15.75" thickBot="1" x14ac:dyDescent="0.3">
      <c r="H59" s="39">
        <v>-10</v>
      </c>
      <c r="I59" s="40">
        <v>20</v>
      </c>
      <c r="J59" s="46"/>
      <c r="K59" t="str">
        <f>'Bjälklag (10% slagg)'!M36</f>
        <v>-----</v>
      </c>
      <c r="M59" s="47">
        <f t="shared" si="0"/>
        <v>23</v>
      </c>
    </row>
    <row r="60" spans="8:13" x14ac:dyDescent="0.25">
      <c r="H60" s="41">
        <v>-15</v>
      </c>
      <c r="I60" s="42">
        <v>0</v>
      </c>
      <c r="K60" t="str">
        <f>'Bjälklag (10% slagg)'!M37</f>
        <v>C28/351552030OK14</v>
      </c>
      <c r="M60" s="47">
        <f t="shared" si="0"/>
        <v>18</v>
      </c>
    </row>
    <row r="61" spans="8:13" x14ac:dyDescent="0.25">
      <c r="H61" s="38">
        <v>-15</v>
      </c>
      <c r="I61" s="3">
        <v>2</v>
      </c>
      <c r="J61" s="46"/>
      <c r="K61" t="str">
        <f>'Bjälklag (10% slagg)'!M38</f>
        <v>C28/351552030OK14</v>
      </c>
      <c r="M61" s="47">
        <f t="shared" si="0"/>
        <v>18</v>
      </c>
    </row>
    <row r="62" spans="8:13" x14ac:dyDescent="0.25">
      <c r="H62" s="37">
        <v>-15</v>
      </c>
      <c r="I62" s="4">
        <v>7</v>
      </c>
      <c r="K62" t="str">
        <f>'Bjälklag (10% slagg)'!M39</f>
        <v>-----</v>
      </c>
      <c r="M62" s="47">
        <f t="shared" si="0"/>
        <v>23</v>
      </c>
    </row>
    <row r="63" spans="8:13" x14ac:dyDescent="0.25">
      <c r="H63" s="38">
        <v>-15</v>
      </c>
      <c r="I63" s="3">
        <v>12</v>
      </c>
      <c r="J63" s="46"/>
      <c r="K63" t="str">
        <f>'Bjälklag (10% slagg)'!M40</f>
        <v>-----</v>
      </c>
      <c r="M63" s="47">
        <f t="shared" si="0"/>
        <v>23</v>
      </c>
    </row>
    <row r="64" spans="8:13" ht="15.75" thickBot="1" x14ac:dyDescent="0.3">
      <c r="H64" s="43">
        <v>-15</v>
      </c>
      <c r="I64" s="44">
        <v>20</v>
      </c>
      <c r="K64" t="str">
        <f>'Bjälklag (10% slagg)'!M41</f>
        <v>-----</v>
      </c>
      <c r="M64" s="47">
        <f t="shared" si="0"/>
        <v>23</v>
      </c>
    </row>
    <row r="65" spans="8:13" x14ac:dyDescent="0.25">
      <c r="H65" s="35">
        <v>-20</v>
      </c>
      <c r="I65" s="36">
        <v>0</v>
      </c>
      <c r="J65" s="46"/>
      <c r="K65" t="str">
        <f>'Bjälklag (10% slagg)'!M42</f>
        <v>C35/451052050OK14</v>
      </c>
      <c r="M65" s="47">
        <f t="shared" si="0"/>
        <v>20</v>
      </c>
    </row>
    <row r="66" spans="8:13" x14ac:dyDescent="0.25">
      <c r="H66" s="37">
        <v>-20</v>
      </c>
      <c r="I66" s="4">
        <v>2</v>
      </c>
      <c r="K66" t="str">
        <f>'Bjälklag (10% slagg)'!M43</f>
        <v>C35/451052050OK14</v>
      </c>
      <c r="M66" s="47">
        <f t="shared" si="0"/>
        <v>20</v>
      </c>
    </row>
    <row r="67" spans="8:13" x14ac:dyDescent="0.25">
      <c r="H67" s="38">
        <v>-20</v>
      </c>
      <c r="I67" s="3">
        <v>7</v>
      </c>
      <c r="J67" s="46"/>
      <c r="K67" t="str">
        <f>'Bjälklag (10% slagg)'!M44</f>
        <v>-----</v>
      </c>
      <c r="M67" s="47">
        <f t="shared" ref="M67:M130" si="1">MATCH(K67, _xlfn.UNIQUE($K$2:$K$204), 0)</f>
        <v>23</v>
      </c>
    </row>
    <row r="68" spans="8:13" x14ac:dyDescent="0.25">
      <c r="H68" s="37">
        <v>-20</v>
      </c>
      <c r="I68" s="4">
        <v>12</v>
      </c>
      <c r="K68" t="str">
        <f>'Bjälklag (10% slagg)'!M45</f>
        <v>-----</v>
      </c>
      <c r="M68" s="47">
        <f t="shared" si="1"/>
        <v>23</v>
      </c>
    </row>
    <row r="69" spans="8:13" ht="15.75" thickBot="1" x14ac:dyDescent="0.3">
      <c r="H69" s="39">
        <v>-20</v>
      </c>
      <c r="I69" s="40">
        <v>20</v>
      </c>
      <c r="J69" s="46"/>
      <c r="K69" t="str">
        <f>'Bjälklag (10% slagg)'!M46</f>
        <v>-----</v>
      </c>
      <c r="M69" s="47">
        <f t="shared" si="1"/>
        <v>23</v>
      </c>
    </row>
    <row r="70" spans="8:13" x14ac:dyDescent="0.25">
      <c r="H70" s="35">
        <v>20</v>
      </c>
      <c r="I70" s="36">
        <v>0</v>
      </c>
      <c r="J70" s="46"/>
      <c r="K70" t="str">
        <f>'Bjälklag (20% slagg)'!M2</f>
        <v>C20/251520-0OK14</v>
      </c>
      <c r="M70" s="47">
        <f t="shared" si="1"/>
        <v>1</v>
      </c>
    </row>
    <row r="71" spans="8:13" x14ac:dyDescent="0.25">
      <c r="H71" s="37">
        <v>20</v>
      </c>
      <c r="I71" s="4">
        <v>2</v>
      </c>
      <c r="K71" t="str">
        <f>'Bjälklag (20% slagg)'!M3</f>
        <v>C20/251520-0OK14</v>
      </c>
      <c r="M71" s="47">
        <f t="shared" si="1"/>
        <v>1</v>
      </c>
    </row>
    <row r="72" spans="8:13" x14ac:dyDescent="0.25">
      <c r="H72" s="38">
        <v>20</v>
      </c>
      <c r="I72" s="3">
        <v>7</v>
      </c>
      <c r="J72" s="46"/>
      <c r="K72" t="str">
        <f>'Bjälklag (20% slagg)'!M4</f>
        <v>C20/251520-0OK14</v>
      </c>
      <c r="M72" s="47">
        <f t="shared" si="1"/>
        <v>1</v>
      </c>
    </row>
    <row r="73" spans="8:13" x14ac:dyDescent="0.25">
      <c r="H73" s="37">
        <v>20</v>
      </c>
      <c r="I73" s="4">
        <v>12</v>
      </c>
      <c r="K73" t="str">
        <f>'Bjälklag (20% slagg)'!M5</f>
        <v>C20/251520-0OK14</v>
      </c>
      <c r="M73" s="47">
        <f t="shared" si="1"/>
        <v>1</v>
      </c>
    </row>
    <row r="74" spans="8:13" ht="15.75" thickBot="1" x14ac:dyDescent="0.3">
      <c r="H74" s="39">
        <v>20</v>
      </c>
      <c r="I74" s="40">
        <v>20</v>
      </c>
      <c r="J74" s="46"/>
      <c r="K74" t="str">
        <f>'Bjälklag (20% slagg)'!M6</f>
        <v>C20/251520-0OK14</v>
      </c>
      <c r="M74" s="47">
        <f t="shared" si="1"/>
        <v>1</v>
      </c>
    </row>
    <row r="75" spans="8:13" x14ac:dyDescent="0.25">
      <c r="H75" s="41">
        <v>15</v>
      </c>
      <c r="I75" s="42">
        <v>0</v>
      </c>
      <c r="K75" t="str">
        <f>'Bjälklag (20% slagg)'!M7</f>
        <v>C20/251515-0OK14</v>
      </c>
      <c r="M75" s="47">
        <f t="shared" si="1"/>
        <v>2</v>
      </c>
    </row>
    <row r="76" spans="8:13" x14ac:dyDescent="0.25">
      <c r="H76" s="38">
        <v>15</v>
      </c>
      <c r="I76" s="3">
        <v>2</v>
      </c>
      <c r="J76" s="46"/>
      <c r="K76" t="str">
        <f>'Bjälklag (20% slagg)'!M8</f>
        <v>C20/251515-0OK14</v>
      </c>
      <c r="M76" s="47">
        <f t="shared" si="1"/>
        <v>2</v>
      </c>
    </row>
    <row r="77" spans="8:13" x14ac:dyDescent="0.25">
      <c r="H77" s="37">
        <v>15</v>
      </c>
      <c r="I77" s="4">
        <v>7</v>
      </c>
      <c r="K77" t="str">
        <f>'Bjälklag (20% slagg)'!M9</f>
        <v>C20/251515-0OK14</v>
      </c>
      <c r="M77" s="47">
        <f t="shared" si="1"/>
        <v>2</v>
      </c>
    </row>
    <row r="78" spans="8:13" x14ac:dyDescent="0.25">
      <c r="H78" s="38">
        <v>15</v>
      </c>
      <c r="I78" s="3">
        <v>12</v>
      </c>
      <c r="J78" s="46"/>
      <c r="K78" t="str">
        <f>'Bjälklag (20% slagg)'!M10</f>
        <v>C20/251515-0OK14</v>
      </c>
      <c r="M78" s="47">
        <f t="shared" si="1"/>
        <v>2</v>
      </c>
    </row>
    <row r="79" spans="8:13" ht="15.75" thickBot="1" x14ac:dyDescent="0.3">
      <c r="H79" s="43">
        <v>15</v>
      </c>
      <c r="I79" s="44">
        <v>20</v>
      </c>
      <c r="K79" t="str">
        <f>'Bjälklag (20% slagg)'!M11</f>
        <v>C20/251515-0OK14</v>
      </c>
      <c r="M79" s="47">
        <f t="shared" si="1"/>
        <v>2</v>
      </c>
    </row>
    <row r="80" spans="8:13" x14ac:dyDescent="0.25">
      <c r="H80" s="35">
        <v>10</v>
      </c>
      <c r="I80" s="36">
        <v>0</v>
      </c>
      <c r="J80" s="46"/>
      <c r="K80" t="str">
        <f>'Bjälklag (20% slagg)'!M12</f>
        <v>C20/251510-0OK14</v>
      </c>
      <c r="M80" s="47">
        <f t="shared" si="1"/>
        <v>3</v>
      </c>
    </row>
    <row r="81" spans="8:13" x14ac:dyDescent="0.25">
      <c r="H81" s="37">
        <v>10</v>
      </c>
      <c r="I81" s="4">
        <v>2</v>
      </c>
      <c r="K81" t="str">
        <f>'Bjälklag (20% slagg)'!M13</f>
        <v>C20/251510-0OK14</v>
      </c>
      <c r="M81" s="47">
        <f t="shared" si="1"/>
        <v>3</v>
      </c>
    </row>
    <row r="82" spans="8:13" x14ac:dyDescent="0.25">
      <c r="H82" s="38">
        <v>10</v>
      </c>
      <c r="I82" s="3">
        <v>7</v>
      </c>
      <c r="J82" s="46"/>
      <c r="K82" t="str">
        <f>'Bjälklag (20% slagg)'!M14</f>
        <v>C20/251510-0OK14</v>
      </c>
      <c r="M82" s="47">
        <f t="shared" si="1"/>
        <v>3</v>
      </c>
    </row>
    <row r="83" spans="8:13" x14ac:dyDescent="0.25">
      <c r="H83" s="37">
        <v>10</v>
      </c>
      <c r="I83" s="4">
        <v>12</v>
      </c>
      <c r="K83" t="str">
        <f>'Bjälklag (20% slagg)'!M15</f>
        <v>C20/251510-0OK14</v>
      </c>
      <c r="M83" s="47">
        <f t="shared" si="1"/>
        <v>3</v>
      </c>
    </row>
    <row r="84" spans="8:13" ht="15.75" thickBot="1" x14ac:dyDescent="0.3">
      <c r="H84" s="39">
        <v>10</v>
      </c>
      <c r="I84" s="40">
        <v>20</v>
      </c>
      <c r="J84" s="46"/>
      <c r="K84" t="str">
        <f>'Bjälklag (20% slagg)'!M16</f>
        <v>C20/251510-0OK14</v>
      </c>
      <c r="M84" s="47">
        <f t="shared" si="1"/>
        <v>3</v>
      </c>
    </row>
    <row r="85" spans="8:13" x14ac:dyDescent="0.25">
      <c r="H85" s="41">
        <v>5</v>
      </c>
      <c r="I85" s="42">
        <v>0</v>
      </c>
      <c r="K85" t="str">
        <f>'Bjälklag (20% slagg)'!M17</f>
        <v>C20/2520550OK14</v>
      </c>
      <c r="M85" s="47">
        <f t="shared" si="1"/>
        <v>7</v>
      </c>
    </row>
    <row r="86" spans="8:13" x14ac:dyDescent="0.25">
      <c r="H86" s="38">
        <v>5</v>
      </c>
      <c r="I86" s="3">
        <v>2</v>
      </c>
      <c r="J86" s="46"/>
      <c r="K86" t="str">
        <f>'Bjälklag (20% slagg)'!M18</f>
        <v>C20/25205100OK14</v>
      </c>
      <c r="M86" s="47">
        <f t="shared" si="1"/>
        <v>8</v>
      </c>
    </row>
    <row r="87" spans="8:13" x14ac:dyDescent="0.25">
      <c r="H87" s="37">
        <v>5</v>
      </c>
      <c r="I87" s="4">
        <v>7</v>
      </c>
      <c r="K87" t="str">
        <f>'Bjälklag (20% slagg)'!M19</f>
        <v>C20/25205150OK14</v>
      </c>
      <c r="M87" s="47">
        <f t="shared" si="1"/>
        <v>9</v>
      </c>
    </row>
    <row r="88" spans="8:13" x14ac:dyDescent="0.25">
      <c r="H88" s="38">
        <v>5</v>
      </c>
      <c r="I88" s="3">
        <v>12</v>
      </c>
      <c r="J88" s="46"/>
      <c r="K88" t="str">
        <f>'Bjälklag (20% slagg)'!M20</f>
        <v>C20/25205200OK14</v>
      </c>
      <c r="M88" s="47">
        <f t="shared" si="1"/>
        <v>11</v>
      </c>
    </row>
    <row r="89" spans="8:13" ht="15.75" thickBot="1" x14ac:dyDescent="0.3">
      <c r="H89" s="43">
        <v>5</v>
      </c>
      <c r="I89" s="44">
        <v>20</v>
      </c>
      <c r="K89" t="str">
        <f>'Bjälklag (20% slagg)'!M21</f>
        <v>C20/25205200OK14</v>
      </c>
      <c r="M89" s="47">
        <f t="shared" si="1"/>
        <v>11</v>
      </c>
    </row>
    <row r="90" spans="8:13" x14ac:dyDescent="0.25">
      <c r="H90" s="35">
        <v>0</v>
      </c>
      <c r="I90" s="36">
        <v>0</v>
      </c>
      <c r="J90" s="46"/>
      <c r="K90" t="str">
        <f>'Bjälklag (20% slagg)'!M22</f>
        <v>C20/25205150OK14</v>
      </c>
      <c r="M90" s="47">
        <f t="shared" si="1"/>
        <v>9</v>
      </c>
    </row>
    <row r="91" spans="8:13" x14ac:dyDescent="0.25">
      <c r="H91" s="37">
        <v>0</v>
      </c>
      <c r="I91" s="4">
        <v>2</v>
      </c>
      <c r="K91" t="str">
        <f>'Bjälklag (20% slagg)'!M23</f>
        <v>C20/2520520PresenningOK14</v>
      </c>
      <c r="M91" s="47">
        <f t="shared" si="1"/>
        <v>10</v>
      </c>
    </row>
    <row r="92" spans="8:13" x14ac:dyDescent="0.25">
      <c r="H92" s="38">
        <v>0</v>
      </c>
      <c r="I92" s="3">
        <v>7</v>
      </c>
      <c r="J92" s="46"/>
      <c r="K92" t="str">
        <f>'Bjälklag (20% slagg)'!M24</f>
        <v>C20/252052010OK14</v>
      </c>
      <c r="M92" s="47">
        <f t="shared" si="1"/>
        <v>12</v>
      </c>
    </row>
    <row r="93" spans="8:13" x14ac:dyDescent="0.25">
      <c r="H93" s="37">
        <v>0</v>
      </c>
      <c r="I93" s="4">
        <v>12</v>
      </c>
      <c r="K93" t="str">
        <f>'Bjälklag (20% slagg)'!M25</f>
        <v>C20/252052010OK14</v>
      </c>
      <c r="M93" s="47">
        <f t="shared" si="1"/>
        <v>12</v>
      </c>
    </row>
    <row r="94" spans="8:13" ht="15.75" thickBot="1" x14ac:dyDescent="0.3">
      <c r="H94" s="39">
        <v>0</v>
      </c>
      <c r="I94" s="40">
        <v>20</v>
      </c>
      <c r="J94" s="46"/>
      <c r="K94" t="str">
        <f>'Bjälklag (20% slagg)'!M26</f>
        <v>C20/252052010OK14</v>
      </c>
      <c r="M94" s="47">
        <f t="shared" si="1"/>
        <v>12</v>
      </c>
    </row>
    <row r="95" spans="8:13" x14ac:dyDescent="0.25">
      <c r="H95" s="41">
        <v>-5</v>
      </c>
      <c r="I95" s="42">
        <v>0</v>
      </c>
      <c r="K95" t="str">
        <f>'Bjälklag (20% slagg)'!M27</f>
        <v>C20/252052010OK14</v>
      </c>
      <c r="M95" s="47">
        <f t="shared" si="1"/>
        <v>12</v>
      </c>
    </row>
    <row r="96" spans="8:13" x14ac:dyDescent="0.25">
      <c r="H96" s="38">
        <v>-5</v>
      </c>
      <c r="I96" s="3">
        <v>2</v>
      </c>
      <c r="J96" s="46"/>
      <c r="K96" t="str">
        <f>'Bjälklag (20% slagg)'!M28</f>
        <v>C20/252052010OK14</v>
      </c>
      <c r="M96" s="47">
        <f t="shared" si="1"/>
        <v>12</v>
      </c>
    </row>
    <row r="97" spans="8:13" x14ac:dyDescent="0.25">
      <c r="H97" s="37">
        <v>-5</v>
      </c>
      <c r="I97" s="4">
        <v>7</v>
      </c>
      <c r="K97" t="str">
        <f>'Bjälklag (20% slagg)'!M29</f>
        <v>C20/252052020OK14</v>
      </c>
      <c r="M97" s="47">
        <f t="shared" si="1"/>
        <v>13</v>
      </c>
    </row>
    <row r="98" spans="8:13" x14ac:dyDescent="0.25">
      <c r="H98" s="38">
        <v>-5</v>
      </c>
      <c r="I98" s="3">
        <v>12</v>
      </c>
      <c r="J98" s="46"/>
      <c r="K98" t="str">
        <f>'Bjälklag (20% slagg)'!M30</f>
        <v>C20/252052020OK14</v>
      </c>
      <c r="M98" s="47">
        <f t="shared" si="1"/>
        <v>13</v>
      </c>
    </row>
    <row r="99" spans="8:13" ht="15.75" thickBot="1" x14ac:dyDescent="0.3">
      <c r="H99" s="43">
        <v>-5</v>
      </c>
      <c r="I99" s="44">
        <v>20</v>
      </c>
      <c r="K99" t="str">
        <f>'Bjälklag (20% slagg)'!M31</f>
        <v>C20/252052020OK14</v>
      </c>
      <c r="M99" s="47">
        <f t="shared" si="1"/>
        <v>13</v>
      </c>
    </row>
    <row r="100" spans="8:13" x14ac:dyDescent="0.25">
      <c r="H100" s="35">
        <v>-10</v>
      </c>
      <c r="I100" s="36">
        <v>0</v>
      </c>
      <c r="J100" s="46"/>
      <c r="K100" t="str">
        <f>'Bjälklag (20% slagg)'!M32</f>
        <v>C20/252052030OK14</v>
      </c>
      <c r="M100" s="47">
        <f t="shared" si="1"/>
        <v>14</v>
      </c>
    </row>
    <row r="101" spans="8:13" x14ac:dyDescent="0.25">
      <c r="H101" s="37">
        <v>-10</v>
      </c>
      <c r="I101" s="4">
        <v>2</v>
      </c>
      <c r="K101" t="str">
        <f>'Bjälklag (20% slagg)'!M33</f>
        <v>C20/252052030OK14</v>
      </c>
      <c r="M101" s="47">
        <f t="shared" si="1"/>
        <v>14</v>
      </c>
    </row>
    <row r="102" spans="8:13" x14ac:dyDescent="0.25">
      <c r="H102" s="38">
        <v>-10</v>
      </c>
      <c r="I102" s="3">
        <v>7</v>
      </c>
      <c r="J102" s="46"/>
      <c r="K102" t="str">
        <f>'Bjälklag (20% slagg)'!M34</f>
        <v>C20/252052050OK14</v>
      </c>
      <c r="M102" s="47">
        <f t="shared" si="1"/>
        <v>15</v>
      </c>
    </row>
    <row r="103" spans="8:13" x14ac:dyDescent="0.25">
      <c r="H103" s="37">
        <v>-10</v>
      </c>
      <c r="I103" s="4">
        <v>12</v>
      </c>
      <c r="K103" t="str">
        <f>'Bjälklag (20% slagg)'!M35</f>
        <v>-----</v>
      </c>
      <c r="M103" s="47">
        <f t="shared" si="1"/>
        <v>23</v>
      </c>
    </row>
    <row r="104" spans="8:13" ht="15.75" thickBot="1" x14ac:dyDescent="0.3">
      <c r="H104" s="39">
        <v>-10</v>
      </c>
      <c r="I104" s="40">
        <v>20</v>
      </c>
      <c r="J104" s="46"/>
      <c r="K104" t="str">
        <f>'Bjälklag (20% slagg)'!M36</f>
        <v>-----</v>
      </c>
      <c r="M104" s="47">
        <f t="shared" si="1"/>
        <v>23</v>
      </c>
    </row>
    <row r="105" spans="8:13" x14ac:dyDescent="0.25">
      <c r="H105" s="41">
        <v>-15</v>
      </c>
      <c r="I105" s="42">
        <v>0</v>
      </c>
      <c r="K105" t="str">
        <f>'Bjälklag (20% slagg)'!M37</f>
        <v>C28/351552050OK14</v>
      </c>
      <c r="M105" s="47">
        <f t="shared" si="1"/>
        <v>19</v>
      </c>
    </row>
    <row r="106" spans="8:13" x14ac:dyDescent="0.25">
      <c r="H106" s="38">
        <v>-15</v>
      </c>
      <c r="I106" s="3">
        <v>2</v>
      </c>
      <c r="J106" s="46"/>
      <c r="K106" t="str">
        <f>'Bjälklag (20% slagg)'!M38</f>
        <v>C28/351552050OK14</v>
      </c>
      <c r="M106" s="47">
        <f t="shared" si="1"/>
        <v>19</v>
      </c>
    </row>
    <row r="107" spans="8:13" x14ac:dyDescent="0.25">
      <c r="H107" s="37">
        <v>-15</v>
      </c>
      <c r="I107" s="4">
        <v>7</v>
      </c>
      <c r="K107" t="str">
        <f>'Bjälklag (20% slagg)'!M39</f>
        <v>-----</v>
      </c>
      <c r="M107" s="47">
        <f t="shared" si="1"/>
        <v>23</v>
      </c>
    </row>
    <row r="108" spans="8:13" x14ac:dyDescent="0.25">
      <c r="H108" s="38">
        <v>-15</v>
      </c>
      <c r="I108" s="3">
        <v>12</v>
      </c>
      <c r="J108" s="46"/>
      <c r="K108" t="str">
        <f>'Bjälklag (20% slagg)'!M40</f>
        <v>-----</v>
      </c>
      <c r="M108" s="47">
        <f t="shared" si="1"/>
        <v>23</v>
      </c>
    </row>
    <row r="109" spans="8:13" ht="15.75" thickBot="1" x14ac:dyDescent="0.3">
      <c r="H109" s="43">
        <v>-15</v>
      </c>
      <c r="I109" s="44">
        <v>20</v>
      </c>
      <c r="K109" t="str">
        <f>'Bjälklag (20% slagg)'!M41</f>
        <v>-----</v>
      </c>
      <c r="M109" s="47">
        <f t="shared" si="1"/>
        <v>23</v>
      </c>
    </row>
    <row r="110" spans="8:13" x14ac:dyDescent="0.25">
      <c r="H110" s="35">
        <v>-20</v>
      </c>
      <c r="I110" s="36">
        <v>0</v>
      </c>
      <c r="J110" s="46"/>
      <c r="K110" t="str">
        <f>'Bjälklag (20% slagg)'!M42</f>
        <v>C40/501052050OK21</v>
      </c>
      <c r="M110" s="47">
        <f t="shared" si="1"/>
        <v>21</v>
      </c>
    </row>
    <row r="111" spans="8:13" x14ac:dyDescent="0.25">
      <c r="H111" s="37">
        <v>-20</v>
      </c>
      <c r="I111" s="4">
        <v>2</v>
      </c>
      <c r="K111" t="str">
        <f>'Bjälklag (20% slagg)'!M43</f>
        <v>C40/501052050OK21</v>
      </c>
      <c r="M111" s="47">
        <f t="shared" si="1"/>
        <v>21</v>
      </c>
    </row>
    <row r="112" spans="8:13" x14ac:dyDescent="0.25">
      <c r="H112" s="38">
        <v>-20</v>
      </c>
      <c r="I112" s="3">
        <v>7</v>
      </c>
      <c r="J112" s="46"/>
      <c r="K112" t="str">
        <f>'Bjälklag (20% slagg)'!M44</f>
        <v>-----</v>
      </c>
      <c r="M112" s="47">
        <f t="shared" si="1"/>
        <v>23</v>
      </c>
    </row>
    <row r="113" spans="8:13" x14ac:dyDescent="0.25">
      <c r="H113" s="37">
        <v>-20</v>
      </c>
      <c r="I113" s="4">
        <v>12</v>
      </c>
      <c r="K113" t="str">
        <f>'Bjälklag (20% slagg)'!M45</f>
        <v>-----</v>
      </c>
      <c r="M113" s="47">
        <f t="shared" si="1"/>
        <v>23</v>
      </c>
    </row>
    <row r="114" spans="8:13" ht="15.75" thickBot="1" x14ac:dyDescent="0.3">
      <c r="H114" s="39">
        <v>-20</v>
      </c>
      <c r="I114" s="40">
        <v>20</v>
      </c>
      <c r="J114" s="46"/>
      <c r="K114" t="str">
        <f>'Bjälklag (20% slagg)'!M46</f>
        <v>-----</v>
      </c>
      <c r="M114" s="47">
        <f t="shared" si="1"/>
        <v>23</v>
      </c>
    </row>
    <row r="115" spans="8:13" x14ac:dyDescent="0.25">
      <c r="H115" s="35">
        <v>20</v>
      </c>
      <c r="I115" s="36">
        <v>0</v>
      </c>
      <c r="J115" s="46"/>
      <c r="K115" t="str">
        <f>'Bjälklag (30% slagg)'!M2</f>
        <v>C20/251520-0OK14</v>
      </c>
      <c r="M115" s="47">
        <f t="shared" si="1"/>
        <v>1</v>
      </c>
    </row>
    <row r="116" spans="8:13" x14ac:dyDescent="0.25">
      <c r="H116" s="37">
        <v>20</v>
      </c>
      <c r="I116" s="4">
        <v>2</v>
      </c>
      <c r="K116" t="str">
        <f>'Bjälklag (30% slagg)'!M3</f>
        <v>C20/251520-0OK14</v>
      </c>
      <c r="M116" s="47">
        <f t="shared" si="1"/>
        <v>1</v>
      </c>
    </row>
    <row r="117" spans="8:13" x14ac:dyDescent="0.25">
      <c r="H117" s="38">
        <v>20</v>
      </c>
      <c r="I117" s="3">
        <v>7</v>
      </c>
      <c r="J117" s="46"/>
      <c r="K117" t="str">
        <f>'Bjälklag (30% slagg)'!M4</f>
        <v>C20/251520-0OK14</v>
      </c>
      <c r="M117" s="47">
        <f t="shared" si="1"/>
        <v>1</v>
      </c>
    </row>
    <row r="118" spans="8:13" x14ac:dyDescent="0.25">
      <c r="H118" s="37">
        <v>20</v>
      </c>
      <c r="I118" s="4">
        <v>12</v>
      </c>
      <c r="K118" t="str">
        <f>'Bjälklag (30% slagg)'!M5</f>
        <v>C20/251520-0OK14</v>
      </c>
      <c r="M118" s="47">
        <f t="shared" si="1"/>
        <v>1</v>
      </c>
    </row>
    <row r="119" spans="8:13" ht="15.75" thickBot="1" x14ac:dyDescent="0.3">
      <c r="H119" s="39">
        <v>20</v>
      </c>
      <c r="I119" s="40">
        <v>20</v>
      </c>
      <c r="J119" s="46"/>
      <c r="K119" t="str">
        <f>'Bjälklag (30% slagg)'!M6</f>
        <v>C20/251520-0OK14</v>
      </c>
      <c r="M119" s="47">
        <f t="shared" si="1"/>
        <v>1</v>
      </c>
    </row>
    <row r="120" spans="8:13" x14ac:dyDescent="0.25">
      <c r="H120" s="41">
        <v>15</v>
      </c>
      <c r="I120" s="42">
        <v>0</v>
      </c>
      <c r="K120" t="str">
        <f>'Bjälklag (30% slagg)'!M7</f>
        <v>C20/251515-0OK14</v>
      </c>
      <c r="M120" s="47">
        <f t="shared" si="1"/>
        <v>2</v>
      </c>
    </row>
    <row r="121" spans="8:13" x14ac:dyDescent="0.25">
      <c r="H121" s="38">
        <v>15</v>
      </c>
      <c r="I121" s="3">
        <v>2</v>
      </c>
      <c r="J121" s="46"/>
      <c r="K121" t="str">
        <f>'Bjälklag (30% slagg)'!M8</f>
        <v>C20/251515-0OK14</v>
      </c>
      <c r="M121" s="47">
        <f t="shared" si="1"/>
        <v>2</v>
      </c>
    </row>
    <row r="122" spans="8:13" x14ac:dyDescent="0.25">
      <c r="H122" s="37">
        <v>15</v>
      </c>
      <c r="I122" s="4">
        <v>7</v>
      </c>
      <c r="K122" t="str">
        <f>'Bjälklag (30% slagg)'!M9</f>
        <v>C20/251515-0OK14</v>
      </c>
      <c r="M122" s="47">
        <f t="shared" si="1"/>
        <v>2</v>
      </c>
    </row>
    <row r="123" spans="8:13" x14ac:dyDescent="0.25">
      <c r="H123" s="38">
        <v>15</v>
      </c>
      <c r="I123" s="3">
        <v>12</v>
      </c>
      <c r="J123" s="46"/>
      <c r="K123" t="str">
        <f>'Bjälklag (30% slagg)'!M10</f>
        <v>C20/251515-0OK14</v>
      </c>
      <c r="M123" s="47">
        <f t="shared" si="1"/>
        <v>2</v>
      </c>
    </row>
    <row r="124" spans="8:13" ht="15.75" thickBot="1" x14ac:dyDescent="0.3">
      <c r="H124" s="43">
        <v>15</v>
      </c>
      <c r="I124" s="44">
        <v>20</v>
      </c>
      <c r="K124" t="str">
        <f>'Bjälklag (30% slagg)'!M11</f>
        <v>C20/251515-0OK14</v>
      </c>
      <c r="M124" s="47">
        <f t="shared" si="1"/>
        <v>2</v>
      </c>
    </row>
    <row r="125" spans="8:13" x14ac:dyDescent="0.25">
      <c r="H125" s="35">
        <v>10</v>
      </c>
      <c r="I125" s="36">
        <v>0</v>
      </c>
      <c r="J125" s="46"/>
      <c r="K125" t="str">
        <f>'Bjälklag (30% slagg)'!M12</f>
        <v>C20/251510-0OK14</v>
      </c>
      <c r="M125" s="47">
        <f t="shared" si="1"/>
        <v>3</v>
      </c>
    </row>
    <row r="126" spans="8:13" x14ac:dyDescent="0.25">
      <c r="H126" s="37">
        <v>10</v>
      </c>
      <c r="I126" s="4">
        <v>2</v>
      </c>
      <c r="K126" t="str">
        <f>'Bjälklag (30% slagg)'!M13</f>
        <v>C20/251510-0OK14</v>
      </c>
      <c r="M126" s="47">
        <f t="shared" si="1"/>
        <v>3</v>
      </c>
    </row>
    <row r="127" spans="8:13" x14ac:dyDescent="0.25">
      <c r="H127" s="38">
        <v>10</v>
      </c>
      <c r="I127" s="3">
        <v>7</v>
      </c>
      <c r="J127" s="46"/>
      <c r="K127" t="str">
        <f>'Bjälklag (30% slagg)'!M14</f>
        <v>C20/251510-0OK14</v>
      </c>
      <c r="M127" s="47">
        <f t="shared" si="1"/>
        <v>3</v>
      </c>
    </row>
    <row r="128" spans="8:13" x14ac:dyDescent="0.25">
      <c r="H128" s="37">
        <v>10</v>
      </c>
      <c r="I128" s="4">
        <v>12</v>
      </c>
      <c r="K128" t="str">
        <f>'Bjälklag (30% slagg)'!M15</f>
        <v>C20/25151000OK14</v>
      </c>
      <c r="M128" s="47">
        <f t="shared" si="1"/>
        <v>4</v>
      </c>
    </row>
    <row r="129" spans="8:13" ht="15.75" thickBot="1" x14ac:dyDescent="0.3">
      <c r="H129" s="39">
        <v>10</v>
      </c>
      <c r="I129" s="40">
        <v>20</v>
      </c>
      <c r="J129" s="46"/>
      <c r="K129" t="str">
        <f>'Bjälklag (30% slagg)'!M16</f>
        <v>C20/25151000OK14</v>
      </c>
      <c r="M129" s="47">
        <f t="shared" si="1"/>
        <v>4</v>
      </c>
    </row>
    <row r="130" spans="8:13" x14ac:dyDescent="0.25">
      <c r="H130" s="41">
        <v>5</v>
      </c>
      <c r="I130" s="42">
        <v>0</v>
      </c>
      <c r="K130" t="str">
        <f>'Bjälklag (30% slagg)'!M17</f>
        <v>C20/25205100OK14</v>
      </c>
      <c r="M130" s="47">
        <f t="shared" si="1"/>
        <v>8</v>
      </c>
    </row>
    <row r="131" spans="8:13" x14ac:dyDescent="0.25">
      <c r="H131" s="38">
        <v>5</v>
      </c>
      <c r="I131" s="3">
        <v>2</v>
      </c>
      <c r="J131" s="46"/>
      <c r="K131" t="str">
        <f>'Bjälklag (30% slagg)'!M18</f>
        <v>C20/25205100OK14</v>
      </c>
      <c r="M131" s="47">
        <f t="shared" ref="M131:M194" si="2">MATCH(K131, _xlfn.UNIQUE($K$2:$K$204), 0)</f>
        <v>8</v>
      </c>
    </row>
    <row r="132" spans="8:13" x14ac:dyDescent="0.25">
      <c r="H132" s="37">
        <v>5</v>
      </c>
      <c r="I132" s="4">
        <v>7</v>
      </c>
      <c r="K132" t="str">
        <f>'Bjälklag (30% slagg)'!M19</f>
        <v>C20/2520520PresenningOK14</v>
      </c>
      <c r="M132" s="47">
        <f t="shared" si="2"/>
        <v>10</v>
      </c>
    </row>
    <row r="133" spans="8:13" x14ac:dyDescent="0.25">
      <c r="H133" s="38">
        <v>5</v>
      </c>
      <c r="I133" s="3">
        <v>12</v>
      </c>
      <c r="J133" s="46"/>
      <c r="K133" t="str">
        <f>'Bjälklag (30% slagg)'!M20</f>
        <v>C20/2520520PresenningOK14</v>
      </c>
      <c r="M133" s="47">
        <f t="shared" si="2"/>
        <v>10</v>
      </c>
    </row>
    <row r="134" spans="8:13" ht="15.75" thickBot="1" x14ac:dyDescent="0.3">
      <c r="H134" s="43">
        <v>5</v>
      </c>
      <c r="I134" s="44">
        <v>20</v>
      </c>
      <c r="K134" t="str">
        <f>'Bjälklag (30% slagg)'!M21</f>
        <v>C20/2520520PresenningOK14</v>
      </c>
      <c r="M134" s="47">
        <f t="shared" si="2"/>
        <v>10</v>
      </c>
    </row>
    <row r="135" spans="8:13" x14ac:dyDescent="0.25">
      <c r="H135" s="35">
        <v>0</v>
      </c>
      <c r="I135" s="36">
        <v>0</v>
      </c>
      <c r="J135" s="46"/>
      <c r="K135" t="str">
        <f>'Bjälklag (30% slagg)'!M22</f>
        <v>C20/25205200OK14</v>
      </c>
      <c r="M135" s="47">
        <f t="shared" si="2"/>
        <v>11</v>
      </c>
    </row>
    <row r="136" spans="8:13" x14ac:dyDescent="0.25">
      <c r="H136" s="37">
        <v>0</v>
      </c>
      <c r="I136" s="4">
        <v>2</v>
      </c>
      <c r="K136" t="str">
        <f>'Bjälklag (30% slagg)'!M23</f>
        <v>C20/252052010OK14</v>
      </c>
      <c r="M136" s="47">
        <f t="shared" si="2"/>
        <v>12</v>
      </c>
    </row>
    <row r="137" spans="8:13" x14ac:dyDescent="0.25">
      <c r="H137" s="38">
        <v>0</v>
      </c>
      <c r="I137" s="3">
        <v>7</v>
      </c>
      <c r="J137" s="46"/>
      <c r="K137" t="str">
        <f>'Bjälklag (30% slagg)'!M24</f>
        <v>C20/252052010OK14</v>
      </c>
      <c r="M137" s="47">
        <f t="shared" si="2"/>
        <v>12</v>
      </c>
    </row>
    <row r="138" spans="8:13" x14ac:dyDescent="0.25">
      <c r="H138" s="37">
        <v>0</v>
      </c>
      <c r="I138" s="4">
        <v>12</v>
      </c>
      <c r="K138" t="str">
        <f>'Bjälklag (30% slagg)'!M25</f>
        <v>C20/252052010OK14</v>
      </c>
      <c r="M138" s="47">
        <f t="shared" si="2"/>
        <v>12</v>
      </c>
    </row>
    <row r="139" spans="8:13" ht="15.75" thickBot="1" x14ac:dyDescent="0.3">
      <c r="H139" s="39">
        <v>0</v>
      </c>
      <c r="I139" s="40">
        <v>20</v>
      </c>
      <c r="J139" s="46"/>
      <c r="K139" t="str">
        <f>'Bjälklag (30% slagg)'!M26</f>
        <v>C20/252052010OK14</v>
      </c>
      <c r="M139" s="47">
        <f t="shared" si="2"/>
        <v>12</v>
      </c>
    </row>
    <row r="140" spans="8:13" x14ac:dyDescent="0.25">
      <c r="H140" s="41">
        <v>-5</v>
      </c>
      <c r="I140" s="42">
        <v>0</v>
      </c>
      <c r="K140" t="str">
        <f>'Bjälklag (30% slagg)'!M27</f>
        <v>C20/252052010OK14</v>
      </c>
      <c r="M140" s="47">
        <f t="shared" si="2"/>
        <v>12</v>
      </c>
    </row>
    <row r="141" spans="8:13" x14ac:dyDescent="0.25">
      <c r="H141" s="38">
        <v>-5</v>
      </c>
      <c r="I141" s="3">
        <v>2</v>
      </c>
      <c r="J141" s="46"/>
      <c r="K141" t="str">
        <f>'Bjälklag (30% slagg)'!M28</f>
        <v>C20/252052020OK14</v>
      </c>
      <c r="M141" s="47">
        <f t="shared" si="2"/>
        <v>13</v>
      </c>
    </row>
    <row r="142" spans="8:13" x14ac:dyDescent="0.25">
      <c r="H142" s="37">
        <v>-5</v>
      </c>
      <c r="I142" s="4">
        <v>7</v>
      </c>
      <c r="K142" t="str">
        <f>'Bjälklag (30% slagg)'!M29</f>
        <v>C20/252052020OK14</v>
      </c>
      <c r="M142" s="47">
        <f t="shared" si="2"/>
        <v>13</v>
      </c>
    </row>
    <row r="143" spans="8:13" x14ac:dyDescent="0.25">
      <c r="H143" s="38">
        <v>-5</v>
      </c>
      <c r="I143" s="3">
        <v>12</v>
      </c>
      <c r="J143" s="46"/>
      <c r="K143" t="str">
        <f>'Bjälklag (30% slagg)'!M30</f>
        <v>C20/252052020OK14</v>
      </c>
      <c r="M143" s="47">
        <f t="shared" si="2"/>
        <v>13</v>
      </c>
    </row>
    <row r="144" spans="8:13" ht="15.75" thickBot="1" x14ac:dyDescent="0.3">
      <c r="H144" s="43">
        <v>-5</v>
      </c>
      <c r="I144" s="44">
        <v>20</v>
      </c>
      <c r="K144" t="str">
        <f>'Bjälklag (30% slagg)'!M31</f>
        <v>C20/252052020OK14</v>
      </c>
      <c r="M144" s="47">
        <f t="shared" si="2"/>
        <v>13</v>
      </c>
    </row>
    <row r="145" spans="8:13" x14ac:dyDescent="0.25">
      <c r="H145" s="35">
        <v>-10</v>
      </c>
      <c r="I145" s="36">
        <v>0</v>
      </c>
      <c r="J145" s="46"/>
      <c r="K145" t="str">
        <f>'Bjälklag (30% slagg)'!M32</f>
        <v>C20/252052050OK14</v>
      </c>
      <c r="M145" s="47">
        <f t="shared" si="2"/>
        <v>15</v>
      </c>
    </row>
    <row r="146" spans="8:13" x14ac:dyDescent="0.25">
      <c r="H146" s="37">
        <v>-10</v>
      </c>
      <c r="I146" s="4">
        <v>2</v>
      </c>
      <c r="K146" t="str">
        <f>'Bjälklag (30% slagg)'!M33</f>
        <v>C20/252052050OK14</v>
      </c>
      <c r="M146" s="47">
        <f t="shared" si="2"/>
        <v>15</v>
      </c>
    </row>
    <row r="147" spans="8:13" x14ac:dyDescent="0.25">
      <c r="H147" s="38">
        <v>-10</v>
      </c>
      <c r="I147" s="3">
        <v>7</v>
      </c>
      <c r="J147" s="46"/>
      <c r="K147" t="str">
        <f>'Bjälklag (30% slagg)'!M34</f>
        <v>C20/252052050OK14</v>
      </c>
      <c r="M147" s="47">
        <f t="shared" si="2"/>
        <v>15</v>
      </c>
    </row>
    <row r="148" spans="8:13" x14ac:dyDescent="0.25">
      <c r="H148" s="37">
        <v>-10</v>
      </c>
      <c r="I148" s="4">
        <v>12</v>
      </c>
      <c r="K148" t="str">
        <f>'Bjälklag (30% slagg)'!M35</f>
        <v>-----</v>
      </c>
      <c r="M148" s="47">
        <f t="shared" si="2"/>
        <v>23</v>
      </c>
    </row>
    <row r="149" spans="8:13" ht="15.75" thickBot="1" x14ac:dyDescent="0.3">
      <c r="H149" s="39">
        <v>-10</v>
      </c>
      <c r="I149" s="40">
        <v>20</v>
      </c>
      <c r="J149" s="46"/>
      <c r="K149" t="str">
        <f>'Bjälklag (30% slagg)'!M36</f>
        <v>-----</v>
      </c>
      <c r="M149" s="47">
        <f t="shared" si="2"/>
        <v>23</v>
      </c>
    </row>
    <row r="150" spans="8:13" x14ac:dyDescent="0.25">
      <c r="H150" s="41">
        <v>-15</v>
      </c>
      <c r="I150" s="42">
        <v>0</v>
      </c>
      <c r="K150" t="str">
        <f>'Bjälklag (30% slagg)'!M37</f>
        <v>C25/301552030OK14</v>
      </c>
      <c r="M150" s="47">
        <f t="shared" si="2"/>
        <v>16</v>
      </c>
    </row>
    <row r="151" spans="8:13" x14ac:dyDescent="0.25">
      <c r="H151" s="38">
        <v>-15</v>
      </c>
      <c r="I151" s="3">
        <v>2</v>
      </c>
      <c r="J151" s="46"/>
      <c r="K151" t="str">
        <f>'Bjälklag (30% slagg)'!M38</f>
        <v>C25/301552030OK14</v>
      </c>
      <c r="M151" s="47">
        <f t="shared" si="2"/>
        <v>16</v>
      </c>
    </row>
    <row r="152" spans="8:13" x14ac:dyDescent="0.25">
      <c r="H152" s="37">
        <v>-15</v>
      </c>
      <c r="I152" s="4">
        <v>7</v>
      </c>
      <c r="K152" t="str">
        <f>'Bjälklag (30% slagg)'!M39</f>
        <v>-----</v>
      </c>
      <c r="M152" s="47">
        <f t="shared" si="2"/>
        <v>23</v>
      </c>
    </row>
    <row r="153" spans="8:13" x14ac:dyDescent="0.25">
      <c r="H153" s="38">
        <v>-15</v>
      </c>
      <c r="I153" s="3">
        <v>12</v>
      </c>
      <c r="J153" s="46"/>
      <c r="K153" t="str">
        <f>'Bjälklag (30% slagg)'!M40</f>
        <v>-----</v>
      </c>
      <c r="M153" s="47">
        <f t="shared" si="2"/>
        <v>23</v>
      </c>
    </row>
    <row r="154" spans="8:13" ht="15.75" thickBot="1" x14ac:dyDescent="0.3">
      <c r="H154" s="43">
        <v>-15</v>
      </c>
      <c r="I154" s="44">
        <v>20</v>
      </c>
      <c r="K154" t="str">
        <f>'Bjälklag (30% slagg)'!M41</f>
        <v>-----</v>
      </c>
      <c r="M154" s="47">
        <f t="shared" si="2"/>
        <v>23</v>
      </c>
    </row>
    <row r="155" spans="8:13" x14ac:dyDescent="0.25">
      <c r="H155" s="35">
        <v>-20</v>
      </c>
      <c r="I155" s="36">
        <v>0</v>
      </c>
      <c r="J155" s="46"/>
      <c r="K155" t="str">
        <f>'Bjälklag (30% slagg)'!M42</f>
        <v>-----</v>
      </c>
      <c r="M155" s="47">
        <f t="shared" si="2"/>
        <v>23</v>
      </c>
    </row>
    <row r="156" spans="8:13" x14ac:dyDescent="0.25">
      <c r="H156" s="37">
        <v>-20</v>
      </c>
      <c r="I156" s="4">
        <v>2</v>
      </c>
      <c r="K156" t="str">
        <f>'Bjälklag (30% slagg)'!M43</f>
        <v>-----</v>
      </c>
      <c r="M156" s="47">
        <f t="shared" si="2"/>
        <v>23</v>
      </c>
    </row>
    <row r="157" spans="8:13" x14ac:dyDescent="0.25">
      <c r="H157" s="38">
        <v>-20</v>
      </c>
      <c r="I157" s="3">
        <v>7</v>
      </c>
      <c r="J157" s="46"/>
      <c r="K157" t="str">
        <f>'Bjälklag (30% slagg)'!M44</f>
        <v>-----</v>
      </c>
      <c r="M157" s="47">
        <f t="shared" si="2"/>
        <v>23</v>
      </c>
    </row>
    <row r="158" spans="8:13" x14ac:dyDescent="0.25">
      <c r="H158" s="37">
        <v>-20</v>
      </c>
      <c r="I158" s="4">
        <v>12</v>
      </c>
      <c r="K158" t="str">
        <f>'Bjälklag (30% slagg)'!M45</f>
        <v>-----</v>
      </c>
      <c r="M158" s="47">
        <f t="shared" si="2"/>
        <v>23</v>
      </c>
    </row>
    <row r="159" spans="8:13" ht="15.75" thickBot="1" x14ac:dyDescent="0.3">
      <c r="H159" s="39">
        <v>-20</v>
      </c>
      <c r="I159" s="40">
        <v>20</v>
      </c>
      <c r="J159" s="46"/>
      <c r="K159" t="str">
        <f>'Bjälklag (30% slagg)'!M46</f>
        <v>-----</v>
      </c>
      <c r="M159" s="47">
        <f t="shared" si="2"/>
        <v>23</v>
      </c>
    </row>
    <row r="160" spans="8:13" x14ac:dyDescent="0.25">
      <c r="H160" s="35">
        <v>20</v>
      </c>
      <c r="I160" s="36">
        <v>0</v>
      </c>
      <c r="J160" s="46"/>
      <c r="K160" t="str">
        <f>'Bjälklag (40% slagg)'!M2</f>
        <v>C20/251520-0OK14</v>
      </c>
      <c r="M160" s="47">
        <f t="shared" si="2"/>
        <v>1</v>
      </c>
    </row>
    <row r="161" spans="8:13" x14ac:dyDescent="0.25">
      <c r="H161" s="37">
        <v>20</v>
      </c>
      <c r="I161" s="4">
        <v>2</v>
      </c>
      <c r="K161" t="str">
        <f>'Bjälklag (40% slagg)'!M3</f>
        <v>C20/251520-0OK14</v>
      </c>
      <c r="M161" s="47">
        <f t="shared" si="2"/>
        <v>1</v>
      </c>
    </row>
    <row r="162" spans="8:13" x14ac:dyDescent="0.25">
      <c r="H162" s="38">
        <v>20</v>
      </c>
      <c r="I162" s="3">
        <v>7</v>
      </c>
      <c r="J162" s="46"/>
      <c r="K162" t="str">
        <f>'Bjälklag (40% slagg)'!M4</f>
        <v>C20/251520-0OK14</v>
      </c>
      <c r="M162" s="47">
        <f t="shared" si="2"/>
        <v>1</v>
      </c>
    </row>
    <row r="163" spans="8:13" x14ac:dyDescent="0.25">
      <c r="H163" s="37">
        <v>20</v>
      </c>
      <c r="I163" s="4">
        <v>12</v>
      </c>
      <c r="K163" t="str">
        <f>'Bjälklag (40% slagg)'!M5</f>
        <v>C20/251520-0OK14</v>
      </c>
      <c r="M163" s="47">
        <f t="shared" si="2"/>
        <v>1</v>
      </c>
    </row>
    <row r="164" spans="8:13" ht="15.75" thickBot="1" x14ac:dyDescent="0.3">
      <c r="H164" s="39">
        <v>20</v>
      </c>
      <c r="I164" s="40">
        <v>20</v>
      </c>
      <c r="J164" s="46"/>
      <c r="K164" t="str">
        <f>'Bjälklag (40% slagg)'!M6</f>
        <v>C20/251520-0OK14</v>
      </c>
      <c r="M164" s="47">
        <f t="shared" si="2"/>
        <v>1</v>
      </c>
    </row>
    <row r="165" spans="8:13" x14ac:dyDescent="0.25">
      <c r="H165" s="41">
        <v>15</v>
      </c>
      <c r="I165" s="42">
        <v>0</v>
      </c>
      <c r="K165" t="str">
        <f>'Bjälklag (40% slagg)'!M7</f>
        <v>C20/251515-0OK14</v>
      </c>
      <c r="M165" s="47">
        <f t="shared" si="2"/>
        <v>2</v>
      </c>
    </row>
    <row r="166" spans="8:13" x14ac:dyDescent="0.25">
      <c r="H166" s="38">
        <v>15</v>
      </c>
      <c r="I166" s="3">
        <v>2</v>
      </c>
      <c r="J166" s="46"/>
      <c r="K166" t="str">
        <f>'Bjälklag (40% slagg)'!M8</f>
        <v>C20/251515-0OK14</v>
      </c>
      <c r="M166" s="47">
        <f t="shared" si="2"/>
        <v>2</v>
      </c>
    </row>
    <row r="167" spans="8:13" x14ac:dyDescent="0.25">
      <c r="H167" s="37">
        <v>15</v>
      </c>
      <c r="I167" s="4">
        <v>7</v>
      </c>
      <c r="K167" t="str">
        <f>'Bjälklag (40% slagg)'!M9</f>
        <v>C20/251515-0OK14</v>
      </c>
      <c r="M167" s="47">
        <f t="shared" si="2"/>
        <v>2</v>
      </c>
    </row>
    <row r="168" spans="8:13" x14ac:dyDescent="0.25">
      <c r="H168" s="38">
        <v>15</v>
      </c>
      <c r="I168" s="3">
        <v>12</v>
      </c>
      <c r="J168" s="46"/>
      <c r="K168" t="str">
        <f>'Bjälklag (40% slagg)'!M10</f>
        <v>C20/251515-0OK14</v>
      </c>
      <c r="M168" s="47">
        <f t="shared" si="2"/>
        <v>2</v>
      </c>
    </row>
    <row r="169" spans="8:13" ht="15.75" thickBot="1" x14ac:dyDescent="0.3">
      <c r="H169" s="43">
        <v>15</v>
      </c>
      <c r="I169" s="44">
        <v>20</v>
      </c>
      <c r="K169" t="str">
        <f>'Bjälklag (40% slagg)'!M11</f>
        <v>C20/251515-0OK14</v>
      </c>
      <c r="M169" s="47">
        <f t="shared" si="2"/>
        <v>2</v>
      </c>
    </row>
    <row r="170" spans="8:13" x14ac:dyDescent="0.25">
      <c r="H170" s="35">
        <v>10</v>
      </c>
      <c r="I170" s="36">
        <v>0</v>
      </c>
      <c r="J170" s="46"/>
      <c r="K170" t="str">
        <f>'Bjälklag (40% slagg)'!M12</f>
        <v>C20/251510-0OK14</v>
      </c>
      <c r="M170" s="47">
        <f t="shared" si="2"/>
        <v>3</v>
      </c>
    </row>
    <row r="171" spans="8:13" x14ac:dyDescent="0.25">
      <c r="H171" s="37">
        <v>10</v>
      </c>
      <c r="I171" s="4">
        <v>2</v>
      </c>
      <c r="K171" t="str">
        <f>'Bjälklag (40% slagg)'!M13</f>
        <v>C20/25151050OK14</v>
      </c>
      <c r="M171" s="47">
        <f t="shared" si="2"/>
        <v>5</v>
      </c>
    </row>
    <row r="172" spans="8:13" x14ac:dyDescent="0.25">
      <c r="H172" s="38">
        <v>10</v>
      </c>
      <c r="I172" s="3">
        <v>7</v>
      </c>
      <c r="J172" s="46"/>
      <c r="K172" t="str">
        <f>'Bjälklag (40% slagg)'!M14</f>
        <v>C20/25151050OK14</v>
      </c>
      <c r="M172" s="47">
        <f t="shared" si="2"/>
        <v>5</v>
      </c>
    </row>
    <row r="173" spans="8:13" x14ac:dyDescent="0.25">
      <c r="H173" s="37">
        <v>10</v>
      </c>
      <c r="I173" s="4">
        <v>12</v>
      </c>
      <c r="K173" t="str">
        <f>'Bjälklag (40% slagg)'!M15</f>
        <v>C20/25151050OK14</v>
      </c>
      <c r="M173" s="47">
        <f t="shared" si="2"/>
        <v>5</v>
      </c>
    </row>
    <row r="174" spans="8:13" ht="15.75" thickBot="1" x14ac:dyDescent="0.3">
      <c r="H174" s="39">
        <v>10</v>
      </c>
      <c r="I174" s="40">
        <v>20</v>
      </c>
      <c r="J174" s="46"/>
      <c r="K174" t="str">
        <f>'Bjälklag (40% slagg)'!M16</f>
        <v>C20/25151050OK14</v>
      </c>
      <c r="M174" s="47">
        <f t="shared" si="2"/>
        <v>5</v>
      </c>
    </row>
    <row r="175" spans="8:13" x14ac:dyDescent="0.25">
      <c r="H175" s="41">
        <v>5</v>
      </c>
      <c r="I175" s="42">
        <v>0</v>
      </c>
      <c r="K175" t="str">
        <f>'Bjälklag (40% slagg)'!M17</f>
        <v>C20/25205150OK14</v>
      </c>
      <c r="M175" s="47">
        <f t="shared" si="2"/>
        <v>9</v>
      </c>
    </row>
    <row r="176" spans="8:13" x14ac:dyDescent="0.25">
      <c r="H176" s="38">
        <v>5</v>
      </c>
      <c r="I176" s="3">
        <v>2</v>
      </c>
      <c r="J176" s="46"/>
      <c r="K176" t="str">
        <f>'Bjälklag (40% slagg)'!M18</f>
        <v>C20/25205200OK14</v>
      </c>
      <c r="M176" s="47">
        <f t="shared" si="2"/>
        <v>11</v>
      </c>
    </row>
    <row r="177" spans="8:13" x14ac:dyDescent="0.25">
      <c r="H177" s="37">
        <v>5</v>
      </c>
      <c r="I177" s="4">
        <v>7</v>
      </c>
      <c r="K177" t="str">
        <f>'Bjälklag (40% slagg)'!M19</f>
        <v>C20/252052010OK14</v>
      </c>
      <c r="M177" s="47">
        <f t="shared" si="2"/>
        <v>12</v>
      </c>
    </row>
    <row r="178" spans="8:13" x14ac:dyDescent="0.25">
      <c r="H178" s="38">
        <v>5</v>
      </c>
      <c r="I178" s="3">
        <v>12</v>
      </c>
      <c r="J178" s="46"/>
      <c r="K178" t="str">
        <f>'Bjälklag (40% slagg)'!M20</f>
        <v>C20/252052010OK14</v>
      </c>
      <c r="M178" s="47">
        <f t="shared" si="2"/>
        <v>12</v>
      </c>
    </row>
    <row r="179" spans="8:13" ht="15.75" thickBot="1" x14ac:dyDescent="0.3">
      <c r="H179" s="43">
        <v>5</v>
      </c>
      <c r="I179" s="44">
        <v>20</v>
      </c>
      <c r="K179" t="str">
        <f>'Bjälklag (40% slagg)'!M21</f>
        <v>C20/252052010OK14</v>
      </c>
      <c r="M179" s="47">
        <f t="shared" si="2"/>
        <v>12</v>
      </c>
    </row>
    <row r="180" spans="8:13" x14ac:dyDescent="0.25">
      <c r="H180" s="35">
        <v>0</v>
      </c>
      <c r="I180" s="36">
        <v>0</v>
      </c>
      <c r="J180" s="46"/>
      <c r="K180" t="str">
        <f>'Bjälklag (40% slagg)'!M22</f>
        <v>C20/2520520PresenningOK14</v>
      </c>
      <c r="M180" s="47">
        <f t="shared" si="2"/>
        <v>10</v>
      </c>
    </row>
    <row r="181" spans="8:13" x14ac:dyDescent="0.25">
      <c r="H181" s="37">
        <v>0</v>
      </c>
      <c r="I181" s="4">
        <v>2</v>
      </c>
      <c r="K181" t="str">
        <f>'Bjälklag (40% slagg)'!M23</f>
        <v>C20/252052010OK14</v>
      </c>
      <c r="M181" s="47">
        <f t="shared" si="2"/>
        <v>12</v>
      </c>
    </row>
    <row r="182" spans="8:13" x14ac:dyDescent="0.25">
      <c r="H182" s="38">
        <v>0</v>
      </c>
      <c r="I182" s="3">
        <v>7</v>
      </c>
      <c r="J182" s="46"/>
      <c r="K182" t="str">
        <f>'Bjälklag (40% slagg)'!M24</f>
        <v>C20/252052010OK14</v>
      </c>
      <c r="M182" s="47">
        <f t="shared" si="2"/>
        <v>12</v>
      </c>
    </row>
    <row r="183" spans="8:13" x14ac:dyDescent="0.25">
      <c r="H183" s="37">
        <v>0</v>
      </c>
      <c r="I183" s="4">
        <v>12</v>
      </c>
      <c r="K183" t="str">
        <f>'Bjälklag (40% slagg)'!M25</f>
        <v>C20/252052010OK14</v>
      </c>
      <c r="M183" s="47">
        <f t="shared" si="2"/>
        <v>12</v>
      </c>
    </row>
    <row r="184" spans="8:13" ht="15.75" thickBot="1" x14ac:dyDescent="0.3">
      <c r="H184" s="39">
        <v>0</v>
      </c>
      <c r="I184" s="40">
        <v>20</v>
      </c>
      <c r="J184" s="46"/>
      <c r="K184" t="str">
        <f>'Bjälklag (40% slagg)'!M26</f>
        <v>C20/252052010OK14</v>
      </c>
      <c r="M184" s="47">
        <f t="shared" si="2"/>
        <v>12</v>
      </c>
    </row>
    <row r="185" spans="8:13" x14ac:dyDescent="0.25">
      <c r="H185" s="41">
        <v>-5</v>
      </c>
      <c r="I185" s="42">
        <v>0</v>
      </c>
      <c r="K185" t="str">
        <f>'Bjälklag (40% slagg)'!M27</f>
        <v>C20/252052020OK14</v>
      </c>
      <c r="M185" s="47">
        <f t="shared" si="2"/>
        <v>13</v>
      </c>
    </row>
    <row r="186" spans="8:13" x14ac:dyDescent="0.25">
      <c r="H186" s="38">
        <v>-5</v>
      </c>
      <c r="I186" s="3">
        <v>2</v>
      </c>
      <c r="J186" s="46"/>
      <c r="K186" t="str">
        <f>'Bjälklag (40% slagg)'!M28</f>
        <v>C20/252052020OK14</v>
      </c>
      <c r="M186" s="47">
        <f t="shared" si="2"/>
        <v>13</v>
      </c>
    </row>
    <row r="187" spans="8:13" x14ac:dyDescent="0.25">
      <c r="H187" s="37">
        <v>-5</v>
      </c>
      <c r="I187" s="4">
        <v>7</v>
      </c>
      <c r="K187" t="str">
        <f>'Bjälklag (40% slagg)'!M29</f>
        <v>C20/252052030OK14</v>
      </c>
      <c r="M187" s="47">
        <f t="shared" si="2"/>
        <v>14</v>
      </c>
    </row>
    <row r="188" spans="8:13" x14ac:dyDescent="0.25">
      <c r="H188" s="38">
        <v>-5</v>
      </c>
      <c r="I188" s="3">
        <v>12</v>
      </c>
      <c r="J188" s="46"/>
      <c r="K188" t="str">
        <f>'Bjälklag (40% slagg)'!M30</f>
        <v>C20/252052030OK14</v>
      </c>
      <c r="M188" s="47">
        <f t="shared" si="2"/>
        <v>14</v>
      </c>
    </row>
    <row r="189" spans="8:13" ht="15.75" thickBot="1" x14ac:dyDescent="0.3">
      <c r="H189" s="43">
        <v>-5</v>
      </c>
      <c r="I189" s="44">
        <v>20</v>
      </c>
      <c r="K189" t="str">
        <f>'Bjälklag (40% slagg)'!M31</f>
        <v>C20/252052030OK14</v>
      </c>
      <c r="M189" s="47">
        <f t="shared" si="2"/>
        <v>14</v>
      </c>
    </row>
    <row r="190" spans="8:13" x14ac:dyDescent="0.25">
      <c r="H190" s="35">
        <v>-10</v>
      </c>
      <c r="I190" s="36">
        <v>0</v>
      </c>
      <c r="J190" s="46"/>
      <c r="K190" t="str">
        <f>'Bjälklag (40% slagg)'!M32</f>
        <v>C25/302052050OK14</v>
      </c>
      <c r="M190" s="47">
        <f t="shared" si="2"/>
        <v>17</v>
      </c>
    </row>
    <row r="191" spans="8:13" x14ac:dyDescent="0.25">
      <c r="H191" s="37">
        <v>-10</v>
      </c>
      <c r="I191" s="4">
        <v>2</v>
      </c>
      <c r="K191" t="str">
        <f>'Bjälklag (40% slagg)'!M33</f>
        <v>C25/302052050OK14</v>
      </c>
      <c r="M191" s="47">
        <f t="shared" si="2"/>
        <v>17</v>
      </c>
    </row>
    <row r="192" spans="8:13" x14ac:dyDescent="0.25">
      <c r="H192" s="38">
        <v>-10</v>
      </c>
      <c r="I192" s="3">
        <v>7</v>
      </c>
      <c r="J192" s="46"/>
      <c r="K192" t="str">
        <f>'Bjälklag (40% slagg)'!M34</f>
        <v>C25/302052050OK14</v>
      </c>
      <c r="M192" s="47">
        <f t="shared" si="2"/>
        <v>17</v>
      </c>
    </row>
    <row r="193" spans="8:13" x14ac:dyDescent="0.25">
      <c r="H193" s="37">
        <v>-10</v>
      </c>
      <c r="I193" s="4">
        <v>12</v>
      </c>
      <c r="K193" t="str">
        <f>'Bjälklag (40% slagg)'!M35</f>
        <v>-----</v>
      </c>
      <c r="M193" s="47">
        <f t="shared" si="2"/>
        <v>23</v>
      </c>
    </row>
    <row r="194" spans="8:13" ht="15.75" thickBot="1" x14ac:dyDescent="0.3">
      <c r="H194" s="39">
        <v>-10</v>
      </c>
      <c r="I194" s="40">
        <v>20</v>
      </c>
      <c r="J194" s="46"/>
      <c r="K194" t="str">
        <f>'Bjälklag (40% slagg)'!M36</f>
        <v>-----</v>
      </c>
      <c r="M194" s="47">
        <f t="shared" si="2"/>
        <v>23</v>
      </c>
    </row>
    <row r="195" spans="8:13" x14ac:dyDescent="0.25">
      <c r="H195" s="41">
        <v>-15</v>
      </c>
      <c r="I195" s="42">
        <v>0</v>
      </c>
      <c r="K195" t="str">
        <f>'Bjälklag (40% slagg)'!M37</f>
        <v>C40/501552050OK21</v>
      </c>
      <c r="M195" s="47">
        <f t="shared" ref="M195:M204" si="3">MATCH(K195, _xlfn.UNIQUE($K$2:$K$204), 0)</f>
        <v>22</v>
      </c>
    </row>
    <row r="196" spans="8:13" x14ac:dyDescent="0.25">
      <c r="H196" s="38">
        <v>-15</v>
      </c>
      <c r="I196" s="3">
        <v>2</v>
      </c>
      <c r="J196" s="46"/>
      <c r="K196" t="str">
        <f>'Bjälklag (40% slagg)'!M38</f>
        <v>C40/501552050OK21</v>
      </c>
      <c r="M196" s="47">
        <f t="shared" si="3"/>
        <v>22</v>
      </c>
    </row>
    <row r="197" spans="8:13" x14ac:dyDescent="0.25">
      <c r="H197" s="37">
        <v>-15</v>
      </c>
      <c r="I197" s="4">
        <v>7</v>
      </c>
      <c r="K197" t="str">
        <f>'Bjälklag (40% slagg)'!M39</f>
        <v>-----</v>
      </c>
      <c r="M197" s="47">
        <f t="shared" si="3"/>
        <v>23</v>
      </c>
    </row>
    <row r="198" spans="8:13" x14ac:dyDescent="0.25">
      <c r="H198" s="38">
        <v>-15</v>
      </c>
      <c r="I198" s="3">
        <v>12</v>
      </c>
      <c r="J198" s="46"/>
      <c r="K198" t="str">
        <f>'Bjälklag (40% slagg)'!M40</f>
        <v>-----</v>
      </c>
      <c r="M198" s="47">
        <f t="shared" si="3"/>
        <v>23</v>
      </c>
    </row>
    <row r="199" spans="8:13" ht="15.75" thickBot="1" x14ac:dyDescent="0.3">
      <c r="H199" s="43">
        <v>-15</v>
      </c>
      <c r="I199" s="44">
        <v>20</v>
      </c>
      <c r="K199" t="str">
        <f>'Bjälklag (40% slagg)'!M41</f>
        <v>-----</v>
      </c>
      <c r="M199" s="47">
        <f t="shared" si="3"/>
        <v>23</v>
      </c>
    </row>
    <row r="200" spans="8:13" x14ac:dyDescent="0.25">
      <c r="H200" s="35">
        <v>-20</v>
      </c>
      <c r="I200" s="36">
        <v>0</v>
      </c>
      <c r="J200" s="46"/>
      <c r="K200" t="str">
        <f>'Bjälklag (40% slagg)'!M42</f>
        <v>-----</v>
      </c>
      <c r="M200" s="47">
        <f t="shared" si="3"/>
        <v>23</v>
      </c>
    </row>
    <row r="201" spans="8:13" x14ac:dyDescent="0.25">
      <c r="H201" s="37">
        <v>-20</v>
      </c>
      <c r="I201" s="4">
        <v>2</v>
      </c>
      <c r="K201" t="str">
        <f>'Bjälklag (40% slagg)'!M43</f>
        <v>-----</v>
      </c>
      <c r="M201" s="47">
        <f t="shared" si="3"/>
        <v>23</v>
      </c>
    </row>
    <row r="202" spans="8:13" x14ac:dyDescent="0.25">
      <c r="H202" s="38">
        <v>-20</v>
      </c>
      <c r="I202" s="3">
        <v>7</v>
      </c>
      <c r="J202" s="46"/>
      <c r="K202" t="str">
        <f>'Bjälklag (40% slagg)'!M44</f>
        <v>-----</v>
      </c>
      <c r="M202" s="47">
        <f t="shared" si="3"/>
        <v>23</v>
      </c>
    </row>
    <row r="203" spans="8:13" x14ac:dyDescent="0.25">
      <c r="H203" s="37">
        <v>-20</v>
      </c>
      <c r="I203" s="4">
        <v>12</v>
      </c>
      <c r="K203" t="str">
        <f>'Bjälklag (40% slagg)'!M45</f>
        <v>-----</v>
      </c>
      <c r="M203" s="47">
        <f t="shared" si="3"/>
        <v>23</v>
      </c>
    </row>
    <row r="204" spans="8:13" ht="15.75" thickBot="1" x14ac:dyDescent="0.3">
      <c r="H204" s="39">
        <v>-20</v>
      </c>
      <c r="I204" s="40">
        <v>20</v>
      </c>
      <c r="J204" s="46"/>
      <c r="K204" t="str">
        <f>'Bjälklag (40% slagg)'!M46</f>
        <v>-----</v>
      </c>
      <c r="M204" s="47">
        <f t="shared" si="3"/>
        <v>23</v>
      </c>
    </row>
    <row r="205" spans="8:13" x14ac:dyDescent="0.25">
      <c r="K205" t="s">
        <v>91</v>
      </c>
      <c r="M205" s="47">
        <f>MAX(M25:M204)</f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dimension ref="A1:J24"/>
  <sheetViews>
    <sheetView workbookViewId="0">
      <selection activeCell="H2" sqref="H2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37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</cols>
  <sheetData>
    <row r="1" spans="1:10" x14ac:dyDescent="0.25">
      <c r="A1" t="s">
        <v>92</v>
      </c>
      <c r="B1" t="s">
        <v>93</v>
      </c>
      <c r="C1" t="s">
        <v>94</v>
      </c>
      <c r="D1" t="s">
        <v>2</v>
      </c>
      <c r="E1" t="s">
        <v>3</v>
      </c>
      <c r="F1" t="s">
        <v>4</v>
      </c>
      <c r="G1" t="s">
        <v>45</v>
      </c>
      <c r="H1" t="s">
        <v>95</v>
      </c>
      <c r="I1" t="s">
        <v>88</v>
      </c>
      <c r="J1" t="s">
        <v>96</v>
      </c>
    </row>
    <row r="2" spans="1:10" x14ac:dyDescent="0.25">
      <c r="A2">
        <v>1</v>
      </c>
      <c r="B2" s="2" t="s">
        <v>13</v>
      </c>
      <c r="C2" s="2">
        <v>15</v>
      </c>
      <c r="D2" s="2">
        <v>20</v>
      </c>
      <c r="E2" s="2" t="s">
        <v>14</v>
      </c>
      <c r="F2" s="2">
        <v>0</v>
      </c>
      <c r="G2" s="2" t="s">
        <v>16</v>
      </c>
      <c r="H2" s="2"/>
      <c r="I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C20/251520-0OK14</v>
      </c>
      <c r="J2">
        <f>Table8[[#This Row],[Paket]]</f>
        <v>1</v>
      </c>
    </row>
    <row r="3" spans="1:10" x14ac:dyDescent="0.25">
      <c r="A3">
        <v>2</v>
      </c>
      <c r="B3" s="2" t="s">
        <v>13</v>
      </c>
      <c r="C3" s="2">
        <v>15</v>
      </c>
      <c r="D3" s="2">
        <v>15</v>
      </c>
      <c r="E3" s="2" t="s">
        <v>14</v>
      </c>
      <c r="F3" s="2">
        <v>0</v>
      </c>
      <c r="G3" s="2" t="s">
        <v>16</v>
      </c>
      <c r="H3" s="2"/>
      <c r="I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C20/251515-0OK14</v>
      </c>
      <c r="J3">
        <f>Table8[[#This Row],[Paket]]</f>
        <v>2</v>
      </c>
    </row>
    <row r="4" spans="1:10" x14ac:dyDescent="0.25">
      <c r="A4">
        <v>3</v>
      </c>
      <c r="B4" s="2" t="s">
        <v>13</v>
      </c>
      <c r="C4" s="2">
        <v>15</v>
      </c>
      <c r="D4" s="2">
        <v>10</v>
      </c>
      <c r="E4" s="2" t="s">
        <v>14</v>
      </c>
      <c r="F4" s="2">
        <v>0</v>
      </c>
      <c r="G4" s="2" t="s">
        <v>16</v>
      </c>
      <c r="H4" s="2"/>
      <c r="I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C20/251510-0OK14</v>
      </c>
      <c r="J4">
        <f>Table8[[#This Row],[Paket]]</f>
        <v>3</v>
      </c>
    </row>
    <row r="5" spans="1:10" x14ac:dyDescent="0.25">
      <c r="A5">
        <v>4</v>
      </c>
      <c r="B5" s="2" t="s">
        <v>13</v>
      </c>
      <c r="C5" s="2">
        <v>15</v>
      </c>
      <c r="D5" s="2">
        <v>10</v>
      </c>
      <c r="E5" s="2">
        <v>0</v>
      </c>
      <c r="F5" s="2">
        <v>0</v>
      </c>
      <c r="G5" s="2" t="s">
        <v>16</v>
      </c>
      <c r="H5" s="2"/>
      <c r="I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C20/25151000OK14</v>
      </c>
      <c r="J5">
        <f>Table8[[#This Row],[Paket]]</f>
        <v>4</v>
      </c>
    </row>
    <row r="6" spans="1:10" x14ac:dyDescent="0.25">
      <c r="A6">
        <v>5</v>
      </c>
      <c r="B6" s="2" t="s">
        <v>13</v>
      </c>
      <c r="C6" s="2">
        <v>15</v>
      </c>
      <c r="D6" s="2">
        <v>10</v>
      </c>
      <c r="E6" s="2">
        <v>5</v>
      </c>
      <c r="F6" s="2">
        <v>0</v>
      </c>
      <c r="G6" s="2" t="s">
        <v>16</v>
      </c>
      <c r="H6" s="2"/>
      <c r="I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C20/25151050OK14</v>
      </c>
      <c r="J6">
        <f>Table8[[#This Row],[Paket]]</f>
        <v>5</v>
      </c>
    </row>
    <row r="7" spans="1:10" x14ac:dyDescent="0.25">
      <c r="A7">
        <v>6</v>
      </c>
      <c r="B7" s="2" t="s">
        <v>13</v>
      </c>
      <c r="C7" s="2">
        <v>20</v>
      </c>
      <c r="D7" s="2">
        <v>5</v>
      </c>
      <c r="E7" s="2" t="s">
        <v>14</v>
      </c>
      <c r="F7" s="2">
        <v>0</v>
      </c>
      <c r="G7" s="2" t="s">
        <v>16</v>
      </c>
      <c r="H7" s="2"/>
      <c r="I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C20/25205-0OK14</v>
      </c>
      <c r="J7">
        <f>Table8[[#This Row],[Paket]]</f>
        <v>6</v>
      </c>
    </row>
    <row r="8" spans="1:10" x14ac:dyDescent="0.25">
      <c r="A8">
        <v>7</v>
      </c>
      <c r="B8" s="2" t="s">
        <v>13</v>
      </c>
      <c r="C8" s="2">
        <v>20</v>
      </c>
      <c r="D8" s="2">
        <v>5</v>
      </c>
      <c r="E8" s="2">
        <v>5</v>
      </c>
      <c r="F8" s="2">
        <v>0</v>
      </c>
      <c r="G8" s="2" t="s">
        <v>16</v>
      </c>
      <c r="H8" s="2"/>
      <c r="I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C20/2520550OK14</v>
      </c>
      <c r="J8">
        <f>Table8[[#This Row],[Paket]]</f>
        <v>7</v>
      </c>
    </row>
    <row r="9" spans="1:10" x14ac:dyDescent="0.25">
      <c r="A9">
        <v>8</v>
      </c>
      <c r="B9" s="2" t="s">
        <v>13</v>
      </c>
      <c r="C9" s="2">
        <v>20</v>
      </c>
      <c r="D9" s="2">
        <v>5</v>
      </c>
      <c r="E9" s="2">
        <v>10</v>
      </c>
      <c r="F9" s="2">
        <v>0</v>
      </c>
      <c r="G9" s="2" t="s">
        <v>16</v>
      </c>
      <c r="H9" s="2"/>
      <c r="I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C20/25205100OK14</v>
      </c>
      <c r="J9">
        <f>Table8[[#This Row],[Paket]]</f>
        <v>8</v>
      </c>
    </row>
    <row r="10" spans="1:10" x14ac:dyDescent="0.25">
      <c r="A10">
        <v>9</v>
      </c>
      <c r="B10" s="2" t="s">
        <v>13</v>
      </c>
      <c r="C10" s="2">
        <v>20</v>
      </c>
      <c r="D10" s="2">
        <v>5</v>
      </c>
      <c r="E10" s="2">
        <v>15</v>
      </c>
      <c r="F10" s="2">
        <v>0</v>
      </c>
      <c r="G10" s="2" t="s">
        <v>16</v>
      </c>
      <c r="H10" s="2"/>
      <c r="I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C20/25205150OK14</v>
      </c>
      <c r="J10">
        <f>Table8[[#This Row],[Paket]]</f>
        <v>9</v>
      </c>
    </row>
    <row r="11" spans="1:10" x14ac:dyDescent="0.25">
      <c r="A11">
        <v>10</v>
      </c>
      <c r="B11" s="2" t="s">
        <v>13</v>
      </c>
      <c r="C11" s="2">
        <v>20</v>
      </c>
      <c r="D11" s="2">
        <v>5</v>
      </c>
      <c r="E11" s="2">
        <v>20</v>
      </c>
      <c r="F11" s="2" t="s">
        <v>33</v>
      </c>
      <c r="G11" s="2" t="s">
        <v>16</v>
      </c>
      <c r="H11" s="2"/>
      <c r="I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C20/2520520PresenningOK14</v>
      </c>
      <c r="J11">
        <f>Table8[[#This Row],[Paket]]</f>
        <v>10</v>
      </c>
    </row>
    <row r="12" spans="1:10" x14ac:dyDescent="0.25">
      <c r="A12">
        <v>11</v>
      </c>
      <c r="B12" s="2" t="s">
        <v>13</v>
      </c>
      <c r="C12" s="2">
        <v>20</v>
      </c>
      <c r="D12" s="2">
        <v>5</v>
      </c>
      <c r="E12" s="2">
        <v>20</v>
      </c>
      <c r="F12" s="2">
        <v>0</v>
      </c>
      <c r="G12" s="2" t="s">
        <v>16</v>
      </c>
      <c r="H12" s="2"/>
      <c r="I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C20/25205200OK14</v>
      </c>
      <c r="J12">
        <f>Table8[[#This Row],[Paket]]</f>
        <v>11</v>
      </c>
    </row>
    <row r="13" spans="1:10" x14ac:dyDescent="0.25">
      <c r="A13">
        <v>12</v>
      </c>
      <c r="B13" s="2" t="s">
        <v>13</v>
      </c>
      <c r="C13" s="2">
        <v>20</v>
      </c>
      <c r="D13" s="2">
        <v>5</v>
      </c>
      <c r="E13" s="2">
        <v>20</v>
      </c>
      <c r="F13" s="2">
        <v>10</v>
      </c>
      <c r="G13" s="2" t="s">
        <v>16</v>
      </c>
      <c r="H13" s="2"/>
      <c r="I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C20/252052010OK14</v>
      </c>
      <c r="J13">
        <f>Table8[[#This Row],[Paket]]</f>
        <v>12</v>
      </c>
    </row>
    <row r="14" spans="1:10" x14ac:dyDescent="0.25">
      <c r="A14">
        <v>13</v>
      </c>
      <c r="B14" s="2" t="s">
        <v>13</v>
      </c>
      <c r="C14" s="2">
        <v>20</v>
      </c>
      <c r="D14" s="2">
        <v>5</v>
      </c>
      <c r="E14" s="2">
        <v>20</v>
      </c>
      <c r="F14" s="2">
        <v>20</v>
      </c>
      <c r="G14" s="2" t="s">
        <v>16</v>
      </c>
      <c r="H14" s="2"/>
      <c r="I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C20/252052020OK14</v>
      </c>
      <c r="J14">
        <f>Table8[[#This Row],[Paket]]</f>
        <v>13</v>
      </c>
    </row>
    <row r="15" spans="1:10" x14ac:dyDescent="0.25">
      <c r="A15">
        <v>14</v>
      </c>
      <c r="B15" s="2" t="s">
        <v>13</v>
      </c>
      <c r="C15" s="2">
        <v>20</v>
      </c>
      <c r="D15" s="2">
        <v>5</v>
      </c>
      <c r="E15" s="2">
        <v>20</v>
      </c>
      <c r="F15" s="2">
        <v>30</v>
      </c>
      <c r="G15" s="2" t="s">
        <v>16</v>
      </c>
      <c r="H15" s="2"/>
      <c r="I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C20/252052030OK14</v>
      </c>
      <c r="J15">
        <f>Table8[[#This Row],[Paket]]</f>
        <v>14</v>
      </c>
    </row>
    <row r="16" spans="1:10" x14ac:dyDescent="0.25">
      <c r="A16">
        <v>15</v>
      </c>
      <c r="B16" s="2" t="s">
        <v>13</v>
      </c>
      <c r="C16" s="2">
        <v>20</v>
      </c>
      <c r="D16" s="2">
        <v>5</v>
      </c>
      <c r="E16" s="2">
        <v>20</v>
      </c>
      <c r="F16" s="2">
        <v>50</v>
      </c>
      <c r="G16" s="2" t="s">
        <v>16</v>
      </c>
      <c r="H16" s="2"/>
      <c r="I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C20/252052050OK14</v>
      </c>
      <c r="J16">
        <f>Table8[[#This Row],[Paket]]</f>
        <v>15</v>
      </c>
    </row>
    <row r="17" spans="1:10" x14ac:dyDescent="0.25">
      <c r="A17">
        <v>16</v>
      </c>
      <c r="B17" s="2" t="s">
        <v>71</v>
      </c>
      <c r="C17" s="2">
        <v>15</v>
      </c>
      <c r="D17" s="2">
        <v>5</v>
      </c>
      <c r="E17" s="2">
        <v>20</v>
      </c>
      <c r="F17" s="2">
        <v>30</v>
      </c>
      <c r="G17" s="2" t="s">
        <v>16</v>
      </c>
      <c r="H17" s="2"/>
      <c r="I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C25/301552030OK14</v>
      </c>
      <c r="J17">
        <f>Table8[[#This Row],[Paket]]</f>
        <v>16</v>
      </c>
    </row>
    <row r="18" spans="1:10" x14ac:dyDescent="0.25">
      <c r="A18">
        <v>17</v>
      </c>
      <c r="B18" s="2" t="s">
        <v>71</v>
      </c>
      <c r="C18" s="2">
        <v>20</v>
      </c>
      <c r="D18" s="2">
        <v>5</v>
      </c>
      <c r="E18" s="2">
        <v>20</v>
      </c>
      <c r="F18" s="2">
        <v>50</v>
      </c>
      <c r="G18" s="2" t="s">
        <v>16</v>
      </c>
      <c r="H18" s="2"/>
      <c r="I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C25/302052050OK14</v>
      </c>
      <c r="J18">
        <f>Table8[[#This Row],[Paket]]</f>
        <v>17</v>
      </c>
    </row>
    <row r="19" spans="1:10" x14ac:dyDescent="0.25">
      <c r="A19">
        <v>18</v>
      </c>
      <c r="B19" s="2" t="s">
        <v>40</v>
      </c>
      <c r="C19" s="2">
        <v>15</v>
      </c>
      <c r="D19" s="2">
        <v>5</v>
      </c>
      <c r="E19" s="2">
        <v>20</v>
      </c>
      <c r="F19" s="2">
        <v>30</v>
      </c>
      <c r="G19" s="2" t="s">
        <v>16</v>
      </c>
      <c r="H19" s="2"/>
      <c r="I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C28/351552030OK14</v>
      </c>
      <c r="J19">
        <f>Table8[[#This Row],[Paket]]</f>
        <v>18</v>
      </c>
    </row>
    <row r="20" spans="1:10" x14ac:dyDescent="0.25">
      <c r="A20">
        <v>19</v>
      </c>
      <c r="B20" s="2" t="s">
        <v>40</v>
      </c>
      <c r="C20" s="2">
        <v>15</v>
      </c>
      <c r="D20" s="2">
        <v>5</v>
      </c>
      <c r="E20" s="2">
        <v>20</v>
      </c>
      <c r="F20" s="2">
        <v>50</v>
      </c>
      <c r="G20" s="2" t="s">
        <v>16</v>
      </c>
      <c r="H20" s="2"/>
      <c r="I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C28/351552050OK14</v>
      </c>
      <c r="J20">
        <f>Table8[[#This Row],[Paket]]</f>
        <v>19</v>
      </c>
    </row>
    <row r="21" spans="1:10" x14ac:dyDescent="0.25">
      <c r="A21">
        <v>20</v>
      </c>
      <c r="B21" s="2" t="s">
        <v>42</v>
      </c>
      <c r="C21" s="2">
        <v>10</v>
      </c>
      <c r="D21" s="2">
        <v>5</v>
      </c>
      <c r="E21" s="2">
        <v>20</v>
      </c>
      <c r="F21" s="2">
        <v>50</v>
      </c>
      <c r="G21" s="2" t="s">
        <v>16</v>
      </c>
      <c r="H21" s="2"/>
      <c r="I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C35/451052050OK14</v>
      </c>
      <c r="J21">
        <f>Table8[[#This Row],[Paket]]</f>
        <v>20</v>
      </c>
    </row>
    <row r="22" spans="1:10" x14ac:dyDescent="0.25">
      <c r="A22">
        <v>21</v>
      </c>
      <c r="B22" s="2" t="s">
        <v>61</v>
      </c>
      <c r="C22" s="2">
        <v>10</v>
      </c>
      <c r="D22" s="2">
        <v>5</v>
      </c>
      <c r="E22" s="2">
        <v>20</v>
      </c>
      <c r="F22" s="2">
        <v>50</v>
      </c>
      <c r="G22" s="2"/>
      <c r="H22" s="2" t="s">
        <v>63</v>
      </c>
      <c r="I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C40/501052050OK21</v>
      </c>
      <c r="J22">
        <f>Table8[[#This Row],[Paket]]</f>
        <v>21</v>
      </c>
    </row>
    <row r="23" spans="1:10" x14ac:dyDescent="0.25">
      <c r="A23">
        <v>22</v>
      </c>
      <c r="B23" s="2" t="s">
        <v>61</v>
      </c>
      <c r="C23" s="2">
        <v>15</v>
      </c>
      <c r="D23" s="2">
        <v>5</v>
      </c>
      <c r="E23" s="2">
        <v>20</v>
      </c>
      <c r="F23" s="2">
        <v>50</v>
      </c>
      <c r="G23" s="2"/>
      <c r="H23" s="2" t="s">
        <v>63</v>
      </c>
      <c r="I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C40/501552050OK21</v>
      </c>
      <c r="J23">
        <f>Table8[[#This Row],[Paket]]</f>
        <v>22</v>
      </c>
    </row>
    <row r="24" spans="1:10" x14ac:dyDescent="0.25">
      <c r="A24">
        <v>23</v>
      </c>
      <c r="B24" s="2" t="s">
        <v>14</v>
      </c>
      <c r="C24" s="2" t="s">
        <v>14</v>
      </c>
      <c r="D24" s="2" t="s">
        <v>14</v>
      </c>
      <c r="E24" s="2" t="s">
        <v>14</v>
      </c>
      <c r="F24" s="2" t="s">
        <v>14</v>
      </c>
      <c r="G24" s="2"/>
      <c r="H24" s="2"/>
      <c r="I2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-----</v>
      </c>
      <c r="J24">
        <f>Table8[[#This Row],[Paket]]</f>
        <v>23</v>
      </c>
    </row>
  </sheetData>
  <phoneticPr fontId="3" type="noConversion"/>
  <dataValidations count="5">
    <dataValidation type="list" allowBlank="1" showInputMessage="1" showErrorMessage="1" sqref="B2:B24" xr:uid="{7B52DD61-573D-45AA-869F-E83858648F78}">
      <formula1>"C20/25,C25/30,C28/35,C/30/37,C32/40,C35/45,C40/50,-"</formula1>
    </dataValidation>
    <dataValidation type="list" allowBlank="1" showInputMessage="1" showErrorMessage="1" sqref="C2:C24" xr:uid="{17E13913-F335-496B-B2BA-16112119B815}">
      <formula1>"10,15,20,25,-"</formula1>
    </dataValidation>
    <dataValidation type="list" allowBlank="1" showInputMessage="1" showErrorMessage="1" sqref="D2:D24" xr:uid="{B9779B60-0F9E-4898-AFD4-704DCEA47B05}">
      <formula1>"5,10,15,20,-"</formula1>
    </dataValidation>
    <dataValidation type="list" allowBlank="1" showInputMessage="1" showErrorMessage="1" sqref="E2:E24" xr:uid="{540FD120-1526-4F5A-ACAF-2A894C5105C1}">
      <formula1>"0,5,10,15,20,-"</formula1>
    </dataValidation>
    <dataValidation type="list" allowBlank="1" showInputMessage="1" showErrorMessage="1" sqref="F2:F24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589423-A127-4D6C-A300-B39A4647BF39}">
          <x14:formula1>
            <xm:f>Förutsättningar!$F$2</xm:f>
          </x14:formula1>
          <xm:sqref>G2:G24</xm:sqref>
        </x14:dataValidation>
        <x14:dataValidation type="list" allowBlank="1" showInputMessage="1" showErrorMessage="1" xr:uid="{F363F602-EC61-477D-9710-D42E73C53D53}">
          <x14:formula1>
            <xm:f>Förutsättningar!$G$2</xm:f>
          </x14:formula1>
          <xm:sqref>H2:H24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dimension ref="A1:O84"/>
  <sheetViews>
    <sheetView tabSelected="1" topLeftCell="A50" zoomScale="115" zoomScaleNormal="115" workbookViewId="0">
      <selection activeCell="Q65" sqref="Q65"/>
    </sheetView>
  </sheetViews>
  <sheetFormatPr defaultRowHeight="15" x14ac:dyDescent="0.25"/>
  <cols>
    <col min="1" max="1" width="14.5703125" customWidth="1"/>
    <col min="2" max="2" width="12" customWidth="1"/>
    <col min="3" max="6" width="12.140625" customWidth="1"/>
    <col min="7" max="7" width="6.7109375" customWidth="1"/>
    <col min="9" max="9" width="13.42578125" customWidth="1"/>
    <col min="10" max="10" width="14.85546875" customWidth="1"/>
    <col min="11" max="11" width="15.42578125" customWidth="1"/>
    <col min="12" max="12" width="14.42578125" customWidth="1"/>
    <col min="13" max="13" width="10.7109375" customWidth="1"/>
  </cols>
  <sheetData>
    <row r="1" spans="1:6" ht="18" customHeight="1" thickBot="1" x14ac:dyDescent="0.3">
      <c r="A1" s="82" t="s">
        <v>97</v>
      </c>
      <c r="B1" s="83" t="s">
        <v>98</v>
      </c>
      <c r="C1" s="113" t="s">
        <v>99</v>
      </c>
      <c r="D1" s="113" t="s">
        <v>100</v>
      </c>
      <c r="E1" s="113" t="s">
        <v>101</v>
      </c>
      <c r="F1" s="114" t="s">
        <v>102</v>
      </c>
    </row>
    <row r="2" spans="1:6" ht="15" customHeight="1" x14ac:dyDescent="0.25">
      <c r="A2" s="60"/>
      <c r="B2" s="72">
        <v>0</v>
      </c>
      <c r="C2" s="57">
        <f>'Data till Lathund, Kådgenererin'!M25</f>
        <v>1</v>
      </c>
      <c r="D2" s="48">
        <f>'Data till Lathund, Kådgenererin'!M70</f>
        <v>1</v>
      </c>
      <c r="E2" s="48">
        <f>'Data till Lathund, Kådgenererin'!M115</f>
        <v>1</v>
      </c>
      <c r="F2" s="54">
        <f>'Data till Lathund, Kådgenererin'!M160</f>
        <v>1</v>
      </c>
    </row>
    <row r="3" spans="1:6" ht="15" customHeight="1" x14ac:dyDescent="0.25">
      <c r="A3" s="61"/>
      <c r="B3" s="73">
        <v>2</v>
      </c>
      <c r="C3" s="58">
        <f>'Data till Lathund, Kådgenererin'!M26</f>
        <v>1</v>
      </c>
      <c r="D3" s="50">
        <f>'Data till Lathund, Kådgenererin'!M71</f>
        <v>1</v>
      </c>
      <c r="E3" s="50">
        <f>'Data till Lathund, Kådgenererin'!M116</f>
        <v>1</v>
      </c>
      <c r="F3" s="54">
        <f>'Data till Lathund, Kådgenererin'!M161</f>
        <v>1</v>
      </c>
    </row>
    <row r="4" spans="1:6" ht="15" customHeight="1" x14ac:dyDescent="0.25">
      <c r="A4" s="61">
        <v>20</v>
      </c>
      <c r="B4" s="74">
        <v>7</v>
      </c>
      <c r="C4" s="58">
        <f>'Data till Lathund, Kådgenererin'!M27</f>
        <v>1</v>
      </c>
      <c r="D4" s="50">
        <f>'Data till Lathund, Kådgenererin'!M72</f>
        <v>1</v>
      </c>
      <c r="E4" s="50">
        <f>'Data till Lathund, Kådgenererin'!M117</f>
        <v>1</v>
      </c>
      <c r="F4" s="54">
        <f>'Data till Lathund, Kådgenererin'!M162</f>
        <v>1</v>
      </c>
    </row>
    <row r="5" spans="1:6" ht="15" customHeight="1" x14ac:dyDescent="0.25">
      <c r="A5" s="61"/>
      <c r="B5" s="73">
        <v>12</v>
      </c>
      <c r="C5" s="58">
        <f>'Data till Lathund, Kådgenererin'!M28</f>
        <v>1</v>
      </c>
      <c r="D5" s="50">
        <f>'Data till Lathund, Kådgenererin'!M73</f>
        <v>1</v>
      </c>
      <c r="E5" s="50">
        <f>'Data till Lathund, Kådgenererin'!M118</f>
        <v>1</v>
      </c>
      <c r="F5" s="54">
        <f>'Data till Lathund, Kådgenererin'!M163</f>
        <v>1</v>
      </c>
    </row>
    <row r="6" spans="1:6" ht="15" customHeight="1" thickBot="1" x14ac:dyDescent="0.3">
      <c r="A6" s="62"/>
      <c r="B6" s="75">
        <v>20</v>
      </c>
      <c r="C6" s="59">
        <f>'Data till Lathund, Kådgenererin'!M29</f>
        <v>1</v>
      </c>
      <c r="D6" s="51">
        <f>'Data till Lathund, Kådgenererin'!M74</f>
        <v>1</v>
      </c>
      <c r="E6" s="51">
        <f>'Data till Lathund, Kådgenererin'!M119</f>
        <v>1</v>
      </c>
      <c r="F6" s="55">
        <f>'Data till Lathund, Kådgenererin'!M164</f>
        <v>1</v>
      </c>
    </row>
    <row r="7" spans="1:6" ht="15" customHeight="1" x14ac:dyDescent="0.25">
      <c r="A7" s="63"/>
      <c r="B7" s="76">
        <v>0</v>
      </c>
      <c r="C7" s="57">
        <f>'Data till Lathund, Kådgenererin'!M30</f>
        <v>2</v>
      </c>
      <c r="D7" s="48">
        <f>'Data till Lathund, Kådgenererin'!M75</f>
        <v>2</v>
      </c>
      <c r="E7" s="48">
        <f>'Data till Lathund, Kådgenererin'!M120</f>
        <v>2</v>
      </c>
      <c r="F7" s="56">
        <f>'Data till Lathund, Kådgenererin'!M165</f>
        <v>2</v>
      </c>
    </row>
    <row r="8" spans="1:6" ht="15" customHeight="1" x14ac:dyDescent="0.25">
      <c r="A8" s="64"/>
      <c r="B8" s="74">
        <v>2</v>
      </c>
      <c r="C8" s="58">
        <f>'Data till Lathund, Kådgenererin'!M31</f>
        <v>2</v>
      </c>
      <c r="D8" s="50">
        <f>'Data till Lathund, Kådgenererin'!M76</f>
        <v>2</v>
      </c>
      <c r="E8" s="50">
        <f>'Data till Lathund, Kådgenererin'!M121</f>
        <v>2</v>
      </c>
      <c r="F8" s="54">
        <f>'Data till Lathund, Kådgenererin'!M166</f>
        <v>2</v>
      </c>
    </row>
    <row r="9" spans="1:6" ht="15" customHeight="1" x14ac:dyDescent="0.25">
      <c r="A9" s="64">
        <v>15</v>
      </c>
      <c r="B9" s="73">
        <v>7</v>
      </c>
      <c r="C9" s="58">
        <f>'Data till Lathund, Kådgenererin'!M32</f>
        <v>2</v>
      </c>
      <c r="D9" s="50">
        <f>'Data till Lathund, Kådgenererin'!M77</f>
        <v>2</v>
      </c>
      <c r="E9" s="50">
        <f>'Data till Lathund, Kådgenererin'!M122</f>
        <v>2</v>
      </c>
      <c r="F9" s="54">
        <f>'Data till Lathund, Kådgenererin'!M167</f>
        <v>2</v>
      </c>
    </row>
    <row r="10" spans="1:6" ht="15" customHeight="1" x14ac:dyDescent="0.25">
      <c r="A10" s="64"/>
      <c r="B10" s="74">
        <v>12</v>
      </c>
      <c r="C10" s="58">
        <f>'Data till Lathund, Kådgenererin'!M33</f>
        <v>2</v>
      </c>
      <c r="D10" s="50">
        <f>'Data till Lathund, Kådgenererin'!M78</f>
        <v>2</v>
      </c>
      <c r="E10" s="50">
        <f>'Data till Lathund, Kådgenererin'!M123</f>
        <v>2</v>
      </c>
      <c r="F10" s="54">
        <f>'Data till Lathund, Kådgenererin'!M168</f>
        <v>2</v>
      </c>
    </row>
    <row r="11" spans="1:6" ht="15" customHeight="1" thickBot="1" x14ac:dyDescent="0.3">
      <c r="A11" s="65"/>
      <c r="B11" s="77">
        <v>20</v>
      </c>
      <c r="C11" s="59">
        <f>'Data till Lathund, Kådgenererin'!M34</f>
        <v>2</v>
      </c>
      <c r="D11" s="51">
        <f>'Data till Lathund, Kådgenererin'!M79</f>
        <v>2</v>
      </c>
      <c r="E11" s="51">
        <f>'Data till Lathund, Kådgenererin'!M124</f>
        <v>2</v>
      </c>
      <c r="F11" s="55">
        <f>'Data till Lathund, Kådgenererin'!M169</f>
        <v>2</v>
      </c>
    </row>
    <row r="12" spans="1:6" ht="15" customHeight="1" x14ac:dyDescent="0.25">
      <c r="A12" s="60"/>
      <c r="B12" s="72">
        <v>0</v>
      </c>
      <c r="C12" s="57">
        <f>'Data till Lathund, Kådgenererin'!M35</f>
        <v>3</v>
      </c>
      <c r="D12" s="48">
        <f>'Data till Lathund, Kådgenererin'!M80</f>
        <v>3</v>
      </c>
      <c r="E12" s="48">
        <f>'Data till Lathund, Kådgenererin'!M125</f>
        <v>3</v>
      </c>
      <c r="F12" s="56">
        <f>'Data till Lathund, Kådgenererin'!M170</f>
        <v>3</v>
      </c>
    </row>
    <row r="13" spans="1:6" ht="15" customHeight="1" x14ac:dyDescent="0.25">
      <c r="A13" s="61"/>
      <c r="B13" s="73">
        <v>2</v>
      </c>
      <c r="C13" s="58">
        <f>'Data till Lathund, Kådgenererin'!M36</f>
        <v>3</v>
      </c>
      <c r="D13" s="50">
        <f>'Data till Lathund, Kådgenererin'!M81</f>
        <v>3</v>
      </c>
      <c r="E13" s="50">
        <f>'Data till Lathund, Kådgenererin'!M126</f>
        <v>3</v>
      </c>
      <c r="F13" s="54">
        <f>'Data till Lathund, Kådgenererin'!M171</f>
        <v>5</v>
      </c>
    </row>
    <row r="14" spans="1:6" ht="15" customHeight="1" x14ac:dyDescent="0.25">
      <c r="A14" s="61">
        <v>10</v>
      </c>
      <c r="B14" s="74">
        <v>7</v>
      </c>
      <c r="C14" s="58">
        <f>'Data till Lathund, Kådgenererin'!M37</f>
        <v>3</v>
      </c>
      <c r="D14" s="50">
        <f>'Data till Lathund, Kådgenererin'!M82</f>
        <v>3</v>
      </c>
      <c r="E14" s="50">
        <f>'Data till Lathund, Kådgenererin'!M127</f>
        <v>3</v>
      </c>
      <c r="F14" s="54">
        <f>'Data till Lathund, Kådgenererin'!M172</f>
        <v>5</v>
      </c>
    </row>
    <row r="15" spans="1:6" ht="15" customHeight="1" x14ac:dyDescent="0.25">
      <c r="A15" s="61"/>
      <c r="B15" s="73">
        <v>12</v>
      </c>
      <c r="C15" s="58">
        <f>'Data till Lathund, Kådgenererin'!M38</f>
        <v>3</v>
      </c>
      <c r="D15" s="50">
        <f>'Data till Lathund, Kådgenererin'!M83</f>
        <v>3</v>
      </c>
      <c r="E15" s="50">
        <f>'Data till Lathund, Kådgenererin'!M128</f>
        <v>4</v>
      </c>
      <c r="F15" s="54">
        <f>'Data till Lathund, Kådgenererin'!M173</f>
        <v>5</v>
      </c>
    </row>
    <row r="16" spans="1:6" ht="15" customHeight="1" thickBot="1" x14ac:dyDescent="0.3">
      <c r="A16" s="62"/>
      <c r="B16" s="75">
        <v>20</v>
      </c>
      <c r="C16" s="59">
        <f>'Data till Lathund, Kådgenererin'!M39</f>
        <v>3</v>
      </c>
      <c r="D16" s="51">
        <f>'Data till Lathund, Kådgenererin'!M84</f>
        <v>3</v>
      </c>
      <c r="E16" s="51">
        <f>'Data till Lathund, Kådgenererin'!M129</f>
        <v>4</v>
      </c>
      <c r="F16" s="55">
        <f>'Data till Lathund, Kådgenererin'!M174</f>
        <v>5</v>
      </c>
    </row>
    <row r="17" spans="1:6" ht="15" customHeight="1" x14ac:dyDescent="0.25">
      <c r="A17" s="63"/>
      <c r="B17" s="76">
        <v>0</v>
      </c>
      <c r="C17" s="57">
        <f>'Data till Lathund, Kådgenererin'!M40</f>
        <v>6</v>
      </c>
      <c r="D17" s="48">
        <f>'Data till Lathund, Kådgenererin'!M85</f>
        <v>7</v>
      </c>
      <c r="E17" s="48">
        <f>'Data till Lathund, Kådgenererin'!M130</f>
        <v>8</v>
      </c>
      <c r="F17" s="56">
        <f>'Data till Lathund, Kådgenererin'!M175</f>
        <v>9</v>
      </c>
    </row>
    <row r="18" spans="1:6" ht="15" customHeight="1" x14ac:dyDescent="0.25">
      <c r="A18" s="64"/>
      <c r="B18" s="74">
        <v>2</v>
      </c>
      <c r="C18" s="58">
        <f>'Data till Lathund, Kådgenererin'!M41</f>
        <v>7</v>
      </c>
      <c r="D18" s="50">
        <f>'Data till Lathund, Kådgenererin'!M86</f>
        <v>8</v>
      </c>
      <c r="E18" s="50">
        <f>'Data till Lathund, Kådgenererin'!M131</f>
        <v>8</v>
      </c>
      <c r="F18" s="54">
        <f>'Data till Lathund, Kådgenererin'!M176</f>
        <v>11</v>
      </c>
    </row>
    <row r="19" spans="1:6" ht="15" customHeight="1" x14ac:dyDescent="0.25">
      <c r="A19" s="64">
        <v>5</v>
      </c>
      <c r="B19" s="73">
        <v>7</v>
      </c>
      <c r="C19" s="58">
        <f>'Data till Lathund, Kådgenererin'!M42</f>
        <v>7</v>
      </c>
      <c r="D19" s="50">
        <f>'Data till Lathund, Kådgenererin'!M87</f>
        <v>9</v>
      </c>
      <c r="E19" s="50">
        <f>'Data till Lathund, Kådgenererin'!M132</f>
        <v>10</v>
      </c>
      <c r="F19" s="54">
        <f>'Data till Lathund, Kådgenererin'!M177</f>
        <v>12</v>
      </c>
    </row>
    <row r="20" spans="1:6" ht="15" customHeight="1" x14ac:dyDescent="0.25">
      <c r="A20" s="64"/>
      <c r="B20" s="74">
        <v>12</v>
      </c>
      <c r="C20" s="58">
        <f>'Data till Lathund, Kådgenererin'!M43</f>
        <v>7</v>
      </c>
      <c r="D20" s="50">
        <f>'Data till Lathund, Kådgenererin'!M88</f>
        <v>11</v>
      </c>
      <c r="E20" s="50">
        <f>'Data till Lathund, Kådgenererin'!M133</f>
        <v>10</v>
      </c>
      <c r="F20" s="54">
        <f>'Data till Lathund, Kådgenererin'!M178</f>
        <v>12</v>
      </c>
    </row>
    <row r="21" spans="1:6" ht="15" customHeight="1" thickBot="1" x14ac:dyDescent="0.3">
      <c r="A21" s="65"/>
      <c r="B21" s="77">
        <v>20</v>
      </c>
      <c r="C21" s="59">
        <f>'Data till Lathund, Kådgenererin'!M44</f>
        <v>7</v>
      </c>
      <c r="D21" s="51">
        <f>'Data till Lathund, Kådgenererin'!M89</f>
        <v>11</v>
      </c>
      <c r="E21" s="51">
        <f>'Data till Lathund, Kådgenererin'!M134</f>
        <v>10</v>
      </c>
      <c r="F21" s="55">
        <f>'Data till Lathund, Kådgenererin'!M179</f>
        <v>12</v>
      </c>
    </row>
    <row r="22" spans="1:6" ht="15" customHeight="1" x14ac:dyDescent="0.25">
      <c r="A22" s="60"/>
      <c r="B22" s="72">
        <v>0</v>
      </c>
      <c r="C22" s="57">
        <f>'Data till Lathund, Kådgenererin'!M45</f>
        <v>8</v>
      </c>
      <c r="D22" s="48">
        <f>'Data till Lathund, Kådgenererin'!M90</f>
        <v>9</v>
      </c>
      <c r="E22" s="48">
        <f>'Data till Lathund, Kådgenererin'!M135</f>
        <v>11</v>
      </c>
      <c r="F22" s="56">
        <f>'Data till Lathund, Kådgenererin'!M180</f>
        <v>10</v>
      </c>
    </row>
    <row r="23" spans="1:6" ht="15" customHeight="1" x14ac:dyDescent="0.25">
      <c r="A23" s="61"/>
      <c r="B23" s="73">
        <v>2</v>
      </c>
      <c r="C23" s="58">
        <f>'Data till Lathund, Kådgenererin'!M46</f>
        <v>9</v>
      </c>
      <c r="D23" s="50">
        <f>'Data till Lathund, Kådgenererin'!M91</f>
        <v>10</v>
      </c>
      <c r="E23" s="50">
        <f>'Data till Lathund, Kådgenererin'!M136</f>
        <v>12</v>
      </c>
      <c r="F23" s="54">
        <f>'Data till Lathund, Kådgenererin'!M181</f>
        <v>12</v>
      </c>
    </row>
    <row r="24" spans="1:6" ht="15" customHeight="1" x14ac:dyDescent="0.25">
      <c r="A24" s="61">
        <v>0</v>
      </c>
      <c r="B24" s="74">
        <v>7</v>
      </c>
      <c r="C24" s="58">
        <f>'Data till Lathund, Kådgenererin'!M47</f>
        <v>10</v>
      </c>
      <c r="D24" s="50">
        <f>'Data till Lathund, Kådgenererin'!M92</f>
        <v>12</v>
      </c>
      <c r="E24" s="50">
        <f>'Data till Lathund, Kådgenererin'!M137</f>
        <v>12</v>
      </c>
      <c r="F24" s="54">
        <f>'Data till Lathund, Kådgenererin'!M182</f>
        <v>12</v>
      </c>
    </row>
    <row r="25" spans="1:6" ht="15" customHeight="1" x14ac:dyDescent="0.25">
      <c r="A25" s="61"/>
      <c r="B25" s="73">
        <v>12</v>
      </c>
      <c r="C25" s="58">
        <f>'Data till Lathund, Kådgenererin'!M48</f>
        <v>10</v>
      </c>
      <c r="D25" s="50">
        <f>'Data till Lathund, Kådgenererin'!M93</f>
        <v>12</v>
      </c>
      <c r="E25" s="50">
        <f>'Data till Lathund, Kådgenererin'!M138</f>
        <v>12</v>
      </c>
      <c r="F25" s="54">
        <f>'Data till Lathund, Kådgenererin'!M183</f>
        <v>12</v>
      </c>
    </row>
    <row r="26" spans="1:6" ht="15" customHeight="1" thickBot="1" x14ac:dyDescent="0.3">
      <c r="A26" s="62"/>
      <c r="B26" s="75">
        <v>20</v>
      </c>
      <c r="C26" s="59">
        <f>'Data till Lathund, Kådgenererin'!M49</f>
        <v>10</v>
      </c>
      <c r="D26" s="51">
        <f>'Data till Lathund, Kådgenererin'!M94</f>
        <v>12</v>
      </c>
      <c r="E26" s="51">
        <f>'Data till Lathund, Kådgenererin'!M139</f>
        <v>12</v>
      </c>
      <c r="F26" s="55">
        <f>'Data till Lathund, Kådgenererin'!M184</f>
        <v>12</v>
      </c>
    </row>
    <row r="27" spans="1:6" ht="15" customHeight="1" x14ac:dyDescent="0.25">
      <c r="A27" s="66"/>
      <c r="B27" s="76">
        <v>0</v>
      </c>
      <c r="C27" s="57">
        <f>'Data till Lathund, Kådgenererin'!M50</f>
        <v>11</v>
      </c>
      <c r="D27" s="48">
        <f>'Data till Lathund, Kådgenererin'!M95</f>
        <v>12</v>
      </c>
      <c r="E27" s="48">
        <f>'Data till Lathund, Kådgenererin'!M140</f>
        <v>12</v>
      </c>
      <c r="F27" s="56">
        <f>'Data till Lathund, Kådgenererin'!M185</f>
        <v>13</v>
      </c>
    </row>
    <row r="28" spans="1:6" ht="15" customHeight="1" x14ac:dyDescent="0.25">
      <c r="A28" s="67"/>
      <c r="B28" s="74">
        <v>2</v>
      </c>
      <c r="C28" s="58">
        <f>'Data till Lathund, Kådgenererin'!M51</f>
        <v>12</v>
      </c>
      <c r="D28" s="50">
        <f>'Data till Lathund, Kådgenererin'!M96</f>
        <v>12</v>
      </c>
      <c r="E28" s="50">
        <f>'Data till Lathund, Kådgenererin'!M141</f>
        <v>13</v>
      </c>
      <c r="F28" s="54">
        <f>'Data till Lathund, Kådgenererin'!M186</f>
        <v>13</v>
      </c>
    </row>
    <row r="29" spans="1:6" ht="15" customHeight="1" x14ac:dyDescent="0.25">
      <c r="A29" s="67">
        <v>-5</v>
      </c>
      <c r="B29" s="73">
        <v>7</v>
      </c>
      <c r="C29" s="58">
        <f>'Data till Lathund, Kådgenererin'!M52</f>
        <v>12</v>
      </c>
      <c r="D29" s="50">
        <f>'Data till Lathund, Kådgenererin'!M97</f>
        <v>13</v>
      </c>
      <c r="E29" s="50">
        <f>'Data till Lathund, Kådgenererin'!M142</f>
        <v>13</v>
      </c>
      <c r="F29" s="54">
        <f>'Data till Lathund, Kådgenererin'!M187</f>
        <v>14</v>
      </c>
    </row>
    <row r="30" spans="1:6" ht="15" customHeight="1" x14ac:dyDescent="0.25">
      <c r="A30" s="67"/>
      <c r="B30" s="74">
        <v>12</v>
      </c>
      <c r="C30" s="58">
        <f>'Data till Lathund, Kådgenererin'!M53</f>
        <v>12</v>
      </c>
      <c r="D30" s="50">
        <f>'Data till Lathund, Kådgenererin'!M98</f>
        <v>13</v>
      </c>
      <c r="E30" s="50">
        <f>'Data till Lathund, Kådgenererin'!M143</f>
        <v>13</v>
      </c>
      <c r="F30" s="54">
        <f>'Data till Lathund, Kådgenererin'!M188</f>
        <v>14</v>
      </c>
    </row>
    <row r="31" spans="1:6" ht="15" customHeight="1" thickBot="1" x14ac:dyDescent="0.3">
      <c r="A31" s="68"/>
      <c r="B31" s="77">
        <v>20</v>
      </c>
      <c r="C31" s="59">
        <f>'Data till Lathund, Kådgenererin'!M54</f>
        <v>12</v>
      </c>
      <c r="D31" s="51">
        <f>'Data till Lathund, Kådgenererin'!M99</f>
        <v>13</v>
      </c>
      <c r="E31" s="51">
        <f>'Data till Lathund, Kådgenererin'!M144</f>
        <v>13</v>
      </c>
      <c r="F31" s="55">
        <f>'Data till Lathund, Kådgenererin'!M189</f>
        <v>14</v>
      </c>
    </row>
    <row r="32" spans="1:6" ht="15" customHeight="1" x14ac:dyDescent="0.25">
      <c r="A32" s="69"/>
      <c r="B32" s="72">
        <v>0</v>
      </c>
      <c r="C32" s="57">
        <f>'Data till Lathund, Kådgenererin'!M55</f>
        <v>12</v>
      </c>
      <c r="D32" s="48">
        <f>'Data till Lathund, Kådgenererin'!M100</f>
        <v>14</v>
      </c>
      <c r="E32" s="48">
        <f>'Data till Lathund, Kådgenererin'!M145</f>
        <v>15</v>
      </c>
      <c r="F32" s="56">
        <f>'Data till Lathund, Kådgenererin'!M190</f>
        <v>17</v>
      </c>
    </row>
    <row r="33" spans="1:6" ht="15" customHeight="1" x14ac:dyDescent="0.25">
      <c r="A33" s="70"/>
      <c r="B33" s="73">
        <v>2</v>
      </c>
      <c r="C33" s="58">
        <f>'Data till Lathund, Kådgenererin'!M56</f>
        <v>13</v>
      </c>
      <c r="D33" s="50">
        <f>'Data till Lathund, Kådgenererin'!M101</f>
        <v>14</v>
      </c>
      <c r="E33" s="50">
        <f>'Data till Lathund, Kådgenererin'!M146</f>
        <v>15</v>
      </c>
      <c r="F33" s="54">
        <f>'Data till Lathund, Kådgenererin'!M191</f>
        <v>17</v>
      </c>
    </row>
    <row r="34" spans="1:6" ht="15" customHeight="1" x14ac:dyDescent="0.25">
      <c r="A34" s="70">
        <v>-10</v>
      </c>
      <c r="B34" s="74">
        <v>7</v>
      </c>
      <c r="C34" s="58">
        <f>'Data till Lathund, Kådgenererin'!M57</f>
        <v>13</v>
      </c>
      <c r="D34" s="50">
        <f>'Data till Lathund, Kådgenererin'!M102</f>
        <v>15</v>
      </c>
      <c r="E34" s="50">
        <f>'Data till Lathund, Kådgenererin'!M147</f>
        <v>15</v>
      </c>
      <c r="F34" s="54">
        <f>'Data till Lathund, Kådgenererin'!M192</f>
        <v>17</v>
      </c>
    </row>
    <row r="35" spans="1:6" ht="15" customHeight="1" x14ac:dyDescent="0.25">
      <c r="A35" s="70"/>
      <c r="B35" s="73">
        <v>12</v>
      </c>
      <c r="C35" s="58">
        <f>'Data till Lathund, Kådgenererin'!M58</f>
        <v>23</v>
      </c>
      <c r="D35" s="50">
        <f>'Data till Lathund, Kådgenererin'!M103</f>
        <v>23</v>
      </c>
      <c r="E35" s="50">
        <f>'Data till Lathund, Kådgenererin'!M148</f>
        <v>23</v>
      </c>
      <c r="F35" s="54">
        <f>'Data till Lathund, Kådgenererin'!M193</f>
        <v>23</v>
      </c>
    </row>
    <row r="36" spans="1:6" ht="15" customHeight="1" thickBot="1" x14ac:dyDescent="0.3">
      <c r="A36" s="71"/>
      <c r="B36" s="75">
        <v>20</v>
      </c>
      <c r="C36" s="59">
        <f>'Data till Lathund, Kådgenererin'!M59</f>
        <v>23</v>
      </c>
      <c r="D36" s="51">
        <f>'Data till Lathund, Kådgenererin'!M104</f>
        <v>23</v>
      </c>
      <c r="E36" s="51">
        <f>'Data till Lathund, Kådgenererin'!M149</f>
        <v>23</v>
      </c>
      <c r="F36" s="55">
        <f>'Data till Lathund, Kådgenererin'!M194</f>
        <v>23</v>
      </c>
    </row>
    <row r="37" spans="1:6" ht="15" customHeight="1" x14ac:dyDescent="0.25">
      <c r="A37" s="66"/>
      <c r="B37" s="76">
        <v>0</v>
      </c>
      <c r="C37" s="57">
        <f>'Data till Lathund, Kådgenererin'!M60</f>
        <v>18</v>
      </c>
      <c r="D37" s="48">
        <f>'Data till Lathund, Kådgenererin'!M105</f>
        <v>19</v>
      </c>
      <c r="E37" s="48">
        <f>'Data till Lathund, Kådgenererin'!M150</f>
        <v>16</v>
      </c>
      <c r="F37" s="56">
        <f>'Data till Lathund, Kådgenererin'!M195</f>
        <v>22</v>
      </c>
    </row>
    <row r="38" spans="1:6" ht="15" customHeight="1" x14ac:dyDescent="0.25">
      <c r="A38" s="67"/>
      <c r="B38" s="74">
        <v>2</v>
      </c>
      <c r="C38" s="58">
        <f>'Data till Lathund, Kådgenererin'!M61</f>
        <v>18</v>
      </c>
      <c r="D38" s="50">
        <f>'Data till Lathund, Kådgenererin'!M106</f>
        <v>19</v>
      </c>
      <c r="E38" s="50">
        <f>'Data till Lathund, Kådgenererin'!M151</f>
        <v>16</v>
      </c>
      <c r="F38" s="54">
        <f>'Data till Lathund, Kådgenererin'!M196</f>
        <v>22</v>
      </c>
    </row>
    <row r="39" spans="1:6" ht="15" customHeight="1" x14ac:dyDescent="0.25">
      <c r="A39" s="67">
        <v>-15</v>
      </c>
      <c r="B39" s="73">
        <v>7</v>
      </c>
      <c r="C39" s="58">
        <f>'Data till Lathund, Kådgenererin'!M62</f>
        <v>23</v>
      </c>
      <c r="D39" s="50">
        <f>'Data till Lathund, Kådgenererin'!M107</f>
        <v>23</v>
      </c>
      <c r="E39" s="50">
        <f>'Data till Lathund, Kådgenererin'!M152</f>
        <v>23</v>
      </c>
      <c r="F39" s="54">
        <f>'Data till Lathund, Kådgenererin'!M197</f>
        <v>23</v>
      </c>
    </row>
    <row r="40" spans="1:6" ht="15" customHeight="1" x14ac:dyDescent="0.25">
      <c r="A40" s="67"/>
      <c r="B40" s="74">
        <v>12</v>
      </c>
      <c r="C40" s="58">
        <f>'Data till Lathund, Kådgenererin'!M63</f>
        <v>23</v>
      </c>
      <c r="D40" s="50">
        <f>'Data till Lathund, Kådgenererin'!M108</f>
        <v>23</v>
      </c>
      <c r="E40" s="50">
        <f>'Data till Lathund, Kådgenererin'!M153</f>
        <v>23</v>
      </c>
      <c r="F40" s="54">
        <f>'Data till Lathund, Kådgenererin'!M198</f>
        <v>23</v>
      </c>
    </row>
    <row r="41" spans="1:6" ht="15" customHeight="1" thickBot="1" x14ac:dyDescent="0.3">
      <c r="A41" s="68"/>
      <c r="B41" s="77">
        <v>20</v>
      </c>
      <c r="C41" s="59">
        <f>'Data till Lathund, Kådgenererin'!M64</f>
        <v>23</v>
      </c>
      <c r="D41" s="51">
        <f>'Data till Lathund, Kådgenererin'!M109</f>
        <v>23</v>
      </c>
      <c r="E41" s="51">
        <f>'Data till Lathund, Kådgenererin'!M154</f>
        <v>23</v>
      </c>
      <c r="F41" s="55">
        <f>'Data till Lathund, Kådgenererin'!M199</f>
        <v>23</v>
      </c>
    </row>
    <row r="42" spans="1:6" ht="15" customHeight="1" x14ac:dyDescent="0.25">
      <c r="A42" s="69"/>
      <c r="B42" s="72">
        <v>0</v>
      </c>
      <c r="C42" s="79">
        <f>'Data till Lathund, Kådgenererin'!M65</f>
        <v>20</v>
      </c>
      <c r="D42" s="48">
        <f>'Data till Lathund, Kådgenererin'!M110</f>
        <v>21</v>
      </c>
      <c r="E42" s="48">
        <f>'Data till Lathund, Kådgenererin'!M155</f>
        <v>23</v>
      </c>
      <c r="F42" s="53">
        <f>'Data till Lathund, Kådgenererin'!M200</f>
        <v>23</v>
      </c>
    </row>
    <row r="43" spans="1:6" ht="15" customHeight="1" x14ac:dyDescent="0.25">
      <c r="A43" s="70"/>
      <c r="B43" s="73">
        <v>2</v>
      </c>
      <c r="C43" s="80">
        <f>'Data till Lathund, Kådgenererin'!M66</f>
        <v>20</v>
      </c>
      <c r="D43" s="50">
        <f>'Data till Lathund, Kådgenererin'!M111</f>
        <v>21</v>
      </c>
      <c r="E43" s="50">
        <f>'Data till Lathund, Kådgenererin'!M156</f>
        <v>23</v>
      </c>
      <c r="F43" s="49">
        <f>'Data till Lathund, Kådgenererin'!M201</f>
        <v>23</v>
      </c>
    </row>
    <row r="44" spans="1:6" ht="15" customHeight="1" x14ac:dyDescent="0.25">
      <c r="A44" s="70">
        <v>-20</v>
      </c>
      <c r="B44" s="74">
        <v>7</v>
      </c>
      <c r="C44" s="80">
        <f>'Data till Lathund, Kådgenererin'!M67</f>
        <v>23</v>
      </c>
      <c r="D44" s="50">
        <f>'Data till Lathund, Kådgenererin'!M112</f>
        <v>23</v>
      </c>
      <c r="E44" s="50">
        <f>'Data till Lathund, Kådgenererin'!M157</f>
        <v>23</v>
      </c>
      <c r="F44" s="49">
        <f>'Data till Lathund, Kådgenererin'!M202</f>
        <v>23</v>
      </c>
    </row>
    <row r="45" spans="1:6" ht="15" customHeight="1" x14ac:dyDescent="0.25">
      <c r="A45" s="70"/>
      <c r="B45" s="73">
        <v>12</v>
      </c>
      <c r="C45" s="80">
        <f>'Data till Lathund, Kådgenererin'!M68</f>
        <v>23</v>
      </c>
      <c r="D45" s="50">
        <f>'Data till Lathund, Kådgenererin'!M113</f>
        <v>23</v>
      </c>
      <c r="E45" s="50">
        <f>'Data till Lathund, Kådgenererin'!M158</f>
        <v>23</v>
      </c>
      <c r="F45" s="49">
        <f>'Data till Lathund, Kådgenererin'!M203</f>
        <v>23</v>
      </c>
    </row>
    <row r="46" spans="1:6" ht="15" customHeight="1" thickBot="1" x14ac:dyDescent="0.3">
      <c r="A46" s="71"/>
      <c r="B46" s="75">
        <v>20</v>
      </c>
      <c r="C46" s="81">
        <f>'Data till Lathund, Kådgenererin'!M69</f>
        <v>23</v>
      </c>
      <c r="D46" s="51">
        <f>'Data till Lathund, Kådgenererin'!M114</f>
        <v>23</v>
      </c>
      <c r="E46" s="51">
        <f>'Data till Lathund, Kådgenererin'!M159</f>
        <v>23</v>
      </c>
      <c r="F46" s="52">
        <f>'Data till Lathund, Kådgenererin'!M204</f>
        <v>23</v>
      </c>
    </row>
    <row r="50" spans="8:15" ht="45" x14ac:dyDescent="0.25">
      <c r="H50" s="84" t="s">
        <v>92</v>
      </c>
      <c r="I50" s="85" t="s">
        <v>93</v>
      </c>
      <c r="J50" s="85" t="s">
        <v>1</v>
      </c>
      <c r="K50" s="85" t="s">
        <v>2</v>
      </c>
      <c r="L50" s="85" t="s">
        <v>103</v>
      </c>
      <c r="M50" s="86" t="s">
        <v>4</v>
      </c>
      <c r="N50" s="85" t="s">
        <v>104</v>
      </c>
      <c r="O50" s="85" t="s">
        <v>105</v>
      </c>
    </row>
    <row r="51" spans="8:15" x14ac:dyDescent="0.25">
      <c r="H51" s="78">
        <f>'Data till lathund Åtgärder'!A2</f>
        <v>1</v>
      </c>
      <c r="I51" s="87" t="str">
        <f>'Data till lathund Åtgärder'!B2</f>
        <v>C20/25</v>
      </c>
      <c r="J51" s="87">
        <f>'Data till lathund Åtgärder'!C2</f>
        <v>15</v>
      </c>
      <c r="K51" s="87">
        <f>'Data till lathund Åtgärder'!D2</f>
        <v>20</v>
      </c>
      <c r="L51" s="87" t="str">
        <f>'Data till lathund Åtgärder'!E2</f>
        <v>-</v>
      </c>
      <c r="M51" s="87">
        <f>'Data till lathund Åtgärder'!F2</f>
        <v>0</v>
      </c>
      <c r="N51" s="115" t="str">
        <f>'Data till lathund Åtgärder'!G2</f>
        <v>OK14</v>
      </c>
      <c r="O51" s="115">
        <f>'Data till lathund Åtgärder'!H2</f>
        <v>0</v>
      </c>
    </row>
    <row r="52" spans="8:15" x14ac:dyDescent="0.25">
      <c r="H52" s="78">
        <f>'Data till lathund Åtgärder'!A3</f>
        <v>2</v>
      </c>
      <c r="I52" s="87" t="str">
        <f>'Data till lathund Åtgärder'!B3</f>
        <v>C20/25</v>
      </c>
      <c r="J52" s="87">
        <f>'Data till lathund Åtgärder'!C3</f>
        <v>15</v>
      </c>
      <c r="K52" s="87">
        <f>'Data till lathund Åtgärder'!D3</f>
        <v>15</v>
      </c>
      <c r="L52" s="87" t="str">
        <f>'Data till lathund Åtgärder'!E3</f>
        <v>-</v>
      </c>
      <c r="M52" s="87">
        <f>'Data till lathund Åtgärder'!F3</f>
        <v>0</v>
      </c>
      <c r="N52" s="116" t="str">
        <f>'Data till lathund Åtgärder'!G3</f>
        <v>OK14</v>
      </c>
      <c r="O52" s="116">
        <f>'Data till lathund Åtgärder'!H3</f>
        <v>0</v>
      </c>
    </row>
    <row r="53" spans="8:15" x14ac:dyDescent="0.25">
      <c r="H53" s="78">
        <f>'Data till lathund Åtgärder'!A4</f>
        <v>3</v>
      </c>
      <c r="I53" s="87" t="str">
        <f>'Data till lathund Åtgärder'!B4</f>
        <v>C20/25</v>
      </c>
      <c r="J53" s="87">
        <f>'Data till lathund Åtgärder'!C4</f>
        <v>15</v>
      </c>
      <c r="K53" s="87">
        <f>'Data till lathund Åtgärder'!D4</f>
        <v>10</v>
      </c>
      <c r="L53" s="87" t="str">
        <f>'Data till lathund Åtgärder'!E4</f>
        <v>-</v>
      </c>
      <c r="M53" s="87">
        <f>'Data till lathund Åtgärder'!F4</f>
        <v>0</v>
      </c>
      <c r="N53" s="116" t="str">
        <f>'Data till lathund Åtgärder'!G4</f>
        <v>OK14</v>
      </c>
      <c r="O53" s="116">
        <f>'Data till lathund Åtgärder'!H4</f>
        <v>0</v>
      </c>
    </row>
    <row r="54" spans="8:15" x14ac:dyDescent="0.25">
      <c r="H54" s="78">
        <f>'Data till lathund Åtgärder'!A5</f>
        <v>4</v>
      </c>
      <c r="I54" s="87" t="str">
        <f>'Data till lathund Åtgärder'!B5</f>
        <v>C20/25</v>
      </c>
      <c r="J54" s="87">
        <f>'Data till lathund Åtgärder'!C5</f>
        <v>15</v>
      </c>
      <c r="K54" s="87">
        <f>'Data till lathund Åtgärder'!D5</f>
        <v>10</v>
      </c>
      <c r="L54" s="87">
        <f>'Data till lathund Åtgärder'!E5</f>
        <v>0</v>
      </c>
      <c r="M54" s="87">
        <f>'Data till lathund Åtgärder'!F5</f>
        <v>0</v>
      </c>
      <c r="N54" s="116" t="str">
        <f>'Data till lathund Åtgärder'!G5</f>
        <v>OK14</v>
      </c>
      <c r="O54" s="116">
        <f>'Data till lathund Åtgärder'!H5</f>
        <v>0</v>
      </c>
    </row>
    <row r="55" spans="8:15" x14ac:dyDescent="0.25">
      <c r="H55" s="78">
        <f>'Data till lathund Åtgärder'!A6</f>
        <v>5</v>
      </c>
      <c r="I55" s="87" t="str">
        <f>'Data till lathund Åtgärder'!B6</f>
        <v>C20/25</v>
      </c>
      <c r="J55" s="87">
        <f>'Data till lathund Åtgärder'!C6</f>
        <v>15</v>
      </c>
      <c r="K55" s="87">
        <f>'Data till lathund Åtgärder'!D6</f>
        <v>10</v>
      </c>
      <c r="L55" s="87">
        <f>'Data till lathund Åtgärder'!E6</f>
        <v>5</v>
      </c>
      <c r="M55" s="87">
        <f>'Data till lathund Åtgärder'!F6</f>
        <v>0</v>
      </c>
      <c r="N55" s="116" t="str">
        <f>'Data till lathund Åtgärder'!G6</f>
        <v>OK14</v>
      </c>
      <c r="O55" s="116">
        <f>'Data till lathund Åtgärder'!H6</f>
        <v>0</v>
      </c>
    </row>
    <row r="56" spans="8:15" x14ac:dyDescent="0.25">
      <c r="H56" s="78">
        <f>'Data till lathund Åtgärder'!A7</f>
        <v>6</v>
      </c>
      <c r="I56" s="87" t="str">
        <f>'Data till lathund Åtgärder'!B7</f>
        <v>C20/25</v>
      </c>
      <c r="J56" s="87">
        <f>'Data till lathund Åtgärder'!C7</f>
        <v>20</v>
      </c>
      <c r="K56" s="87">
        <f>'Data till lathund Åtgärder'!D7</f>
        <v>5</v>
      </c>
      <c r="L56" s="87" t="str">
        <f>'Data till lathund Åtgärder'!E7</f>
        <v>-</v>
      </c>
      <c r="M56" s="87">
        <f>'Data till lathund Åtgärder'!F7</f>
        <v>0</v>
      </c>
      <c r="N56" s="116" t="str">
        <f>'Data till lathund Åtgärder'!G7</f>
        <v>OK14</v>
      </c>
      <c r="O56" s="116">
        <f>'Data till lathund Åtgärder'!H7</f>
        <v>0</v>
      </c>
    </row>
    <row r="57" spans="8:15" x14ac:dyDescent="0.25">
      <c r="H57" s="78">
        <f>'Data till lathund Åtgärder'!A8</f>
        <v>7</v>
      </c>
      <c r="I57" s="87" t="str">
        <f>'Data till lathund Åtgärder'!B8</f>
        <v>C20/25</v>
      </c>
      <c r="J57" s="87">
        <f>'Data till lathund Åtgärder'!C8</f>
        <v>20</v>
      </c>
      <c r="K57" s="87">
        <f>'Data till lathund Åtgärder'!D8</f>
        <v>5</v>
      </c>
      <c r="L57" s="87">
        <f>'Data till lathund Åtgärder'!E8</f>
        <v>5</v>
      </c>
      <c r="M57" s="87">
        <f>'Data till lathund Åtgärder'!F8</f>
        <v>0</v>
      </c>
      <c r="N57" s="116" t="str">
        <f>'Data till lathund Åtgärder'!G8</f>
        <v>OK14</v>
      </c>
      <c r="O57" s="116">
        <f>'Data till lathund Åtgärder'!H8</f>
        <v>0</v>
      </c>
    </row>
    <row r="58" spans="8:15" x14ac:dyDescent="0.25">
      <c r="H58" s="78">
        <f>'Data till lathund Åtgärder'!A9</f>
        <v>8</v>
      </c>
      <c r="I58" s="87" t="str">
        <f>'Data till lathund Åtgärder'!B9</f>
        <v>C20/25</v>
      </c>
      <c r="J58" s="87">
        <f>'Data till lathund Åtgärder'!C9</f>
        <v>20</v>
      </c>
      <c r="K58" s="87">
        <f>'Data till lathund Åtgärder'!D9</f>
        <v>5</v>
      </c>
      <c r="L58" s="87">
        <f>'Data till lathund Åtgärder'!E9</f>
        <v>10</v>
      </c>
      <c r="M58" s="87">
        <f>'Data till lathund Åtgärder'!F9</f>
        <v>0</v>
      </c>
      <c r="N58" s="116" t="str">
        <f>'Data till lathund Åtgärder'!G9</f>
        <v>OK14</v>
      </c>
      <c r="O58" s="116">
        <f>'Data till lathund Åtgärder'!H9</f>
        <v>0</v>
      </c>
    </row>
    <row r="59" spans="8:15" x14ac:dyDescent="0.25">
      <c r="H59" s="78">
        <f>'Data till lathund Åtgärder'!A10</f>
        <v>9</v>
      </c>
      <c r="I59" s="87" t="str">
        <f>'Data till lathund Åtgärder'!B10</f>
        <v>C20/25</v>
      </c>
      <c r="J59" s="87">
        <f>'Data till lathund Åtgärder'!C10</f>
        <v>20</v>
      </c>
      <c r="K59" s="87">
        <f>'Data till lathund Åtgärder'!D10</f>
        <v>5</v>
      </c>
      <c r="L59" s="87">
        <f>'Data till lathund Åtgärder'!E10</f>
        <v>15</v>
      </c>
      <c r="M59" s="87">
        <f>'Data till lathund Åtgärder'!F10</f>
        <v>0</v>
      </c>
      <c r="N59" s="116" t="str">
        <f>'Data till lathund Åtgärder'!G10</f>
        <v>OK14</v>
      </c>
      <c r="O59" s="116">
        <f>'Data till lathund Åtgärder'!H10</f>
        <v>0</v>
      </c>
    </row>
    <row r="60" spans="8:15" x14ac:dyDescent="0.25">
      <c r="H60" s="78">
        <f>'Data till lathund Åtgärder'!A11</f>
        <v>10</v>
      </c>
      <c r="I60" s="87" t="str">
        <f>'Data till lathund Åtgärder'!B11</f>
        <v>C20/25</v>
      </c>
      <c r="J60" s="87">
        <f>'Data till lathund Åtgärder'!C11</f>
        <v>20</v>
      </c>
      <c r="K60" s="87">
        <f>'Data till lathund Åtgärder'!D11</f>
        <v>5</v>
      </c>
      <c r="L60" s="87">
        <f>'Data till lathund Åtgärder'!E11</f>
        <v>20</v>
      </c>
      <c r="M60" s="87" t="str">
        <f>'Data till lathund Åtgärder'!F11</f>
        <v>Presenning</v>
      </c>
      <c r="N60" s="116" t="str">
        <f>'Data till lathund Åtgärder'!G11</f>
        <v>OK14</v>
      </c>
      <c r="O60" s="116">
        <f>'Data till lathund Åtgärder'!H11</f>
        <v>0</v>
      </c>
    </row>
    <row r="61" spans="8:15" x14ac:dyDescent="0.25">
      <c r="H61" s="78">
        <f>'Data till lathund Åtgärder'!A12</f>
        <v>11</v>
      </c>
      <c r="I61" s="87" t="str">
        <f>'Data till lathund Åtgärder'!B12</f>
        <v>C20/25</v>
      </c>
      <c r="J61" s="87">
        <f>'Data till lathund Åtgärder'!C12</f>
        <v>20</v>
      </c>
      <c r="K61" s="87">
        <f>'Data till lathund Åtgärder'!D12</f>
        <v>5</v>
      </c>
      <c r="L61" s="87">
        <f>'Data till lathund Åtgärder'!E12</f>
        <v>20</v>
      </c>
      <c r="M61" s="87">
        <f>'Data till lathund Åtgärder'!F12</f>
        <v>0</v>
      </c>
      <c r="N61" s="116" t="str">
        <f>'Data till lathund Åtgärder'!G12</f>
        <v>OK14</v>
      </c>
      <c r="O61" s="116">
        <f>'Data till lathund Åtgärder'!H12</f>
        <v>0</v>
      </c>
    </row>
    <row r="62" spans="8:15" x14ac:dyDescent="0.25">
      <c r="H62" s="78">
        <f>'Data till lathund Åtgärder'!A13</f>
        <v>12</v>
      </c>
      <c r="I62" s="87" t="str">
        <f>'Data till lathund Åtgärder'!B13</f>
        <v>C20/25</v>
      </c>
      <c r="J62" s="87">
        <f>'Data till lathund Åtgärder'!C13</f>
        <v>20</v>
      </c>
      <c r="K62" s="87">
        <f>'Data till lathund Åtgärder'!D13</f>
        <v>5</v>
      </c>
      <c r="L62" s="87">
        <f>'Data till lathund Åtgärder'!E13</f>
        <v>20</v>
      </c>
      <c r="M62" s="87">
        <f>'Data till lathund Åtgärder'!F13</f>
        <v>10</v>
      </c>
      <c r="N62" s="116" t="str">
        <f>'Data till lathund Åtgärder'!G13</f>
        <v>OK14</v>
      </c>
      <c r="O62" s="116">
        <f>'Data till lathund Åtgärder'!H13</f>
        <v>0</v>
      </c>
    </row>
    <row r="63" spans="8:15" x14ac:dyDescent="0.25">
      <c r="H63" s="78">
        <f>'Data till lathund Åtgärder'!A14</f>
        <v>13</v>
      </c>
      <c r="I63" s="87" t="str">
        <f>'Data till lathund Åtgärder'!B14</f>
        <v>C20/25</v>
      </c>
      <c r="J63" s="87">
        <f>'Data till lathund Åtgärder'!C14</f>
        <v>20</v>
      </c>
      <c r="K63" s="87">
        <f>'Data till lathund Åtgärder'!D14</f>
        <v>5</v>
      </c>
      <c r="L63" s="87">
        <f>'Data till lathund Åtgärder'!E14</f>
        <v>20</v>
      </c>
      <c r="M63" s="87">
        <f>'Data till lathund Åtgärder'!F14</f>
        <v>20</v>
      </c>
      <c r="N63" s="116" t="str">
        <f>'Data till lathund Åtgärder'!G14</f>
        <v>OK14</v>
      </c>
      <c r="O63" s="116">
        <f>'Data till lathund Åtgärder'!H14</f>
        <v>0</v>
      </c>
    </row>
    <row r="64" spans="8:15" x14ac:dyDescent="0.25">
      <c r="H64" s="78">
        <f>'Data till lathund Åtgärder'!A15</f>
        <v>14</v>
      </c>
      <c r="I64" s="87" t="str">
        <f>'Data till lathund Åtgärder'!B15</f>
        <v>C20/25</v>
      </c>
      <c r="J64" s="87">
        <f>'Data till lathund Åtgärder'!C15</f>
        <v>20</v>
      </c>
      <c r="K64" s="87">
        <f>'Data till lathund Åtgärder'!D15</f>
        <v>5</v>
      </c>
      <c r="L64" s="87">
        <f>'Data till lathund Åtgärder'!E15</f>
        <v>20</v>
      </c>
      <c r="M64" s="87">
        <f>'Data till lathund Åtgärder'!F15</f>
        <v>30</v>
      </c>
      <c r="N64" s="116" t="str">
        <f>'Data till lathund Åtgärder'!G15</f>
        <v>OK14</v>
      </c>
      <c r="O64" s="116">
        <f>'Data till lathund Åtgärder'!H15</f>
        <v>0</v>
      </c>
    </row>
    <row r="65" spans="8:15" x14ac:dyDescent="0.25">
      <c r="H65" s="78">
        <f>'Data till lathund Åtgärder'!A16</f>
        <v>15</v>
      </c>
      <c r="I65" s="87" t="str">
        <f>'Data till lathund Åtgärder'!B16</f>
        <v>C20/25</v>
      </c>
      <c r="J65" s="87">
        <f>'Data till lathund Åtgärder'!C16</f>
        <v>20</v>
      </c>
      <c r="K65" s="87">
        <f>'Data till lathund Åtgärder'!D16</f>
        <v>5</v>
      </c>
      <c r="L65" s="87">
        <f>'Data till lathund Åtgärder'!E16</f>
        <v>20</v>
      </c>
      <c r="M65" s="87">
        <f>'Data till lathund Åtgärder'!F16</f>
        <v>50</v>
      </c>
      <c r="N65" s="116" t="str">
        <f>'Data till lathund Åtgärder'!G16</f>
        <v>OK14</v>
      </c>
      <c r="O65" s="116">
        <f>'Data till lathund Åtgärder'!H16</f>
        <v>0</v>
      </c>
    </row>
    <row r="66" spans="8:15" x14ac:dyDescent="0.25">
      <c r="H66" s="78">
        <f>'Data till lathund Åtgärder'!A17</f>
        <v>16</v>
      </c>
      <c r="I66" s="87" t="str">
        <f>'Data till lathund Åtgärder'!B17</f>
        <v>C25/30</v>
      </c>
      <c r="J66" s="87">
        <f>'Data till lathund Åtgärder'!C17</f>
        <v>15</v>
      </c>
      <c r="K66" s="87">
        <f>'Data till lathund Åtgärder'!D17</f>
        <v>5</v>
      </c>
      <c r="L66" s="87">
        <f>'Data till lathund Åtgärder'!E17</f>
        <v>20</v>
      </c>
      <c r="M66" s="87">
        <f>'Data till lathund Åtgärder'!F17</f>
        <v>30</v>
      </c>
      <c r="N66" s="116" t="str">
        <f>'Data till lathund Åtgärder'!G17</f>
        <v>OK14</v>
      </c>
      <c r="O66" s="116">
        <f>'Data till lathund Åtgärder'!H17</f>
        <v>0</v>
      </c>
    </row>
    <row r="67" spans="8:15" x14ac:dyDescent="0.25">
      <c r="H67" s="78">
        <f>'Data till lathund Åtgärder'!A18</f>
        <v>17</v>
      </c>
      <c r="I67" s="87" t="str">
        <f>'Data till lathund Åtgärder'!B18</f>
        <v>C25/30</v>
      </c>
      <c r="J67" s="87">
        <f>'Data till lathund Åtgärder'!C18</f>
        <v>20</v>
      </c>
      <c r="K67" s="87">
        <f>'Data till lathund Åtgärder'!D18</f>
        <v>5</v>
      </c>
      <c r="L67" s="87">
        <f>'Data till lathund Åtgärder'!E18</f>
        <v>20</v>
      </c>
      <c r="M67" s="87">
        <f>'Data till lathund Åtgärder'!F18</f>
        <v>50</v>
      </c>
      <c r="N67" s="116" t="str">
        <f>'Data till lathund Åtgärder'!G18</f>
        <v>OK14</v>
      </c>
      <c r="O67" s="116">
        <f>'Data till lathund Åtgärder'!H18</f>
        <v>0</v>
      </c>
    </row>
    <row r="68" spans="8:15" x14ac:dyDescent="0.25">
      <c r="H68" s="78">
        <f>'Data till lathund Åtgärder'!A19</f>
        <v>18</v>
      </c>
      <c r="I68" s="87" t="str">
        <f>'Data till lathund Åtgärder'!B19</f>
        <v>C28/35</v>
      </c>
      <c r="J68" s="87">
        <f>'Data till lathund Åtgärder'!C19</f>
        <v>15</v>
      </c>
      <c r="K68" s="87">
        <f>'Data till lathund Åtgärder'!D19</f>
        <v>5</v>
      </c>
      <c r="L68" s="87">
        <f>'Data till lathund Åtgärder'!E19</f>
        <v>20</v>
      </c>
      <c r="M68" s="87">
        <f>'Data till lathund Åtgärder'!F19</f>
        <v>30</v>
      </c>
      <c r="N68" s="116" t="str">
        <f>'Data till lathund Åtgärder'!G19</f>
        <v>OK14</v>
      </c>
      <c r="O68" s="116">
        <f>'Data till lathund Åtgärder'!H19</f>
        <v>0</v>
      </c>
    </row>
    <row r="69" spans="8:15" x14ac:dyDescent="0.25">
      <c r="H69" s="78">
        <f>'Data till lathund Åtgärder'!A20</f>
        <v>19</v>
      </c>
      <c r="I69" s="87" t="str">
        <f>'Data till lathund Åtgärder'!B20</f>
        <v>C28/35</v>
      </c>
      <c r="J69" s="87">
        <f>'Data till lathund Åtgärder'!C20</f>
        <v>15</v>
      </c>
      <c r="K69" s="87">
        <f>'Data till lathund Åtgärder'!D20</f>
        <v>5</v>
      </c>
      <c r="L69" s="87">
        <f>'Data till lathund Åtgärder'!E20</f>
        <v>20</v>
      </c>
      <c r="M69" s="87">
        <f>'Data till lathund Åtgärder'!F20</f>
        <v>50</v>
      </c>
      <c r="N69" s="116" t="str">
        <f>'Data till lathund Åtgärder'!G20</f>
        <v>OK14</v>
      </c>
      <c r="O69" s="116">
        <f>'Data till lathund Åtgärder'!H20</f>
        <v>0</v>
      </c>
    </row>
    <row r="70" spans="8:15" x14ac:dyDescent="0.25">
      <c r="H70" s="78">
        <f>'Data till lathund Åtgärder'!A21</f>
        <v>20</v>
      </c>
      <c r="I70" s="87" t="str">
        <f>'Data till lathund Åtgärder'!B21</f>
        <v>C35/45</v>
      </c>
      <c r="J70" s="87">
        <f>'Data till lathund Åtgärder'!C21</f>
        <v>10</v>
      </c>
      <c r="K70" s="87">
        <f>'Data till lathund Åtgärder'!D21</f>
        <v>5</v>
      </c>
      <c r="L70" s="87">
        <f>'Data till lathund Åtgärder'!E21</f>
        <v>20</v>
      </c>
      <c r="M70" s="87">
        <f>'Data till lathund Åtgärder'!F21</f>
        <v>50</v>
      </c>
      <c r="N70" s="116" t="str">
        <f>'Data till lathund Åtgärder'!G21</f>
        <v>OK14</v>
      </c>
      <c r="O70" s="116">
        <f>'Data till lathund Åtgärder'!H21</f>
        <v>0</v>
      </c>
    </row>
    <row r="71" spans="8:15" x14ac:dyDescent="0.25">
      <c r="H71" s="78">
        <f>'Data till lathund Åtgärder'!A22</f>
        <v>21</v>
      </c>
      <c r="I71" s="87" t="str">
        <f>'Data till lathund Åtgärder'!B22</f>
        <v>C40/50</v>
      </c>
      <c r="J71" s="87">
        <f>'Data till lathund Åtgärder'!C22</f>
        <v>10</v>
      </c>
      <c r="K71" s="87">
        <f>'Data till lathund Åtgärder'!D22</f>
        <v>5</v>
      </c>
      <c r="L71" s="87">
        <f>'Data till lathund Åtgärder'!E22</f>
        <v>20</v>
      </c>
      <c r="M71" s="87">
        <f>'Data till lathund Åtgärder'!F22</f>
        <v>50</v>
      </c>
      <c r="N71" s="116">
        <f>'Data till lathund Åtgärder'!G22</f>
        <v>0</v>
      </c>
      <c r="O71" s="116" t="str">
        <f>'Data till lathund Åtgärder'!H22</f>
        <v>OK21</v>
      </c>
    </row>
    <row r="72" spans="8:15" x14ac:dyDescent="0.25">
      <c r="H72" s="78">
        <f>'Data till lathund Åtgärder'!A23</f>
        <v>22</v>
      </c>
      <c r="I72" s="87" t="str">
        <f>'Data till lathund Åtgärder'!B23</f>
        <v>C40/50</v>
      </c>
      <c r="J72" s="87">
        <f>'Data till lathund Åtgärder'!C23</f>
        <v>15</v>
      </c>
      <c r="K72" s="87">
        <f>'Data till lathund Åtgärder'!D23</f>
        <v>5</v>
      </c>
      <c r="L72" s="87">
        <f>'Data till lathund Åtgärder'!E23</f>
        <v>20</v>
      </c>
      <c r="M72" s="87">
        <f>'Data till lathund Åtgärder'!F23</f>
        <v>50</v>
      </c>
      <c r="N72" s="116">
        <f>'Data till lathund Åtgärder'!G23</f>
        <v>0</v>
      </c>
      <c r="O72" s="116" t="str">
        <f>'Data till lathund Åtgärder'!H23</f>
        <v>OK21</v>
      </c>
    </row>
    <row r="73" spans="8:15" x14ac:dyDescent="0.25">
      <c r="H73" s="78">
        <f>'Data till lathund Åtgärder'!A24</f>
        <v>23</v>
      </c>
      <c r="I73" s="87" t="str">
        <f>'Data till lathund Åtgärder'!B24</f>
        <v>-</v>
      </c>
      <c r="J73" s="87" t="str">
        <f>'Data till lathund Åtgärder'!C24</f>
        <v>-</v>
      </c>
      <c r="K73" s="87" t="str">
        <f>'Data till lathund Åtgärder'!D24</f>
        <v>-</v>
      </c>
      <c r="L73" s="87" t="str">
        <f>'Data till lathund Åtgärder'!E24</f>
        <v>-</v>
      </c>
      <c r="M73" s="87" t="str">
        <f>'Data till lathund Åtgärder'!F24</f>
        <v>-</v>
      </c>
      <c r="N73" s="117">
        <f>'Data till lathund Åtgärder'!G24</f>
        <v>0</v>
      </c>
      <c r="O73" s="117">
        <f>'Data till lathund Åtgärder'!H24</f>
        <v>0</v>
      </c>
    </row>
    <row r="75" spans="8:15" x14ac:dyDescent="0.25">
      <c r="H75" s="90" t="s">
        <v>106</v>
      </c>
      <c r="I75" s="91" t="s">
        <v>107</v>
      </c>
      <c r="J75" s="92" t="s">
        <v>108</v>
      </c>
      <c r="K75" s="20" t="s">
        <v>109</v>
      </c>
      <c r="L75" s="93" t="s">
        <v>1</v>
      </c>
    </row>
    <row r="76" spans="8:15" x14ac:dyDescent="0.25">
      <c r="H76" s="87">
        <v>20</v>
      </c>
      <c r="I76" s="105">
        <v>0</v>
      </c>
      <c r="J76" s="106">
        <f t="shared" ref="J76:J84" si="0">I76+H76</f>
        <v>20</v>
      </c>
      <c r="K76" s="99">
        <v>20</v>
      </c>
      <c r="L76" s="100">
        <v>15</v>
      </c>
    </row>
    <row r="77" spans="8:15" x14ac:dyDescent="0.25">
      <c r="H77" s="87">
        <v>15</v>
      </c>
      <c r="I77" s="105">
        <v>0</v>
      </c>
      <c r="J77" s="106">
        <f t="shared" si="0"/>
        <v>15</v>
      </c>
      <c r="K77" s="99">
        <v>15</v>
      </c>
      <c r="L77" s="100">
        <v>15</v>
      </c>
    </row>
    <row r="78" spans="8:15" x14ac:dyDescent="0.25">
      <c r="H78" s="87">
        <v>10</v>
      </c>
      <c r="I78" s="105">
        <v>20</v>
      </c>
      <c r="J78" s="106">
        <f t="shared" si="0"/>
        <v>30</v>
      </c>
      <c r="K78" s="99">
        <v>10</v>
      </c>
      <c r="L78" s="100">
        <v>15</v>
      </c>
    </row>
    <row r="79" spans="8:15" x14ac:dyDescent="0.25">
      <c r="H79" s="87">
        <v>5</v>
      </c>
      <c r="I79" s="105">
        <v>20</v>
      </c>
      <c r="J79" s="106">
        <f t="shared" si="0"/>
        <v>25</v>
      </c>
      <c r="K79" s="99">
        <v>5</v>
      </c>
      <c r="L79" s="100">
        <v>20</v>
      </c>
    </row>
    <row r="80" spans="8:15" x14ac:dyDescent="0.25">
      <c r="H80" s="87">
        <v>0</v>
      </c>
      <c r="I80" s="105">
        <v>20</v>
      </c>
      <c r="J80" s="106">
        <f t="shared" si="0"/>
        <v>20</v>
      </c>
      <c r="K80" s="99">
        <v>5</v>
      </c>
      <c r="L80" s="100">
        <v>20</v>
      </c>
    </row>
    <row r="81" spans="8:12" x14ac:dyDescent="0.25">
      <c r="H81" s="87">
        <v>-5</v>
      </c>
      <c r="I81" s="105">
        <v>20</v>
      </c>
      <c r="J81" s="106">
        <f t="shared" si="0"/>
        <v>15</v>
      </c>
      <c r="K81" s="99">
        <v>5</v>
      </c>
      <c r="L81" s="100">
        <v>20</v>
      </c>
    </row>
    <row r="82" spans="8:12" x14ac:dyDescent="0.25">
      <c r="H82" s="87">
        <v>-10</v>
      </c>
      <c r="I82" s="105">
        <v>20</v>
      </c>
      <c r="J82" s="106">
        <f t="shared" si="0"/>
        <v>10</v>
      </c>
      <c r="K82" s="99">
        <v>5</v>
      </c>
      <c r="L82" s="100">
        <v>20</v>
      </c>
    </row>
    <row r="83" spans="8:12" x14ac:dyDescent="0.25">
      <c r="H83" s="87">
        <v>-15</v>
      </c>
      <c r="I83" s="105">
        <v>20</v>
      </c>
      <c r="J83" s="106">
        <f t="shared" si="0"/>
        <v>5</v>
      </c>
      <c r="K83" s="99">
        <v>5</v>
      </c>
      <c r="L83" s="100">
        <v>15</v>
      </c>
    </row>
    <row r="84" spans="8:12" x14ac:dyDescent="0.25">
      <c r="H84" s="101">
        <v>-20</v>
      </c>
      <c r="I84" s="107">
        <v>20</v>
      </c>
      <c r="J84" s="108">
        <f t="shared" si="0"/>
        <v>0</v>
      </c>
      <c r="K84" s="99">
        <v>5</v>
      </c>
      <c r="L84" s="104">
        <v>10</v>
      </c>
    </row>
  </sheetData>
  <phoneticPr fontId="3" type="noConversion"/>
  <conditionalFormatting sqref="C2:F46 H51:H72">
    <cfRule type="colorScale" priority="3">
      <colorScale>
        <cfvo type="num" val="1"/>
        <cfvo type="percentile" val="50"/>
        <cfvo type="num" val="22"/>
        <color rgb="FF63BE7B"/>
        <color rgb="FFFFEB84"/>
        <color rgb="FFF8696B"/>
      </colorScale>
    </cfRule>
  </conditionalFormatting>
  <conditionalFormatting sqref="C2:F46 H73">
    <cfRule type="containsText" dxfId="0" priority="2" operator="containsText" text="23">
      <formula>NOT(ISERROR(SEARCH("23",C2)))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dimension ref="A1:L19"/>
  <sheetViews>
    <sheetView workbookViewId="0">
      <selection activeCell="G3" sqref="G3"/>
    </sheetView>
  </sheetViews>
  <sheetFormatPr defaultRowHeight="15" x14ac:dyDescent="0.25"/>
  <cols>
    <col min="2" max="2" width="20.140625" customWidth="1"/>
    <col min="3" max="3" width="25.85546875" customWidth="1"/>
    <col min="4" max="4" width="18" customWidth="1"/>
    <col min="5" max="5" width="22.28515625" customWidth="1"/>
    <col min="6" max="6" width="13.5703125" customWidth="1"/>
    <col min="7" max="7" width="19.140625" customWidth="1"/>
    <col min="8" max="8" width="29.140625" customWidth="1"/>
    <col min="9" max="9" width="17.140625" customWidth="1"/>
    <col min="10" max="10" width="26.85546875" bestFit="1" customWidth="1"/>
    <col min="11" max="11" width="18.7109375" bestFit="1" customWidth="1"/>
  </cols>
  <sheetData>
    <row r="1" spans="1:12" ht="27" thickBot="1" x14ac:dyDescent="0.3">
      <c r="A1" s="109" t="s">
        <v>93</v>
      </c>
      <c r="B1" s="110" t="s">
        <v>1</v>
      </c>
      <c r="C1" t="s">
        <v>2</v>
      </c>
      <c r="D1" t="s">
        <v>3</v>
      </c>
      <c r="E1" t="s">
        <v>4</v>
      </c>
      <c r="F1" t="s">
        <v>110</v>
      </c>
      <c r="G1" t="s">
        <v>111</v>
      </c>
    </row>
    <row r="2" spans="1:12" x14ac:dyDescent="0.25">
      <c r="A2" s="91" t="s">
        <v>14</v>
      </c>
      <c r="B2" t="s">
        <v>14</v>
      </c>
      <c r="C2">
        <v>5</v>
      </c>
      <c r="D2">
        <v>0</v>
      </c>
      <c r="E2">
        <v>0</v>
      </c>
      <c r="F2" t="s">
        <v>16</v>
      </c>
      <c r="G2" t="s">
        <v>63</v>
      </c>
    </row>
    <row r="3" spans="1:12" x14ac:dyDescent="0.25">
      <c r="A3" s="111" t="s">
        <v>13</v>
      </c>
      <c r="B3" s="112">
        <v>10</v>
      </c>
      <c r="C3">
        <v>10</v>
      </c>
      <c r="D3">
        <v>5</v>
      </c>
      <c r="E3" t="s">
        <v>33</v>
      </c>
      <c r="H3" s="90" t="s">
        <v>112</v>
      </c>
      <c r="I3" s="95" t="s">
        <v>113</v>
      </c>
    </row>
    <row r="4" spans="1:12" x14ac:dyDescent="0.25">
      <c r="A4" s="111" t="s">
        <v>71</v>
      </c>
      <c r="B4" s="112">
        <v>15</v>
      </c>
      <c r="C4">
        <v>15</v>
      </c>
      <c r="D4">
        <v>10</v>
      </c>
      <c r="E4">
        <v>10</v>
      </c>
      <c r="H4" s="89" t="s">
        <v>114</v>
      </c>
      <c r="I4" s="88" t="s">
        <v>115</v>
      </c>
    </row>
    <row r="5" spans="1:12" x14ac:dyDescent="0.25">
      <c r="A5" s="111" t="s">
        <v>40</v>
      </c>
      <c r="B5" s="112">
        <v>20</v>
      </c>
      <c r="C5">
        <v>20</v>
      </c>
      <c r="D5">
        <v>15</v>
      </c>
      <c r="E5">
        <v>20</v>
      </c>
      <c r="H5" s="89" t="s">
        <v>116</v>
      </c>
      <c r="I5" s="88" t="s">
        <v>117</v>
      </c>
    </row>
    <row r="6" spans="1:12" x14ac:dyDescent="0.25">
      <c r="A6" s="111" t="s">
        <v>118</v>
      </c>
      <c r="B6" s="112">
        <v>25</v>
      </c>
      <c r="C6" t="s">
        <v>14</v>
      </c>
      <c r="D6">
        <v>20</v>
      </c>
      <c r="E6">
        <v>30</v>
      </c>
      <c r="H6" s="89" t="s">
        <v>119</v>
      </c>
      <c r="I6" s="88" t="s">
        <v>120</v>
      </c>
    </row>
    <row r="7" spans="1:12" x14ac:dyDescent="0.25">
      <c r="A7" s="111" t="s">
        <v>121</v>
      </c>
      <c r="B7" s="112"/>
      <c r="D7" t="s">
        <v>14</v>
      </c>
      <c r="E7">
        <v>50</v>
      </c>
      <c r="H7" s="89" t="s">
        <v>122</v>
      </c>
      <c r="I7" s="88"/>
    </row>
    <row r="8" spans="1:12" x14ac:dyDescent="0.25">
      <c r="A8" s="111" t="s">
        <v>42</v>
      </c>
      <c r="B8" s="112"/>
      <c r="E8">
        <v>100</v>
      </c>
      <c r="H8" s="94" t="s">
        <v>123</v>
      </c>
      <c r="I8" s="96" t="s">
        <v>124</v>
      </c>
    </row>
    <row r="9" spans="1:12" x14ac:dyDescent="0.25">
      <c r="A9" s="111" t="s">
        <v>61</v>
      </c>
      <c r="E9" t="s">
        <v>14</v>
      </c>
    </row>
    <row r="10" spans="1:12" x14ac:dyDescent="0.25">
      <c r="H10" s="90" t="s">
        <v>106</v>
      </c>
      <c r="I10" s="91" t="s">
        <v>107</v>
      </c>
      <c r="J10" s="92" t="s">
        <v>108</v>
      </c>
      <c r="K10" s="20" t="s">
        <v>109</v>
      </c>
      <c r="L10" s="93" t="s">
        <v>1</v>
      </c>
    </row>
    <row r="11" spans="1:12" x14ac:dyDescent="0.25">
      <c r="H11" s="87">
        <v>20</v>
      </c>
      <c r="I11" s="97">
        <v>0</v>
      </c>
      <c r="J11" s="98">
        <f t="shared" ref="J11:J19" si="0">I11+H11</f>
        <v>20</v>
      </c>
      <c r="K11" s="99">
        <v>20</v>
      </c>
      <c r="L11" s="100">
        <v>15</v>
      </c>
    </row>
    <row r="12" spans="1:12" x14ac:dyDescent="0.25">
      <c r="H12" s="87">
        <v>15</v>
      </c>
      <c r="I12" s="97">
        <v>5</v>
      </c>
      <c r="J12" s="98">
        <f t="shared" si="0"/>
        <v>20</v>
      </c>
      <c r="K12" s="99">
        <v>15</v>
      </c>
      <c r="L12" s="100">
        <v>15</v>
      </c>
    </row>
    <row r="13" spans="1:12" x14ac:dyDescent="0.25">
      <c r="H13" s="87">
        <v>10</v>
      </c>
      <c r="I13" s="97">
        <v>10</v>
      </c>
      <c r="J13" s="98">
        <f t="shared" si="0"/>
        <v>20</v>
      </c>
      <c r="K13" s="99">
        <v>10</v>
      </c>
      <c r="L13" s="100">
        <v>15</v>
      </c>
    </row>
    <row r="14" spans="1:12" x14ac:dyDescent="0.25">
      <c r="H14" s="87">
        <v>5</v>
      </c>
      <c r="I14" s="97">
        <v>15</v>
      </c>
      <c r="J14" s="98">
        <f t="shared" si="0"/>
        <v>20</v>
      </c>
      <c r="K14" s="99">
        <v>5</v>
      </c>
      <c r="L14" s="100">
        <v>20</v>
      </c>
    </row>
    <row r="15" spans="1:12" x14ac:dyDescent="0.25">
      <c r="H15" s="87">
        <v>0</v>
      </c>
      <c r="I15" s="97">
        <v>20</v>
      </c>
      <c r="J15" s="98">
        <f t="shared" si="0"/>
        <v>20</v>
      </c>
      <c r="K15" s="99">
        <v>5</v>
      </c>
      <c r="L15" s="100">
        <v>20</v>
      </c>
    </row>
    <row r="16" spans="1:12" x14ac:dyDescent="0.25">
      <c r="H16" s="87">
        <v>-5</v>
      </c>
      <c r="I16" s="97">
        <v>20</v>
      </c>
      <c r="J16" s="98">
        <f t="shared" si="0"/>
        <v>15</v>
      </c>
      <c r="K16" s="99">
        <v>5</v>
      </c>
      <c r="L16" s="100">
        <v>20</v>
      </c>
    </row>
    <row r="17" spans="8:12" x14ac:dyDescent="0.25">
      <c r="H17" s="87">
        <v>-10</v>
      </c>
      <c r="I17" s="97">
        <v>20</v>
      </c>
      <c r="J17" s="98">
        <f t="shared" si="0"/>
        <v>10</v>
      </c>
      <c r="K17" s="99">
        <v>5</v>
      </c>
      <c r="L17" s="100">
        <v>20</v>
      </c>
    </row>
    <row r="18" spans="8:12" x14ac:dyDescent="0.25">
      <c r="H18" s="87">
        <v>-15</v>
      </c>
      <c r="I18" s="97">
        <v>20</v>
      </c>
      <c r="J18" s="98">
        <f t="shared" si="0"/>
        <v>5</v>
      </c>
      <c r="K18" s="99">
        <v>5</v>
      </c>
      <c r="L18" s="100">
        <v>15</v>
      </c>
    </row>
    <row r="19" spans="8:12" x14ac:dyDescent="0.25">
      <c r="H19" s="101">
        <v>-20</v>
      </c>
      <c r="I19" s="102">
        <v>20</v>
      </c>
      <c r="J19" s="103">
        <f t="shared" si="0"/>
        <v>0</v>
      </c>
      <c r="K19" s="99">
        <v>5</v>
      </c>
      <c r="L19" s="104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Props1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AA580D-6ACC-4B8F-873B-22BA6ACC56E7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1e800367-2c34-4d12-acc1-86a7242367eb"/>
    <ds:schemaRef ds:uri="http://purl.org/dc/dcmitype/"/>
    <ds:schemaRef ds:uri="07b9f31b-60f6-4aad-8cdf-b09de99c40f0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Bjälklag (10% slagg)</vt:lpstr>
      <vt:lpstr>Bjälklag (20% slagg)</vt:lpstr>
      <vt:lpstr>Bjälklag (30% slagg)</vt:lpstr>
      <vt:lpstr>Bjälklag (40% slagg)</vt:lpstr>
      <vt:lpstr>Data till Lathund, Kådgenererin</vt:lpstr>
      <vt:lpstr>Data till lathund Åtgärder</vt:lpstr>
      <vt:lpstr>Lathund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2026-04-22T20:03:51Z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