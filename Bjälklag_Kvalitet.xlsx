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8_{E760A9B5-177A-4A8D-9CB1-12623895DCA1}" xr6:coauthVersionLast="47" xr6:coauthVersionMax="47" xr10:uidLastSave="{00000000-0000-0000-0000-000000000000}"/>
  <bookViews>
    <workbookView xWindow="-120" yWindow="-120" windowWidth="29040" windowHeight="15840" tabRatio="788" firstSheet="5" activeTab="5" xr2:uid="{3000DFAE-FC4D-4193-A0F9-3BF5B0CC613D}"/>
  </bookViews>
  <sheets>
    <sheet name="Bjälklag (C20-25)" sheetId="21" r:id="rId1"/>
    <sheet name="Bjälklag (C25-30)" sheetId="20" r:id="rId2"/>
    <sheet name="Bjälklag (C28-35)" sheetId="19" r:id="rId3"/>
    <sheet name="Bjälklag (C30-37)" sheetId="18" r:id="rId4"/>
    <sheet name="Bjälklag (C32-40)" sheetId="17" r:id="rId5"/>
    <sheet name="Bjälklag (C35-45)" sheetId="22" r:id="rId6"/>
    <sheet name="Bjälklag (C40-50)" sheetId="11" r:id="rId7"/>
    <sheet name="Data till Lathund, Kådgenererin" sheetId="5" r:id="rId8"/>
    <sheet name="Lathund" sheetId="7" r:id="rId9"/>
    <sheet name="Data till lathund Åtgärder" sheetId="6" r:id="rId10"/>
    <sheet name="Förutsättningar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N3" i="5" s="1"/>
  <c r="I4" i="6"/>
  <c r="N4" i="5" s="1"/>
  <c r="I7" i="6"/>
  <c r="I5" i="6"/>
  <c r="N5" i="5" s="1"/>
  <c r="I11" i="6"/>
  <c r="I10" i="6"/>
  <c r="I9" i="6"/>
  <c r="I8" i="6"/>
  <c r="I6" i="6"/>
  <c r="I12" i="6"/>
  <c r="I13" i="6"/>
  <c r="I14" i="6"/>
  <c r="I15" i="6"/>
  <c r="N15" i="5" s="1"/>
  <c r="I16" i="6"/>
  <c r="I17" i="6"/>
  <c r="N17" i="5" s="1"/>
  <c r="I18" i="6"/>
  <c r="N18" i="5" s="1"/>
  <c r="I19" i="6"/>
  <c r="N19" i="5" s="1"/>
  <c r="I20" i="6"/>
  <c r="N20" i="5" s="1"/>
  <c r="I21" i="6"/>
  <c r="N21" i="5" s="1"/>
  <c r="I22" i="6"/>
  <c r="N22" i="5" s="1"/>
  <c r="I23" i="6"/>
  <c r="N23" i="5" s="1"/>
  <c r="I24" i="6"/>
  <c r="N24" i="5" s="1"/>
  <c r="H28" i="6"/>
  <c r="J28" i="6" s="1"/>
  <c r="H29" i="6"/>
  <c r="J29" i="6" s="1"/>
  <c r="H30" i="6"/>
  <c r="J30" i="6" s="1"/>
  <c r="H31" i="6"/>
  <c r="J31" i="6" s="1"/>
  <c r="H32" i="6"/>
  <c r="J32" i="6" s="1"/>
  <c r="H33" i="6"/>
  <c r="J33" i="6" s="1"/>
  <c r="H34" i="6"/>
  <c r="J34" i="6" s="1"/>
  <c r="H35" i="6"/>
  <c r="J35" i="6" s="1"/>
  <c r="H36" i="6"/>
  <c r="J36" i="6" s="1"/>
  <c r="H37" i="6"/>
  <c r="J37" i="6" s="1"/>
  <c r="H38" i="6"/>
  <c r="J38" i="6" s="1"/>
  <c r="H39" i="6"/>
  <c r="J39" i="6" s="1"/>
  <c r="H40" i="6"/>
  <c r="J40" i="6" s="1"/>
  <c r="H41" i="6"/>
  <c r="J41" i="6" s="1"/>
  <c r="H42" i="6"/>
  <c r="J42" i="6" s="1"/>
  <c r="H43" i="6"/>
  <c r="J43" i="6" s="1"/>
  <c r="H44" i="6"/>
  <c r="J44" i="6" s="1"/>
  <c r="H45" i="6"/>
  <c r="J45" i="6" s="1"/>
  <c r="H46" i="6"/>
  <c r="J46" i="6" s="1"/>
  <c r="H47" i="6"/>
  <c r="J47" i="6" s="1"/>
  <c r="H48" i="6"/>
  <c r="J48" i="6" s="1"/>
  <c r="H49" i="6"/>
  <c r="J49" i="6" s="1"/>
  <c r="H27" i="6"/>
  <c r="J27" i="6" s="1"/>
  <c r="B43" i="22"/>
  <c r="C43" i="22"/>
  <c r="J4" i="6"/>
  <c r="J7" i="6"/>
  <c r="J12" i="6"/>
  <c r="J13" i="6"/>
  <c r="J14" i="6"/>
  <c r="J15" i="6"/>
  <c r="J16" i="6"/>
  <c r="J18" i="6"/>
  <c r="J24" i="6"/>
  <c r="J21" i="6"/>
  <c r="J23" i="6"/>
  <c r="J17" i="6"/>
  <c r="J20" i="6"/>
  <c r="J10" i="6"/>
  <c r="J11" i="6"/>
  <c r="J5" i="6"/>
  <c r="J9" i="6"/>
  <c r="J19" i="6"/>
  <c r="J8" i="6"/>
  <c r="J22" i="6"/>
  <c r="J6" i="6"/>
  <c r="I2" i="6"/>
  <c r="N2" i="5" s="1"/>
  <c r="J2" i="6"/>
  <c r="M25" i="5"/>
  <c r="I2" i="5"/>
  <c r="N295" i="5" s="1"/>
  <c r="I3" i="5"/>
  <c r="N296" i="5" s="1"/>
  <c r="I4" i="5"/>
  <c r="N297" i="5" s="1"/>
  <c r="I5" i="5"/>
  <c r="N298" i="5" s="1"/>
  <c r="I6" i="5"/>
  <c r="N299" i="5" s="1"/>
  <c r="I7" i="5"/>
  <c r="N300" i="5" s="1"/>
  <c r="I8" i="5"/>
  <c r="N301" i="5" s="1"/>
  <c r="I9" i="5"/>
  <c r="N302" i="5" s="1"/>
  <c r="I10" i="5"/>
  <c r="N303" i="5" s="1"/>
  <c r="I11" i="5"/>
  <c r="N304" i="5" s="1"/>
  <c r="I12" i="5"/>
  <c r="N305" i="5" s="1"/>
  <c r="I13" i="5"/>
  <c r="N306" i="5" s="1"/>
  <c r="I14" i="5"/>
  <c r="N307" i="5" s="1"/>
  <c r="I15" i="5"/>
  <c r="N308" i="5" s="1"/>
  <c r="I16" i="5"/>
  <c r="N309" i="5" s="1"/>
  <c r="I17" i="5"/>
  <c r="N310" i="5" s="1"/>
  <c r="I18" i="5"/>
  <c r="N311" i="5" s="1"/>
  <c r="I19" i="5"/>
  <c r="N312" i="5" s="1"/>
  <c r="I20" i="5"/>
  <c r="N313" i="5" s="1"/>
  <c r="I21" i="5"/>
  <c r="N314" i="5" s="1"/>
  <c r="I22" i="5"/>
  <c r="N315" i="5" s="1"/>
  <c r="I23" i="5"/>
  <c r="N316" i="5" s="1"/>
  <c r="I24" i="5"/>
  <c r="N317" i="5" s="1"/>
  <c r="I25" i="5"/>
  <c r="N318" i="5" s="1"/>
  <c r="I26" i="5"/>
  <c r="N319" i="5" s="1"/>
  <c r="I27" i="5"/>
  <c r="N320" i="5" s="1"/>
  <c r="I28" i="5"/>
  <c r="N321" i="5" s="1"/>
  <c r="I29" i="5"/>
  <c r="N322" i="5" s="1"/>
  <c r="I30" i="5"/>
  <c r="N323" i="5" s="1"/>
  <c r="I31" i="5"/>
  <c r="N324" i="5" s="1"/>
  <c r="I32" i="5"/>
  <c r="N325" i="5" s="1"/>
  <c r="I33" i="5"/>
  <c r="N326" i="5" s="1"/>
  <c r="I34" i="5"/>
  <c r="N327" i="5" s="1"/>
  <c r="I35" i="5"/>
  <c r="N328" i="5" s="1"/>
  <c r="I37" i="5"/>
  <c r="N330" i="5" s="1"/>
  <c r="I38" i="5"/>
  <c r="N331" i="5" s="1"/>
  <c r="I42" i="5"/>
  <c r="N335" i="5" s="1"/>
  <c r="I43" i="5"/>
  <c r="N336" i="5" s="1"/>
  <c r="H2" i="5"/>
  <c r="N250" i="5" s="1"/>
  <c r="H3" i="5"/>
  <c r="N251" i="5" s="1"/>
  <c r="H4" i="5"/>
  <c r="N252" i="5" s="1"/>
  <c r="H5" i="5"/>
  <c r="N253" i="5" s="1"/>
  <c r="H6" i="5"/>
  <c r="N254" i="5" s="1"/>
  <c r="H7" i="5"/>
  <c r="N255" i="5" s="1"/>
  <c r="H8" i="5"/>
  <c r="N256" i="5" s="1"/>
  <c r="H9" i="5"/>
  <c r="N257" i="5" s="1"/>
  <c r="H10" i="5"/>
  <c r="N258" i="5" s="1"/>
  <c r="H11" i="5"/>
  <c r="N259" i="5" s="1"/>
  <c r="H12" i="5"/>
  <c r="N260" i="5" s="1"/>
  <c r="H13" i="5"/>
  <c r="N261" i="5" s="1"/>
  <c r="H14" i="5"/>
  <c r="N262" i="5" s="1"/>
  <c r="H15" i="5"/>
  <c r="N263" i="5" s="1"/>
  <c r="H16" i="5"/>
  <c r="N264" i="5" s="1"/>
  <c r="H17" i="5"/>
  <c r="N265" i="5" s="1"/>
  <c r="H18" i="5"/>
  <c r="N266" i="5" s="1"/>
  <c r="H19" i="5"/>
  <c r="N267" i="5" s="1"/>
  <c r="H20" i="5"/>
  <c r="N268" i="5" s="1"/>
  <c r="H21" i="5"/>
  <c r="N269" i="5" s="1"/>
  <c r="H22" i="5"/>
  <c r="N270" i="5" s="1"/>
  <c r="H23" i="5"/>
  <c r="N271" i="5" s="1"/>
  <c r="H24" i="5"/>
  <c r="N272" i="5" s="1"/>
  <c r="H25" i="5"/>
  <c r="N273" i="5" s="1"/>
  <c r="H26" i="5"/>
  <c r="N274" i="5" s="1"/>
  <c r="H27" i="5"/>
  <c r="N275" i="5" s="1"/>
  <c r="H28" i="5"/>
  <c r="N276" i="5" s="1"/>
  <c r="H29" i="5"/>
  <c r="N277" i="5" s="1"/>
  <c r="H30" i="5"/>
  <c r="N278" i="5" s="1"/>
  <c r="H31" i="5"/>
  <c r="N279" i="5" s="1"/>
  <c r="H32" i="5"/>
  <c r="N280" i="5" s="1"/>
  <c r="H33" i="5"/>
  <c r="N281" i="5" s="1"/>
  <c r="H34" i="5"/>
  <c r="N282" i="5" s="1"/>
  <c r="H35" i="5"/>
  <c r="N283" i="5" s="1"/>
  <c r="H36" i="5"/>
  <c r="N284" i="5" s="1"/>
  <c r="H37" i="5"/>
  <c r="N285" i="5" s="1"/>
  <c r="H38" i="5"/>
  <c r="N286" i="5" s="1"/>
  <c r="H39" i="5"/>
  <c r="N287" i="5" s="1"/>
  <c r="H40" i="5"/>
  <c r="N288" i="5" s="1"/>
  <c r="H41" i="5"/>
  <c r="N289" i="5" s="1"/>
  <c r="H44" i="5"/>
  <c r="N292" i="5" s="1"/>
  <c r="H45" i="5"/>
  <c r="N293" i="5" s="1"/>
  <c r="H46" i="5"/>
  <c r="N294" i="5" s="1"/>
  <c r="G2" i="5"/>
  <c r="N205" i="5" s="1"/>
  <c r="G3" i="5"/>
  <c r="N206" i="5" s="1"/>
  <c r="G4" i="5"/>
  <c r="N207" i="5" s="1"/>
  <c r="G5" i="5"/>
  <c r="N208" i="5" s="1"/>
  <c r="G6" i="5"/>
  <c r="N209" i="5" s="1"/>
  <c r="G7" i="5"/>
  <c r="N210" i="5" s="1"/>
  <c r="G8" i="5"/>
  <c r="N211" i="5" s="1"/>
  <c r="G9" i="5"/>
  <c r="N212" i="5" s="1"/>
  <c r="G10" i="5"/>
  <c r="N213" i="5" s="1"/>
  <c r="G11" i="5"/>
  <c r="N214" i="5" s="1"/>
  <c r="G12" i="5"/>
  <c r="N215" i="5" s="1"/>
  <c r="G13" i="5"/>
  <c r="N216" i="5" s="1"/>
  <c r="G14" i="5"/>
  <c r="N217" i="5" s="1"/>
  <c r="G15" i="5"/>
  <c r="N218" i="5" s="1"/>
  <c r="G16" i="5"/>
  <c r="N219" i="5" s="1"/>
  <c r="G17" i="5"/>
  <c r="N220" i="5" s="1"/>
  <c r="G18" i="5"/>
  <c r="N221" i="5" s="1"/>
  <c r="G19" i="5"/>
  <c r="N222" i="5" s="1"/>
  <c r="G20" i="5"/>
  <c r="N223" i="5" s="1"/>
  <c r="G21" i="5"/>
  <c r="N224" i="5" s="1"/>
  <c r="G22" i="5"/>
  <c r="N225" i="5" s="1"/>
  <c r="G23" i="5"/>
  <c r="N226" i="5" s="1"/>
  <c r="G24" i="5"/>
  <c r="N227" i="5" s="1"/>
  <c r="G25" i="5"/>
  <c r="N228" i="5" s="1"/>
  <c r="G26" i="5"/>
  <c r="N229" i="5" s="1"/>
  <c r="G27" i="5"/>
  <c r="N230" i="5" s="1"/>
  <c r="G28" i="5"/>
  <c r="N231" i="5" s="1"/>
  <c r="G29" i="5"/>
  <c r="N232" i="5" s="1"/>
  <c r="G30" i="5"/>
  <c r="N233" i="5" s="1"/>
  <c r="G31" i="5"/>
  <c r="N234" i="5" s="1"/>
  <c r="G32" i="5"/>
  <c r="N235" i="5" s="1"/>
  <c r="G33" i="5"/>
  <c r="N236" i="5" s="1"/>
  <c r="G34" i="5"/>
  <c r="N237" i="5" s="1"/>
  <c r="G35" i="5"/>
  <c r="N238" i="5" s="1"/>
  <c r="G36" i="5"/>
  <c r="N239" i="5" s="1"/>
  <c r="G37" i="5"/>
  <c r="N240" i="5" s="1"/>
  <c r="G38" i="5"/>
  <c r="N241" i="5" s="1"/>
  <c r="G39" i="5"/>
  <c r="N242" i="5" s="1"/>
  <c r="G40" i="5"/>
  <c r="N243" i="5" s="1"/>
  <c r="G41" i="5"/>
  <c r="N244" i="5" s="1"/>
  <c r="G42" i="5"/>
  <c r="N245" i="5" s="1"/>
  <c r="G43" i="5"/>
  <c r="N246" i="5" s="1"/>
  <c r="G44" i="5"/>
  <c r="N247" i="5" s="1"/>
  <c r="G45" i="5"/>
  <c r="N248" i="5" s="1"/>
  <c r="G46" i="5"/>
  <c r="N249" i="5" s="1"/>
  <c r="F2" i="5"/>
  <c r="N160" i="5" s="1"/>
  <c r="F3" i="5"/>
  <c r="N161" i="5" s="1"/>
  <c r="F4" i="5"/>
  <c r="N162" i="5" s="1"/>
  <c r="F5" i="5"/>
  <c r="N163" i="5" s="1"/>
  <c r="F6" i="5"/>
  <c r="N164" i="5" s="1"/>
  <c r="F7" i="5"/>
  <c r="N165" i="5" s="1"/>
  <c r="F8" i="5"/>
  <c r="N166" i="5" s="1"/>
  <c r="F9" i="5"/>
  <c r="N167" i="5" s="1"/>
  <c r="F10" i="5"/>
  <c r="N168" i="5" s="1"/>
  <c r="F11" i="5"/>
  <c r="N169" i="5" s="1"/>
  <c r="F12" i="5"/>
  <c r="N170" i="5" s="1"/>
  <c r="F13" i="5"/>
  <c r="N171" i="5" s="1"/>
  <c r="F14" i="5"/>
  <c r="N172" i="5" s="1"/>
  <c r="F15" i="5"/>
  <c r="N173" i="5" s="1"/>
  <c r="F16" i="5"/>
  <c r="N174" i="5" s="1"/>
  <c r="F17" i="5"/>
  <c r="N175" i="5" s="1"/>
  <c r="F18" i="5"/>
  <c r="N176" i="5" s="1"/>
  <c r="F19" i="5"/>
  <c r="N177" i="5" s="1"/>
  <c r="F20" i="5"/>
  <c r="N178" i="5" s="1"/>
  <c r="F21" i="5"/>
  <c r="N179" i="5" s="1"/>
  <c r="F22" i="5"/>
  <c r="N180" i="5" s="1"/>
  <c r="F23" i="5"/>
  <c r="N181" i="5" s="1"/>
  <c r="F24" i="5"/>
  <c r="N182" i="5" s="1"/>
  <c r="F25" i="5"/>
  <c r="N183" i="5" s="1"/>
  <c r="F26" i="5"/>
  <c r="N184" i="5" s="1"/>
  <c r="F27" i="5"/>
  <c r="N185" i="5" s="1"/>
  <c r="F28" i="5"/>
  <c r="N186" i="5" s="1"/>
  <c r="F29" i="5"/>
  <c r="N187" i="5" s="1"/>
  <c r="F30" i="5"/>
  <c r="N188" i="5" s="1"/>
  <c r="F31" i="5"/>
  <c r="N189" i="5" s="1"/>
  <c r="F32" i="5"/>
  <c r="N190" i="5" s="1"/>
  <c r="F33" i="5"/>
  <c r="N191" i="5" s="1"/>
  <c r="F34" i="5"/>
  <c r="N192" i="5" s="1"/>
  <c r="F35" i="5"/>
  <c r="N193" i="5" s="1"/>
  <c r="F36" i="5"/>
  <c r="N194" i="5" s="1"/>
  <c r="F37" i="5"/>
  <c r="N195" i="5" s="1"/>
  <c r="F38" i="5"/>
  <c r="N196" i="5" s="1"/>
  <c r="F39" i="5"/>
  <c r="N197" i="5" s="1"/>
  <c r="F40" i="5"/>
  <c r="N198" i="5" s="1"/>
  <c r="F41" i="5"/>
  <c r="N199" i="5" s="1"/>
  <c r="F42" i="5"/>
  <c r="N200" i="5" s="1"/>
  <c r="F43" i="5"/>
  <c r="N201" i="5" s="1"/>
  <c r="F44" i="5"/>
  <c r="N202" i="5" s="1"/>
  <c r="F45" i="5"/>
  <c r="N203" i="5" s="1"/>
  <c r="F46" i="5"/>
  <c r="N204" i="5" s="1"/>
  <c r="E2" i="5"/>
  <c r="N115" i="5" s="1"/>
  <c r="E3" i="5"/>
  <c r="N116" i="5" s="1"/>
  <c r="E4" i="5"/>
  <c r="N117" i="5" s="1"/>
  <c r="E5" i="5"/>
  <c r="N118" i="5" s="1"/>
  <c r="E6" i="5"/>
  <c r="N119" i="5" s="1"/>
  <c r="E7" i="5"/>
  <c r="N120" i="5" s="1"/>
  <c r="E8" i="5"/>
  <c r="N121" i="5" s="1"/>
  <c r="E9" i="5"/>
  <c r="N122" i="5" s="1"/>
  <c r="E10" i="5"/>
  <c r="N123" i="5" s="1"/>
  <c r="E11" i="5"/>
  <c r="N124" i="5" s="1"/>
  <c r="E12" i="5"/>
  <c r="N125" i="5" s="1"/>
  <c r="E13" i="5"/>
  <c r="N126" i="5" s="1"/>
  <c r="E14" i="5"/>
  <c r="N127" i="5" s="1"/>
  <c r="E15" i="5"/>
  <c r="N128" i="5" s="1"/>
  <c r="E16" i="5"/>
  <c r="N129" i="5" s="1"/>
  <c r="E17" i="5"/>
  <c r="N130" i="5" s="1"/>
  <c r="E18" i="5"/>
  <c r="N131" i="5" s="1"/>
  <c r="E19" i="5"/>
  <c r="N132" i="5" s="1"/>
  <c r="E20" i="5"/>
  <c r="N133" i="5" s="1"/>
  <c r="E21" i="5"/>
  <c r="N134" i="5" s="1"/>
  <c r="E22" i="5"/>
  <c r="N135" i="5" s="1"/>
  <c r="E23" i="5"/>
  <c r="N136" i="5" s="1"/>
  <c r="E24" i="5"/>
  <c r="N137" i="5" s="1"/>
  <c r="E25" i="5"/>
  <c r="N138" i="5" s="1"/>
  <c r="E26" i="5"/>
  <c r="N139" i="5" s="1"/>
  <c r="E27" i="5"/>
  <c r="N140" i="5" s="1"/>
  <c r="E28" i="5"/>
  <c r="N141" i="5" s="1"/>
  <c r="E29" i="5"/>
  <c r="N142" i="5" s="1"/>
  <c r="E30" i="5"/>
  <c r="N143" i="5" s="1"/>
  <c r="E31" i="5"/>
  <c r="N144" i="5" s="1"/>
  <c r="E32" i="5"/>
  <c r="N145" i="5" s="1"/>
  <c r="E33" i="5"/>
  <c r="N146" i="5" s="1"/>
  <c r="E34" i="5"/>
  <c r="N147" i="5" s="1"/>
  <c r="E35" i="5"/>
  <c r="N148" i="5" s="1"/>
  <c r="E36" i="5"/>
  <c r="N149" i="5" s="1"/>
  <c r="E37" i="5"/>
  <c r="N150" i="5" s="1"/>
  <c r="E38" i="5"/>
  <c r="N151" i="5" s="1"/>
  <c r="E39" i="5"/>
  <c r="N152" i="5" s="1"/>
  <c r="E40" i="5"/>
  <c r="N153" i="5" s="1"/>
  <c r="E41" i="5"/>
  <c r="N154" i="5" s="1"/>
  <c r="E42" i="5"/>
  <c r="N155" i="5" s="1"/>
  <c r="E43" i="5"/>
  <c r="N156" i="5" s="1"/>
  <c r="E44" i="5"/>
  <c r="N157" i="5" s="1"/>
  <c r="E45" i="5"/>
  <c r="N158" i="5" s="1"/>
  <c r="E46" i="5"/>
  <c r="N159" i="5" s="1"/>
  <c r="D2" i="5"/>
  <c r="N70" i="5" s="1"/>
  <c r="D3" i="5"/>
  <c r="N71" i="5" s="1"/>
  <c r="D4" i="5"/>
  <c r="N72" i="5" s="1"/>
  <c r="D5" i="5"/>
  <c r="N73" i="5" s="1"/>
  <c r="D6" i="5"/>
  <c r="N74" i="5" s="1"/>
  <c r="D7" i="5"/>
  <c r="N75" i="5" s="1"/>
  <c r="D8" i="5"/>
  <c r="N76" i="5" s="1"/>
  <c r="D9" i="5"/>
  <c r="N77" i="5" s="1"/>
  <c r="D10" i="5"/>
  <c r="N78" i="5" s="1"/>
  <c r="D11" i="5"/>
  <c r="N79" i="5" s="1"/>
  <c r="D12" i="5"/>
  <c r="N80" i="5" s="1"/>
  <c r="D13" i="5"/>
  <c r="N81" i="5" s="1"/>
  <c r="D14" i="5"/>
  <c r="N82" i="5" s="1"/>
  <c r="D15" i="5"/>
  <c r="N83" i="5" s="1"/>
  <c r="D16" i="5"/>
  <c r="N84" i="5" s="1"/>
  <c r="D17" i="5"/>
  <c r="N85" i="5" s="1"/>
  <c r="D18" i="5"/>
  <c r="N86" i="5" s="1"/>
  <c r="D19" i="5"/>
  <c r="N87" i="5" s="1"/>
  <c r="D20" i="5"/>
  <c r="N88" i="5" s="1"/>
  <c r="D21" i="5"/>
  <c r="N89" i="5" s="1"/>
  <c r="D22" i="5"/>
  <c r="N90" i="5" s="1"/>
  <c r="D23" i="5"/>
  <c r="N91" i="5" s="1"/>
  <c r="D24" i="5"/>
  <c r="N92" i="5" s="1"/>
  <c r="D25" i="5"/>
  <c r="N93" i="5" s="1"/>
  <c r="D26" i="5"/>
  <c r="N94" i="5" s="1"/>
  <c r="D27" i="5"/>
  <c r="N95" i="5" s="1"/>
  <c r="D28" i="5"/>
  <c r="N96" i="5" s="1"/>
  <c r="D29" i="5"/>
  <c r="N97" i="5" s="1"/>
  <c r="D30" i="5"/>
  <c r="N98" i="5" s="1"/>
  <c r="D31" i="5"/>
  <c r="N99" i="5" s="1"/>
  <c r="D32" i="5"/>
  <c r="N100" i="5" s="1"/>
  <c r="D33" i="5"/>
  <c r="N101" i="5" s="1"/>
  <c r="D34" i="5"/>
  <c r="N102" i="5" s="1"/>
  <c r="D37" i="5"/>
  <c r="N105" i="5" s="1"/>
  <c r="D38" i="5"/>
  <c r="N106" i="5" s="1"/>
  <c r="D39" i="5"/>
  <c r="N107" i="5" s="1"/>
  <c r="D40" i="5"/>
  <c r="N108" i="5" s="1"/>
  <c r="D41" i="5"/>
  <c r="N109" i="5" s="1"/>
  <c r="D42" i="5"/>
  <c r="N110" i="5" s="1"/>
  <c r="D43" i="5"/>
  <c r="N111" i="5" s="1"/>
  <c r="D44" i="5"/>
  <c r="N112" i="5" s="1"/>
  <c r="D45" i="5"/>
  <c r="N113" i="5" s="1"/>
  <c r="D46" i="5"/>
  <c r="N114" i="5" s="1"/>
  <c r="C2" i="5"/>
  <c r="N25" i="5" s="1"/>
  <c r="C3" i="5"/>
  <c r="N26" i="5" s="1"/>
  <c r="C4" i="5"/>
  <c r="N27" i="5" s="1"/>
  <c r="C5" i="5"/>
  <c r="N28" i="5" s="1"/>
  <c r="C6" i="5"/>
  <c r="N29" i="5" s="1"/>
  <c r="C7" i="5"/>
  <c r="N30" i="5" s="1"/>
  <c r="C8" i="5"/>
  <c r="N31" i="5" s="1"/>
  <c r="C9" i="5"/>
  <c r="N32" i="5" s="1"/>
  <c r="C10" i="5"/>
  <c r="N33" i="5" s="1"/>
  <c r="C11" i="5"/>
  <c r="N34" i="5" s="1"/>
  <c r="C12" i="5"/>
  <c r="N35" i="5" s="1"/>
  <c r="C13" i="5"/>
  <c r="N36" i="5" s="1"/>
  <c r="C14" i="5"/>
  <c r="N37" i="5" s="1"/>
  <c r="C15" i="5"/>
  <c r="N38" i="5" s="1"/>
  <c r="C16" i="5"/>
  <c r="N39" i="5" s="1"/>
  <c r="C17" i="5"/>
  <c r="N40" i="5" s="1"/>
  <c r="C18" i="5"/>
  <c r="N41" i="5" s="1"/>
  <c r="C19" i="5"/>
  <c r="N42" i="5" s="1"/>
  <c r="C20" i="5"/>
  <c r="N43" i="5" s="1"/>
  <c r="C21" i="5"/>
  <c r="N44" i="5" s="1"/>
  <c r="C22" i="5"/>
  <c r="N45" i="5" s="1"/>
  <c r="C23" i="5"/>
  <c r="N46" i="5" s="1"/>
  <c r="C24" i="5"/>
  <c r="N47" i="5" s="1"/>
  <c r="C25" i="5"/>
  <c r="N48" i="5" s="1"/>
  <c r="C26" i="5"/>
  <c r="N49" i="5" s="1"/>
  <c r="C27" i="5"/>
  <c r="N50" i="5" s="1"/>
  <c r="C28" i="5"/>
  <c r="N51" i="5" s="1"/>
  <c r="C29" i="5"/>
  <c r="N52" i="5" s="1"/>
  <c r="C30" i="5"/>
  <c r="N53" i="5" s="1"/>
  <c r="C31" i="5"/>
  <c r="N54" i="5" s="1"/>
  <c r="C32" i="5"/>
  <c r="N55" i="5" s="1"/>
  <c r="C33" i="5"/>
  <c r="N56" i="5" s="1"/>
  <c r="C34" i="5"/>
  <c r="N57" i="5" s="1"/>
  <c r="C35" i="5"/>
  <c r="N58" i="5" s="1"/>
  <c r="C36" i="5"/>
  <c r="N59" i="5" s="1"/>
  <c r="C37" i="5"/>
  <c r="N60" i="5" s="1"/>
  <c r="C38" i="5"/>
  <c r="N61" i="5" s="1"/>
  <c r="C39" i="5"/>
  <c r="N62" i="5" s="1"/>
  <c r="C40" i="5"/>
  <c r="N63" i="5" s="1"/>
  <c r="C41" i="5"/>
  <c r="N64" i="5" s="1"/>
  <c r="C42" i="5"/>
  <c r="N65" i="5" s="1"/>
  <c r="C43" i="5"/>
  <c r="N66" i="5" s="1"/>
  <c r="C44" i="5"/>
  <c r="N67" i="5" s="1"/>
  <c r="C45" i="5"/>
  <c r="N68" i="5" s="1"/>
  <c r="C46" i="5"/>
  <c r="N69" i="5" s="1"/>
  <c r="N7" i="5" l="1"/>
  <c r="N13" i="5"/>
  <c r="N12" i="5"/>
  <c r="N14" i="5"/>
  <c r="N8" i="5"/>
  <c r="N9" i="5"/>
  <c r="N16" i="5"/>
  <c r="N6" i="5"/>
  <c r="P255" i="5" s="1"/>
  <c r="H7" i="7" s="1"/>
  <c r="N10" i="5"/>
  <c r="N11" i="5"/>
  <c r="P77" i="5" l="1"/>
  <c r="P50" i="5"/>
  <c r="C27" i="7" s="1"/>
  <c r="P11" i="5"/>
  <c r="P188" i="5"/>
  <c r="F30" i="7" s="1"/>
  <c r="P181" i="5"/>
  <c r="F23" i="7" s="1"/>
  <c r="P166" i="5"/>
  <c r="F8" i="7" s="1"/>
  <c r="P14" i="5"/>
  <c r="P266" i="5"/>
  <c r="H18" i="7" s="1"/>
  <c r="P127" i="5"/>
  <c r="P117" i="5"/>
  <c r="P124" i="5"/>
  <c r="P291" i="5"/>
  <c r="H43" i="7" s="1"/>
  <c r="P138" i="5"/>
  <c r="P309" i="5"/>
  <c r="I16" i="7" s="1"/>
  <c r="P316" i="5"/>
  <c r="I23" i="7" s="1"/>
  <c r="P20" i="5"/>
  <c r="P147" i="5"/>
  <c r="P134" i="5"/>
  <c r="P245" i="5"/>
  <c r="G42" i="7" s="1"/>
  <c r="P252" i="5"/>
  <c r="H4" i="7" s="1"/>
  <c r="P114" i="5"/>
  <c r="P61" i="5"/>
  <c r="C38" i="7" s="1"/>
  <c r="P6" i="5"/>
  <c r="P13" i="5"/>
  <c r="P294" i="5"/>
  <c r="H46" i="7" s="1"/>
  <c r="P243" i="5"/>
  <c r="G40" i="7" s="1"/>
  <c r="P115" i="5"/>
  <c r="E2" i="7" s="1"/>
  <c r="P339" i="5"/>
  <c r="I46" i="7" s="1"/>
  <c r="P234" i="5"/>
  <c r="G31" i="7" s="1"/>
  <c r="P96" i="5"/>
  <c r="P299" i="5"/>
  <c r="I6" i="7" s="1"/>
  <c r="P223" i="5"/>
  <c r="G20" i="7" s="1"/>
  <c r="P75" i="5"/>
  <c r="P293" i="5"/>
  <c r="H45" i="7" s="1"/>
  <c r="P229" i="5"/>
  <c r="G26" i="7" s="1"/>
  <c r="P165" i="5"/>
  <c r="F7" i="7" s="1"/>
  <c r="P87" i="5"/>
  <c r="P300" i="5"/>
  <c r="I7" i="7" s="1"/>
  <c r="P236" i="5"/>
  <c r="G33" i="7" s="1"/>
  <c r="P172" i="5"/>
  <c r="F14" i="7" s="1"/>
  <c r="P100" i="5"/>
  <c r="P98" i="5"/>
  <c r="P34" i="5"/>
  <c r="C11" i="7" s="1"/>
  <c r="P49" i="5"/>
  <c r="C26" i="7" s="1"/>
  <c r="P65" i="5"/>
  <c r="C42" i="7" s="1"/>
  <c r="P81" i="5"/>
  <c r="P97" i="5"/>
  <c r="P113" i="5"/>
  <c r="P38" i="5"/>
  <c r="C15" i="7" s="1"/>
  <c r="P54" i="5"/>
  <c r="C31" i="7" s="1"/>
  <c r="P70" i="5"/>
  <c r="P86" i="5"/>
  <c r="P102" i="5"/>
  <c r="P28" i="5"/>
  <c r="C5" i="7" s="1"/>
  <c r="P44" i="5"/>
  <c r="C21" i="7" s="1"/>
  <c r="P76" i="5"/>
  <c r="P108" i="5"/>
  <c r="P128" i="5"/>
  <c r="P144" i="5"/>
  <c r="P160" i="5"/>
  <c r="F2" i="7" s="1"/>
  <c r="P176" i="5"/>
  <c r="F18" i="7" s="1"/>
  <c r="P192" i="5"/>
  <c r="F34" i="7" s="1"/>
  <c r="P208" i="5"/>
  <c r="G5" i="7" s="1"/>
  <c r="P224" i="5"/>
  <c r="G21" i="7" s="1"/>
  <c r="P240" i="5"/>
  <c r="G37" i="7" s="1"/>
  <c r="P256" i="5"/>
  <c r="H8" i="7" s="1"/>
  <c r="P272" i="5"/>
  <c r="H24" i="7" s="1"/>
  <c r="P288" i="5"/>
  <c r="H40" i="7" s="1"/>
  <c r="P304" i="5"/>
  <c r="I11" i="7" s="1"/>
  <c r="P320" i="5"/>
  <c r="I27" i="7" s="1"/>
  <c r="P336" i="5"/>
  <c r="I43" i="7" s="1"/>
  <c r="P63" i="5"/>
  <c r="C40" i="7" s="1"/>
  <c r="P95" i="5"/>
  <c r="P121" i="5"/>
  <c r="P137" i="5"/>
  <c r="P153" i="5"/>
  <c r="P169" i="5"/>
  <c r="F11" i="7" s="1"/>
  <c r="P185" i="5"/>
  <c r="F27" i="7" s="1"/>
  <c r="P201" i="5"/>
  <c r="F43" i="7" s="1"/>
  <c r="P217" i="5"/>
  <c r="G14" i="7" s="1"/>
  <c r="P233" i="5"/>
  <c r="G30" i="7" s="1"/>
  <c r="P249" i="5"/>
  <c r="G46" i="7" s="1"/>
  <c r="P265" i="5"/>
  <c r="H17" i="7" s="1"/>
  <c r="P281" i="5"/>
  <c r="H33" i="7" s="1"/>
  <c r="P297" i="5"/>
  <c r="I4" i="7" s="1"/>
  <c r="P313" i="5"/>
  <c r="I20" i="7" s="1"/>
  <c r="P329" i="5"/>
  <c r="I36" i="7" s="1"/>
  <c r="P40" i="5"/>
  <c r="C17" i="7" s="1"/>
  <c r="P91" i="5"/>
  <c r="P135" i="5"/>
  <c r="P167" i="5"/>
  <c r="F9" i="7" s="1"/>
  <c r="P199" i="5"/>
  <c r="F41" i="7" s="1"/>
  <c r="P231" i="5"/>
  <c r="G28" i="7" s="1"/>
  <c r="P263" i="5"/>
  <c r="H15" i="7" s="1"/>
  <c r="P295" i="5"/>
  <c r="I2" i="7" s="1"/>
  <c r="P327" i="5"/>
  <c r="I34" i="7" s="1"/>
  <c r="P323" i="5"/>
  <c r="I30" i="7" s="1"/>
  <c r="P158" i="5"/>
  <c r="P262" i="5"/>
  <c r="H14" i="7" s="1"/>
  <c r="P48" i="5"/>
  <c r="C25" i="7" s="1"/>
  <c r="P112" i="5"/>
  <c r="P146" i="5"/>
  <c r="P178" i="5"/>
  <c r="F20" i="7" s="1"/>
  <c r="P210" i="5"/>
  <c r="G7" i="7" s="1"/>
  <c r="P242" i="5"/>
  <c r="G39" i="7" s="1"/>
  <c r="P274" i="5"/>
  <c r="H26" i="7" s="1"/>
  <c r="P306" i="5"/>
  <c r="I13" i="7" s="1"/>
  <c r="P338" i="5"/>
  <c r="I45" i="7" s="1"/>
  <c r="P72" i="5"/>
  <c r="P182" i="5"/>
  <c r="F24" i="7" s="1"/>
  <c r="P278" i="5"/>
  <c r="H30" i="7" s="1"/>
  <c r="P67" i="5"/>
  <c r="C44" i="7" s="1"/>
  <c r="P123" i="5"/>
  <c r="P155" i="5"/>
  <c r="P187" i="5"/>
  <c r="F29" i="7" s="1"/>
  <c r="P219" i="5"/>
  <c r="G16" i="7" s="1"/>
  <c r="P251" i="5"/>
  <c r="H3" i="7" s="1"/>
  <c r="P307" i="5"/>
  <c r="I14" i="7" s="1"/>
  <c r="P126" i="5"/>
  <c r="P222" i="5"/>
  <c r="G19" i="7" s="1"/>
  <c r="P318" i="5"/>
  <c r="I25" i="7" s="1"/>
  <c r="P16" i="5"/>
  <c r="P24" i="5"/>
  <c r="P3" i="5"/>
  <c r="P18" i="5"/>
  <c r="P150" i="5"/>
  <c r="P37" i="5"/>
  <c r="C14" i="7" s="1"/>
  <c r="P53" i="5"/>
  <c r="C30" i="7" s="1"/>
  <c r="P69" i="5"/>
  <c r="C46" i="7" s="1"/>
  <c r="P85" i="5"/>
  <c r="P101" i="5"/>
  <c r="P26" i="5"/>
  <c r="C3" i="7" s="1"/>
  <c r="P42" i="5"/>
  <c r="C19" i="7" s="1"/>
  <c r="P58" i="5"/>
  <c r="C35" i="7" s="1"/>
  <c r="P74" i="5"/>
  <c r="P90" i="5"/>
  <c r="P106" i="5"/>
  <c r="P32" i="5"/>
  <c r="C9" i="7" s="1"/>
  <c r="P52" i="5"/>
  <c r="C29" i="7" s="1"/>
  <c r="P84" i="5"/>
  <c r="P116" i="5"/>
  <c r="P132" i="5"/>
  <c r="P148" i="5"/>
  <c r="P164" i="5"/>
  <c r="F6" i="7" s="1"/>
  <c r="P180" i="5"/>
  <c r="F22" i="7" s="1"/>
  <c r="P196" i="5"/>
  <c r="F38" i="7" s="1"/>
  <c r="P212" i="5"/>
  <c r="G9" i="7" s="1"/>
  <c r="P228" i="5"/>
  <c r="G25" i="7" s="1"/>
  <c r="P244" i="5"/>
  <c r="G41" i="7" s="1"/>
  <c r="P260" i="5"/>
  <c r="H12" i="7" s="1"/>
  <c r="P276" i="5"/>
  <c r="H28" i="7" s="1"/>
  <c r="P292" i="5"/>
  <c r="H44" i="7" s="1"/>
  <c r="P308" i="5"/>
  <c r="I15" i="7" s="1"/>
  <c r="P324" i="5"/>
  <c r="I31" i="7" s="1"/>
  <c r="P39" i="5"/>
  <c r="C16" i="7" s="1"/>
  <c r="P71" i="5"/>
  <c r="P103" i="5"/>
  <c r="P125" i="5"/>
  <c r="P141" i="5"/>
  <c r="P157" i="5"/>
  <c r="P173" i="5"/>
  <c r="F15" i="7" s="1"/>
  <c r="P189" i="5"/>
  <c r="F31" i="7" s="1"/>
  <c r="P205" i="5"/>
  <c r="G2" i="7" s="1"/>
  <c r="P221" i="5"/>
  <c r="G18" i="7" s="1"/>
  <c r="P237" i="5"/>
  <c r="G34" i="7" s="1"/>
  <c r="P253" i="5"/>
  <c r="H5" i="7" s="1"/>
  <c r="P269" i="5"/>
  <c r="H21" i="7" s="1"/>
  <c r="P285" i="5"/>
  <c r="H37" i="7" s="1"/>
  <c r="P301" i="5"/>
  <c r="I8" i="7" s="1"/>
  <c r="P317" i="5"/>
  <c r="I24" i="7" s="1"/>
  <c r="P333" i="5"/>
  <c r="I40" i="7" s="1"/>
  <c r="P43" i="5"/>
  <c r="C20" i="7" s="1"/>
  <c r="P107" i="5"/>
  <c r="P143" i="5"/>
  <c r="P175" i="5"/>
  <c r="F17" i="7" s="1"/>
  <c r="P207" i="5"/>
  <c r="G4" i="7" s="1"/>
  <c r="P239" i="5"/>
  <c r="G36" i="7" s="1"/>
  <c r="P271" i="5"/>
  <c r="H23" i="7" s="1"/>
  <c r="P303" i="5"/>
  <c r="I10" i="7" s="1"/>
  <c r="P335" i="5"/>
  <c r="I42" i="7" s="1"/>
  <c r="P56" i="5"/>
  <c r="C33" i="7" s="1"/>
  <c r="P190" i="5"/>
  <c r="F32" i="7" s="1"/>
  <c r="P286" i="5"/>
  <c r="H38" i="7" s="1"/>
  <c r="P64" i="5"/>
  <c r="C41" i="7" s="1"/>
  <c r="P122" i="5"/>
  <c r="P154" i="5"/>
  <c r="P186" i="5"/>
  <c r="F28" i="7" s="1"/>
  <c r="P218" i="5"/>
  <c r="G15" i="7" s="1"/>
  <c r="P250" i="5"/>
  <c r="H2" i="7" s="1"/>
  <c r="P282" i="5"/>
  <c r="H34" i="7" s="1"/>
  <c r="P314" i="5"/>
  <c r="I21" i="7" s="1"/>
  <c r="P283" i="5"/>
  <c r="H35" i="7" s="1"/>
  <c r="P118" i="5"/>
  <c r="P206" i="5"/>
  <c r="G3" i="7" s="1"/>
  <c r="P302" i="5"/>
  <c r="I9" i="7" s="1"/>
  <c r="P83" i="5"/>
  <c r="P131" i="5"/>
  <c r="P163" i="5"/>
  <c r="F5" i="7" s="1"/>
  <c r="P195" i="5"/>
  <c r="F37" i="7" s="1"/>
  <c r="P227" i="5"/>
  <c r="G24" i="7" s="1"/>
  <c r="P259" i="5"/>
  <c r="H11" i="7" s="1"/>
  <c r="P331" i="5"/>
  <c r="I38" i="7" s="1"/>
  <c r="P246" i="5"/>
  <c r="G43" i="7" s="1"/>
  <c r="P25" i="5"/>
  <c r="C2" i="7" s="1"/>
  <c r="P41" i="5"/>
  <c r="C18" i="7" s="1"/>
  <c r="P57" i="5"/>
  <c r="C34" i="7" s="1"/>
  <c r="P73" i="5"/>
  <c r="P89" i="5"/>
  <c r="P105" i="5"/>
  <c r="P30" i="5"/>
  <c r="C7" i="7" s="1"/>
  <c r="P46" i="5"/>
  <c r="C23" i="7" s="1"/>
  <c r="P62" i="5"/>
  <c r="C39" i="7" s="1"/>
  <c r="P78" i="5"/>
  <c r="P94" i="5"/>
  <c r="P110" i="5"/>
  <c r="P36" i="5"/>
  <c r="C13" i="7" s="1"/>
  <c r="P60" i="5"/>
  <c r="C37" i="7" s="1"/>
  <c r="P92" i="5"/>
  <c r="P120" i="5"/>
  <c r="P136" i="5"/>
  <c r="P152" i="5"/>
  <c r="P168" i="5"/>
  <c r="F10" i="7" s="1"/>
  <c r="P184" i="5"/>
  <c r="F26" i="7" s="1"/>
  <c r="P200" i="5"/>
  <c r="F42" i="7" s="1"/>
  <c r="P216" i="5"/>
  <c r="G13" i="7" s="1"/>
  <c r="P232" i="5"/>
  <c r="G29" i="7" s="1"/>
  <c r="P248" i="5"/>
  <c r="G45" i="7" s="1"/>
  <c r="P264" i="5"/>
  <c r="H16" i="7" s="1"/>
  <c r="P280" i="5"/>
  <c r="H32" i="7" s="1"/>
  <c r="P296" i="5"/>
  <c r="I3" i="7" s="1"/>
  <c r="P312" i="5"/>
  <c r="I19" i="7" s="1"/>
  <c r="P328" i="5"/>
  <c r="I35" i="7" s="1"/>
  <c r="P47" i="5"/>
  <c r="C24" i="7" s="1"/>
  <c r="P79" i="5"/>
  <c r="P111" i="5"/>
  <c r="P129" i="5"/>
  <c r="P145" i="5"/>
  <c r="P161" i="5"/>
  <c r="F3" i="7" s="1"/>
  <c r="P177" i="5"/>
  <c r="F19" i="7" s="1"/>
  <c r="P193" i="5"/>
  <c r="F35" i="7" s="1"/>
  <c r="P209" i="5"/>
  <c r="G6" i="7" s="1"/>
  <c r="P225" i="5"/>
  <c r="G22" i="7" s="1"/>
  <c r="P241" i="5"/>
  <c r="G38" i="7" s="1"/>
  <c r="P257" i="5"/>
  <c r="H9" i="7" s="1"/>
  <c r="P273" i="5"/>
  <c r="H25" i="7" s="1"/>
  <c r="P289" i="5"/>
  <c r="H41" i="7" s="1"/>
  <c r="P305" i="5"/>
  <c r="I12" i="7" s="1"/>
  <c r="P321" i="5"/>
  <c r="I28" i="7" s="1"/>
  <c r="P337" i="5"/>
  <c r="I44" i="7" s="1"/>
  <c r="P59" i="5"/>
  <c r="C36" i="7" s="1"/>
  <c r="P119" i="5"/>
  <c r="P151" i="5"/>
  <c r="P183" i="5"/>
  <c r="F25" i="7" s="1"/>
  <c r="P215" i="5"/>
  <c r="G12" i="7" s="1"/>
  <c r="P247" i="5"/>
  <c r="G44" i="7" s="1"/>
  <c r="P279" i="5"/>
  <c r="H31" i="7" s="1"/>
  <c r="P311" i="5"/>
  <c r="I18" i="7" s="1"/>
  <c r="P275" i="5"/>
  <c r="H27" i="7" s="1"/>
  <c r="P104" i="5"/>
  <c r="P214" i="5"/>
  <c r="G11" i="7" s="1"/>
  <c r="P310" i="5"/>
  <c r="I17" i="7" s="1"/>
  <c r="P80" i="5"/>
  <c r="P130" i="5"/>
  <c r="P162" i="5"/>
  <c r="F4" i="7" s="1"/>
  <c r="P194" i="5"/>
  <c r="F36" i="7" s="1"/>
  <c r="P226" i="5"/>
  <c r="G23" i="7" s="1"/>
  <c r="P258" i="5"/>
  <c r="H10" i="7" s="1"/>
  <c r="P290" i="5"/>
  <c r="H42" i="7" s="1"/>
  <c r="P322" i="5"/>
  <c r="I29" i="7" s="1"/>
  <c r="P315" i="5"/>
  <c r="I22" i="7" s="1"/>
  <c r="P142" i="5"/>
  <c r="P230" i="5"/>
  <c r="G27" i="7" s="1"/>
  <c r="P326" i="5"/>
  <c r="I33" i="7" s="1"/>
  <c r="P99" i="5"/>
  <c r="P139" i="5"/>
  <c r="P171" i="5"/>
  <c r="F13" i="7" s="1"/>
  <c r="P203" i="5"/>
  <c r="F45" i="7" s="1"/>
  <c r="P235" i="5"/>
  <c r="G32" i="7" s="1"/>
  <c r="P267" i="5"/>
  <c r="H19" i="7" s="1"/>
  <c r="P31" i="5"/>
  <c r="C8" i="7" s="1"/>
  <c r="P174" i="5"/>
  <c r="F16" i="7" s="1"/>
  <c r="P270" i="5"/>
  <c r="H22" i="7" s="1"/>
  <c r="P23" i="5"/>
  <c r="P12" i="5"/>
  <c r="P22" i="5"/>
  <c r="P9" i="5"/>
  <c r="P10" i="5"/>
  <c r="P21" i="5"/>
  <c r="P17" i="5"/>
  <c r="P198" i="5"/>
  <c r="F40" i="7" s="1"/>
  <c r="P211" i="5"/>
  <c r="G8" i="7" s="1"/>
  <c r="P51" i="5"/>
  <c r="C28" i="7" s="1"/>
  <c r="P330" i="5"/>
  <c r="I37" i="7" s="1"/>
  <c r="P202" i="5"/>
  <c r="F44" i="7" s="1"/>
  <c r="P334" i="5"/>
  <c r="I41" i="7" s="1"/>
  <c r="P319" i="5"/>
  <c r="I26" i="7" s="1"/>
  <c r="P191" i="5"/>
  <c r="F33" i="7" s="1"/>
  <c r="P27" i="5"/>
  <c r="C4" i="7" s="1"/>
  <c r="P277" i="5"/>
  <c r="H29" i="7" s="1"/>
  <c r="P213" i="5"/>
  <c r="G10" i="7" s="1"/>
  <c r="P149" i="5"/>
  <c r="P55" i="5"/>
  <c r="C32" i="7" s="1"/>
  <c r="P284" i="5"/>
  <c r="H36" i="7" s="1"/>
  <c r="P220" i="5"/>
  <c r="G17" i="7" s="1"/>
  <c r="P156" i="5"/>
  <c r="P68" i="5"/>
  <c r="C45" i="7" s="1"/>
  <c r="P82" i="5"/>
  <c r="P109" i="5"/>
  <c r="P45" i="5"/>
  <c r="C22" i="7" s="1"/>
  <c r="P19" i="5"/>
  <c r="P8" i="5"/>
  <c r="P4" i="5"/>
  <c r="P7" i="5"/>
  <c r="P5" i="5"/>
  <c r="P88" i="5"/>
  <c r="P179" i="5"/>
  <c r="F21" i="7" s="1"/>
  <c r="P254" i="5"/>
  <c r="H6" i="7" s="1"/>
  <c r="P298" i="5"/>
  <c r="I5" i="7" s="1"/>
  <c r="P170" i="5"/>
  <c r="F12" i="7" s="1"/>
  <c r="P238" i="5"/>
  <c r="G35" i="7" s="1"/>
  <c r="P287" i="5"/>
  <c r="H39" i="7" s="1"/>
  <c r="P159" i="5"/>
  <c r="P325" i="5"/>
  <c r="I32" i="7" s="1"/>
  <c r="P261" i="5"/>
  <c r="H13" i="7" s="1"/>
  <c r="P197" i="5"/>
  <c r="F39" i="7" s="1"/>
  <c r="P133" i="5"/>
  <c r="P332" i="5"/>
  <c r="I39" i="7" s="1"/>
  <c r="P268" i="5"/>
  <c r="H20" i="7" s="1"/>
  <c r="P204" i="5"/>
  <c r="F46" i="7" s="1"/>
  <c r="P140" i="5"/>
  <c r="P35" i="5"/>
  <c r="C12" i="7" s="1"/>
  <c r="P66" i="5"/>
  <c r="C43" i="7" s="1"/>
  <c r="P93" i="5"/>
  <c r="P29" i="5"/>
  <c r="C6" i="7" s="1"/>
  <c r="P15" i="5"/>
  <c r="P33" i="5"/>
  <c r="C10" i="7" s="1"/>
  <c r="B21" i="20" l="1"/>
  <c r="C21" i="20"/>
  <c r="M21" i="20"/>
  <c r="B22" i="19"/>
  <c r="C22" i="19"/>
  <c r="M22" i="19"/>
  <c r="B23" i="19"/>
  <c r="C23" i="19"/>
  <c r="M23" i="19"/>
  <c r="B24" i="19"/>
  <c r="M24" i="19" s="1"/>
  <c r="C24" i="19"/>
  <c r="B25" i="19"/>
  <c r="M25" i="19" s="1"/>
  <c r="C25" i="19"/>
  <c r="B26" i="19"/>
  <c r="M26" i="19" s="1"/>
  <c r="C26" i="19"/>
  <c r="B12" i="17"/>
  <c r="C12" i="17"/>
  <c r="M12" i="17"/>
  <c r="B13" i="17"/>
  <c r="C13" i="17"/>
  <c r="M13" i="17"/>
  <c r="B14" i="17"/>
  <c r="M14" i="17" s="1"/>
  <c r="C14" i="17"/>
  <c r="B15" i="17"/>
  <c r="M15" i="17" s="1"/>
  <c r="C15" i="17"/>
  <c r="B16" i="17"/>
  <c r="M16" i="17" s="1"/>
  <c r="C16" i="17"/>
  <c r="M46" i="22"/>
  <c r="M45" i="22"/>
  <c r="M44" i="22"/>
  <c r="M43" i="22"/>
  <c r="H43" i="5" s="1"/>
  <c r="N291" i="5" s="1"/>
  <c r="M42" i="22"/>
  <c r="H42" i="5" s="1"/>
  <c r="N290" i="5" s="1"/>
  <c r="M41" i="22"/>
  <c r="M40" i="22"/>
  <c r="M39" i="22"/>
  <c r="M38" i="22"/>
  <c r="C38" i="22"/>
  <c r="B38" i="22"/>
  <c r="C37" i="22"/>
  <c r="M37" i="22" s="1"/>
  <c r="B37" i="22"/>
  <c r="M36" i="22"/>
  <c r="M35" i="22"/>
  <c r="C34" i="22"/>
  <c r="B34" i="22"/>
  <c r="M34" i="22" s="1"/>
  <c r="C33" i="22"/>
  <c r="B33" i="22"/>
  <c r="M33" i="22" s="1"/>
  <c r="M32" i="22"/>
  <c r="C32" i="22"/>
  <c r="B32" i="22"/>
  <c r="C31" i="22"/>
  <c r="M31" i="22" s="1"/>
  <c r="B31" i="22"/>
  <c r="C30" i="22"/>
  <c r="B30" i="22"/>
  <c r="M30" i="22" s="1"/>
  <c r="C29" i="22"/>
  <c r="B29" i="22"/>
  <c r="M29" i="22" s="1"/>
  <c r="M28" i="22"/>
  <c r="C28" i="22"/>
  <c r="B28" i="22"/>
  <c r="C27" i="22"/>
  <c r="M27" i="22" s="1"/>
  <c r="B27" i="22"/>
  <c r="C26" i="22"/>
  <c r="B26" i="22"/>
  <c r="M26" i="22" s="1"/>
  <c r="C25" i="22"/>
  <c r="B25" i="22"/>
  <c r="M25" i="22" s="1"/>
  <c r="M24" i="22"/>
  <c r="C24" i="22"/>
  <c r="B24" i="22"/>
  <c r="C23" i="22"/>
  <c r="M23" i="22" s="1"/>
  <c r="B23" i="22"/>
  <c r="C22" i="22"/>
  <c r="B22" i="22"/>
  <c r="M22" i="22" s="1"/>
  <c r="C21" i="22"/>
  <c r="B21" i="22"/>
  <c r="M21" i="22" s="1"/>
  <c r="M20" i="22"/>
  <c r="C20" i="22"/>
  <c r="B20" i="22"/>
  <c r="C19" i="22"/>
  <c r="M19" i="22" s="1"/>
  <c r="B19" i="22"/>
  <c r="C18" i="22"/>
  <c r="B18" i="22"/>
  <c r="M18" i="22" s="1"/>
  <c r="C17" i="22"/>
  <c r="B17" i="22"/>
  <c r="M17" i="22" s="1"/>
  <c r="M16" i="22"/>
  <c r="C16" i="22"/>
  <c r="B16" i="22"/>
  <c r="C15" i="22"/>
  <c r="M15" i="22" s="1"/>
  <c r="B15" i="22"/>
  <c r="C14" i="22"/>
  <c r="B14" i="22"/>
  <c r="M14" i="22" s="1"/>
  <c r="C13" i="22"/>
  <c r="B13" i="22"/>
  <c r="M13" i="22" s="1"/>
  <c r="M12" i="22"/>
  <c r="C12" i="22"/>
  <c r="B12" i="22"/>
  <c r="C11" i="22"/>
  <c r="M11" i="22" s="1"/>
  <c r="B11" i="22"/>
  <c r="C10" i="22"/>
  <c r="B10" i="22"/>
  <c r="M10" i="22" s="1"/>
  <c r="C9" i="22"/>
  <c r="B9" i="22"/>
  <c r="M9" i="22" s="1"/>
  <c r="M8" i="22"/>
  <c r="C8" i="22"/>
  <c r="B8" i="22"/>
  <c r="C7" i="22"/>
  <c r="M7" i="22" s="1"/>
  <c r="B7" i="22"/>
  <c r="C6" i="22"/>
  <c r="B6" i="22"/>
  <c r="M6" i="22" s="1"/>
  <c r="C5" i="22"/>
  <c r="B5" i="22"/>
  <c r="M5" i="22" s="1"/>
  <c r="M4" i="22"/>
  <c r="C4" i="22"/>
  <c r="B4" i="22"/>
  <c r="C3" i="22"/>
  <c r="M3" i="22" s="1"/>
  <c r="B3" i="22"/>
  <c r="C2" i="22"/>
  <c r="B2" i="22"/>
  <c r="M2" i="22" s="1"/>
  <c r="M46" i="21"/>
  <c r="M45" i="21"/>
  <c r="M44" i="21"/>
  <c r="M43" i="21"/>
  <c r="M42" i="21"/>
  <c r="M41" i="21"/>
  <c r="M40" i="21"/>
  <c r="M39" i="21"/>
  <c r="C38" i="21"/>
  <c r="B38" i="21"/>
  <c r="M38" i="21" s="1"/>
  <c r="M37" i="21"/>
  <c r="C37" i="21"/>
  <c r="B37" i="21"/>
  <c r="M36" i="21"/>
  <c r="M35" i="21"/>
  <c r="C34" i="21"/>
  <c r="M34" i="21" s="1"/>
  <c r="B34" i="21"/>
  <c r="C33" i="21"/>
  <c r="B33" i="21"/>
  <c r="M33" i="21" s="1"/>
  <c r="C32" i="21"/>
  <c r="B32" i="21"/>
  <c r="M32" i="21" s="1"/>
  <c r="M31" i="21"/>
  <c r="C31" i="21"/>
  <c r="B31" i="21"/>
  <c r="C30" i="21"/>
  <c r="M30" i="21" s="1"/>
  <c r="B30" i="21"/>
  <c r="C29" i="21"/>
  <c r="B29" i="21"/>
  <c r="M29" i="21" s="1"/>
  <c r="C28" i="21"/>
  <c r="B28" i="21"/>
  <c r="M28" i="21" s="1"/>
  <c r="M27" i="21"/>
  <c r="C27" i="21"/>
  <c r="B27" i="21"/>
  <c r="C26" i="21"/>
  <c r="M26" i="21" s="1"/>
  <c r="B26" i="21"/>
  <c r="C25" i="21"/>
  <c r="B25" i="21"/>
  <c r="M25" i="21" s="1"/>
  <c r="C24" i="21"/>
  <c r="B24" i="21"/>
  <c r="M24" i="21" s="1"/>
  <c r="M23" i="21"/>
  <c r="C23" i="21"/>
  <c r="B23" i="21"/>
  <c r="C22" i="21"/>
  <c r="M22" i="21" s="1"/>
  <c r="B22" i="21"/>
  <c r="C21" i="21"/>
  <c r="B21" i="21"/>
  <c r="M21" i="21" s="1"/>
  <c r="C20" i="21"/>
  <c r="B20" i="21"/>
  <c r="M20" i="21" s="1"/>
  <c r="M19" i="21"/>
  <c r="C19" i="21"/>
  <c r="B19" i="21"/>
  <c r="C18" i="21"/>
  <c r="M18" i="21" s="1"/>
  <c r="B18" i="21"/>
  <c r="C17" i="21"/>
  <c r="B17" i="21"/>
  <c r="M17" i="21" s="1"/>
  <c r="C16" i="21"/>
  <c r="B16" i="21"/>
  <c r="M16" i="21" s="1"/>
  <c r="M15" i="21"/>
  <c r="C15" i="21"/>
  <c r="B15" i="21"/>
  <c r="C14" i="21"/>
  <c r="M14" i="21" s="1"/>
  <c r="B14" i="21"/>
  <c r="C13" i="21"/>
  <c r="B13" i="21"/>
  <c r="M13" i="21" s="1"/>
  <c r="C12" i="21"/>
  <c r="B12" i="21"/>
  <c r="M12" i="21" s="1"/>
  <c r="M11" i="21"/>
  <c r="C11" i="21"/>
  <c r="B11" i="21"/>
  <c r="C10" i="21"/>
  <c r="M10" i="21" s="1"/>
  <c r="B10" i="21"/>
  <c r="C9" i="21"/>
  <c r="B9" i="21"/>
  <c r="M9" i="21" s="1"/>
  <c r="C8" i="21"/>
  <c r="B8" i="21"/>
  <c r="M8" i="21" s="1"/>
  <c r="M7" i="21"/>
  <c r="C7" i="21"/>
  <c r="B7" i="21"/>
  <c r="C6" i="21"/>
  <c r="M6" i="21" s="1"/>
  <c r="B6" i="21"/>
  <c r="C5" i="21"/>
  <c r="B5" i="21"/>
  <c r="M5" i="21" s="1"/>
  <c r="C4" i="21"/>
  <c r="B4" i="21"/>
  <c r="M4" i="21" s="1"/>
  <c r="M3" i="21"/>
  <c r="C3" i="21"/>
  <c r="B3" i="21"/>
  <c r="C2" i="21"/>
  <c r="M2" i="21" s="1"/>
  <c r="B2" i="21"/>
  <c r="M46" i="20"/>
  <c r="M45" i="20"/>
  <c r="M44" i="20"/>
  <c r="M43" i="20"/>
  <c r="M42" i="20"/>
  <c r="M41" i="20"/>
  <c r="M40" i="20"/>
  <c r="M39" i="20"/>
  <c r="M38" i="20"/>
  <c r="C38" i="20"/>
  <c r="B38" i="20"/>
  <c r="M37" i="20"/>
  <c r="C37" i="20"/>
  <c r="B37" i="20"/>
  <c r="M36" i="20"/>
  <c r="D36" i="5" s="1"/>
  <c r="N104" i="5" s="1"/>
  <c r="M35" i="20"/>
  <c r="D35" i="5" s="1"/>
  <c r="N103" i="5" s="1"/>
  <c r="C34" i="20"/>
  <c r="B34" i="20"/>
  <c r="M34" i="20" s="1"/>
  <c r="C33" i="20"/>
  <c r="B33" i="20"/>
  <c r="M33" i="20" s="1"/>
  <c r="M32" i="20"/>
  <c r="C32" i="20"/>
  <c r="B32" i="20"/>
  <c r="C31" i="20"/>
  <c r="M31" i="20" s="1"/>
  <c r="B31" i="20"/>
  <c r="C30" i="20"/>
  <c r="B30" i="20"/>
  <c r="M30" i="20" s="1"/>
  <c r="C29" i="20"/>
  <c r="B29" i="20"/>
  <c r="M29" i="20" s="1"/>
  <c r="M28" i="20"/>
  <c r="C28" i="20"/>
  <c r="B28" i="20"/>
  <c r="C27" i="20"/>
  <c r="M27" i="20" s="1"/>
  <c r="B27" i="20"/>
  <c r="C26" i="20"/>
  <c r="B26" i="20"/>
  <c r="M26" i="20" s="1"/>
  <c r="C25" i="20"/>
  <c r="B25" i="20"/>
  <c r="M25" i="20" s="1"/>
  <c r="M24" i="20"/>
  <c r="C24" i="20"/>
  <c r="B24" i="20"/>
  <c r="C23" i="20"/>
  <c r="M23" i="20" s="1"/>
  <c r="B23" i="20"/>
  <c r="C22" i="20"/>
  <c r="B22" i="20"/>
  <c r="M22" i="20" s="1"/>
  <c r="M20" i="20"/>
  <c r="C20" i="20"/>
  <c r="B20" i="20"/>
  <c r="C19" i="20"/>
  <c r="M19" i="20" s="1"/>
  <c r="B19" i="20"/>
  <c r="C18" i="20"/>
  <c r="B18" i="20"/>
  <c r="M18" i="20" s="1"/>
  <c r="C17" i="20"/>
  <c r="B17" i="20"/>
  <c r="M17" i="20" s="1"/>
  <c r="M16" i="20"/>
  <c r="C16" i="20"/>
  <c r="B16" i="20"/>
  <c r="C15" i="20"/>
  <c r="M15" i="20" s="1"/>
  <c r="B15" i="20"/>
  <c r="C14" i="20"/>
  <c r="B14" i="20"/>
  <c r="M14" i="20" s="1"/>
  <c r="C13" i="20"/>
  <c r="B13" i="20"/>
  <c r="M13" i="20" s="1"/>
  <c r="M12" i="20"/>
  <c r="C12" i="20"/>
  <c r="B12" i="20"/>
  <c r="C11" i="20"/>
  <c r="M11" i="20" s="1"/>
  <c r="B11" i="20"/>
  <c r="C10" i="20"/>
  <c r="B10" i="20"/>
  <c r="M10" i="20" s="1"/>
  <c r="C9" i="20"/>
  <c r="B9" i="20"/>
  <c r="M9" i="20" s="1"/>
  <c r="M8" i="20"/>
  <c r="C8" i="20"/>
  <c r="B8" i="20"/>
  <c r="C7" i="20"/>
  <c r="M7" i="20" s="1"/>
  <c r="B7" i="20"/>
  <c r="C6" i="20"/>
  <c r="B6" i="20"/>
  <c r="M6" i="20" s="1"/>
  <c r="C5" i="20"/>
  <c r="B5" i="20"/>
  <c r="M5" i="20" s="1"/>
  <c r="M4" i="20"/>
  <c r="C4" i="20"/>
  <c r="B4" i="20"/>
  <c r="C3" i="20"/>
  <c r="M3" i="20" s="1"/>
  <c r="B3" i="20"/>
  <c r="C2" i="20"/>
  <c r="B2" i="20"/>
  <c r="M2" i="20" s="1"/>
  <c r="M46" i="19"/>
  <c r="M45" i="19"/>
  <c r="M44" i="19"/>
  <c r="M43" i="19"/>
  <c r="M42" i="19"/>
  <c r="M41" i="19"/>
  <c r="M40" i="19"/>
  <c r="M39" i="19"/>
  <c r="M38" i="19"/>
  <c r="C38" i="19"/>
  <c r="B38" i="19"/>
  <c r="C37" i="19"/>
  <c r="M37" i="19" s="1"/>
  <c r="B37" i="19"/>
  <c r="M36" i="19"/>
  <c r="M35" i="19"/>
  <c r="C34" i="19"/>
  <c r="B34" i="19"/>
  <c r="M34" i="19" s="1"/>
  <c r="M33" i="19"/>
  <c r="C33" i="19"/>
  <c r="B33" i="19"/>
  <c r="M32" i="19"/>
  <c r="C32" i="19"/>
  <c r="B32" i="19"/>
  <c r="C31" i="19"/>
  <c r="B31" i="19"/>
  <c r="M31" i="19" s="1"/>
  <c r="C30" i="19"/>
  <c r="B30" i="19"/>
  <c r="M30" i="19" s="1"/>
  <c r="M29" i="19"/>
  <c r="C29" i="19"/>
  <c r="B29" i="19"/>
  <c r="M28" i="19"/>
  <c r="C28" i="19"/>
  <c r="B28" i="19"/>
  <c r="C27" i="19"/>
  <c r="B27" i="19"/>
  <c r="M27" i="19" s="1"/>
  <c r="M21" i="19"/>
  <c r="C21" i="19"/>
  <c r="B21" i="19"/>
  <c r="C20" i="19"/>
  <c r="M20" i="19" s="1"/>
  <c r="B20" i="19"/>
  <c r="C19" i="19"/>
  <c r="B19" i="19"/>
  <c r="M19" i="19" s="1"/>
  <c r="C18" i="19"/>
  <c r="B18" i="19"/>
  <c r="M18" i="19" s="1"/>
  <c r="M17" i="19"/>
  <c r="C17" i="19"/>
  <c r="B17" i="19"/>
  <c r="C16" i="19"/>
  <c r="M16" i="19" s="1"/>
  <c r="B16" i="19"/>
  <c r="C15" i="19"/>
  <c r="B15" i="19"/>
  <c r="M15" i="19" s="1"/>
  <c r="C14" i="19"/>
  <c r="B14" i="19"/>
  <c r="M14" i="19" s="1"/>
  <c r="M13" i="19"/>
  <c r="C13" i="19"/>
  <c r="B13" i="19"/>
  <c r="C12" i="19"/>
  <c r="M12" i="19" s="1"/>
  <c r="B12" i="19"/>
  <c r="C11" i="19"/>
  <c r="B11" i="19"/>
  <c r="M11" i="19" s="1"/>
  <c r="C10" i="19"/>
  <c r="B10" i="19"/>
  <c r="M10" i="19" s="1"/>
  <c r="M9" i="19"/>
  <c r="C9" i="19"/>
  <c r="B9" i="19"/>
  <c r="C8" i="19"/>
  <c r="M8" i="19" s="1"/>
  <c r="B8" i="19"/>
  <c r="C7" i="19"/>
  <c r="B7" i="19"/>
  <c r="M7" i="19" s="1"/>
  <c r="C6" i="19"/>
  <c r="B6" i="19"/>
  <c r="M6" i="19" s="1"/>
  <c r="M5" i="19"/>
  <c r="C5" i="19"/>
  <c r="B5" i="19"/>
  <c r="C4" i="19"/>
  <c r="M4" i="19" s="1"/>
  <c r="B4" i="19"/>
  <c r="C3" i="19"/>
  <c r="B3" i="19"/>
  <c r="M3" i="19" s="1"/>
  <c r="C2" i="19"/>
  <c r="B2" i="19"/>
  <c r="M2" i="19" s="1"/>
  <c r="M46" i="18"/>
  <c r="M45" i="18"/>
  <c r="M44" i="18"/>
  <c r="M43" i="18"/>
  <c r="M42" i="18"/>
  <c r="M41" i="18"/>
  <c r="M40" i="18"/>
  <c r="M39" i="18"/>
  <c r="M38" i="18"/>
  <c r="C38" i="18"/>
  <c r="B38" i="18"/>
  <c r="C37" i="18"/>
  <c r="M37" i="18" s="1"/>
  <c r="B37" i="18"/>
  <c r="M36" i="18"/>
  <c r="M35" i="18"/>
  <c r="C34" i="18"/>
  <c r="B34" i="18"/>
  <c r="M34" i="18" s="1"/>
  <c r="M33" i="18"/>
  <c r="C33" i="18"/>
  <c r="B33" i="18"/>
  <c r="M32" i="18"/>
  <c r="C32" i="18"/>
  <c r="B32" i="18"/>
  <c r="C31" i="18"/>
  <c r="B31" i="18"/>
  <c r="M31" i="18" s="1"/>
  <c r="C30" i="18"/>
  <c r="B30" i="18"/>
  <c r="M30" i="18" s="1"/>
  <c r="M29" i="18"/>
  <c r="C29" i="18"/>
  <c r="B29" i="18"/>
  <c r="M28" i="18"/>
  <c r="C28" i="18"/>
  <c r="B28" i="18"/>
  <c r="C27" i="18"/>
  <c r="B27" i="18"/>
  <c r="M27" i="18" s="1"/>
  <c r="C26" i="18"/>
  <c r="B26" i="18"/>
  <c r="M26" i="18" s="1"/>
  <c r="M25" i="18"/>
  <c r="C25" i="18"/>
  <c r="B25" i="18"/>
  <c r="M24" i="18"/>
  <c r="C24" i="18"/>
  <c r="B24" i="18"/>
  <c r="C23" i="18"/>
  <c r="B23" i="18"/>
  <c r="M23" i="18" s="1"/>
  <c r="C22" i="18"/>
  <c r="B22" i="18"/>
  <c r="M22" i="18" s="1"/>
  <c r="M21" i="18"/>
  <c r="C21" i="18"/>
  <c r="B21" i="18"/>
  <c r="M20" i="18"/>
  <c r="C20" i="18"/>
  <c r="B20" i="18"/>
  <c r="C19" i="18"/>
  <c r="B19" i="18"/>
  <c r="M19" i="18" s="1"/>
  <c r="C18" i="18"/>
  <c r="B18" i="18"/>
  <c r="M18" i="18" s="1"/>
  <c r="M17" i="18"/>
  <c r="C17" i="18"/>
  <c r="B17" i="18"/>
  <c r="C16" i="18"/>
  <c r="M16" i="18" s="1"/>
  <c r="B16" i="18"/>
  <c r="C15" i="18"/>
  <c r="B15" i="18"/>
  <c r="M15" i="18" s="1"/>
  <c r="C14" i="18"/>
  <c r="B14" i="18"/>
  <c r="M14" i="18" s="1"/>
  <c r="M13" i="18"/>
  <c r="C13" i="18"/>
  <c r="B13" i="18"/>
  <c r="C12" i="18"/>
  <c r="M12" i="18" s="1"/>
  <c r="B12" i="18"/>
  <c r="C11" i="18"/>
  <c r="B11" i="18"/>
  <c r="M11" i="18" s="1"/>
  <c r="C10" i="18"/>
  <c r="B10" i="18"/>
  <c r="M10" i="18" s="1"/>
  <c r="M9" i="18"/>
  <c r="C9" i="18"/>
  <c r="B9" i="18"/>
  <c r="C8" i="18"/>
  <c r="M8" i="18" s="1"/>
  <c r="B8" i="18"/>
  <c r="C7" i="18"/>
  <c r="B7" i="18"/>
  <c r="M7" i="18" s="1"/>
  <c r="C6" i="18"/>
  <c r="B6" i="18"/>
  <c r="M6" i="18" s="1"/>
  <c r="M5" i="18"/>
  <c r="C5" i="18"/>
  <c r="B5" i="18"/>
  <c r="C4" i="18"/>
  <c r="M4" i="18" s="1"/>
  <c r="B4" i="18"/>
  <c r="C3" i="18"/>
  <c r="B3" i="18"/>
  <c r="M3" i="18" s="1"/>
  <c r="C2" i="18"/>
  <c r="B2" i="18"/>
  <c r="M2" i="18" s="1"/>
  <c r="M46" i="17"/>
  <c r="M45" i="17"/>
  <c r="M44" i="17"/>
  <c r="M43" i="17"/>
  <c r="M42" i="17"/>
  <c r="M41" i="17"/>
  <c r="M40" i="17"/>
  <c r="M39" i="17"/>
  <c r="M38" i="17"/>
  <c r="C38" i="17"/>
  <c r="B38" i="17"/>
  <c r="M37" i="17"/>
  <c r="C37" i="17"/>
  <c r="B37" i="17"/>
  <c r="M36" i="17"/>
  <c r="M35" i="17"/>
  <c r="C34" i="17"/>
  <c r="B34" i="17"/>
  <c r="M34" i="17" s="1"/>
  <c r="C33" i="17"/>
  <c r="B33" i="17"/>
  <c r="M33" i="17" s="1"/>
  <c r="M32" i="17"/>
  <c r="C32" i="17"/>
  <c r="B32" i="17"/>
  <c r="M31" i="17"/>
  <c r="C31" i="17"/>
  <c r="B31" i="17"/>
  <c r="C30" i="17"/>
  <c r="B30" i="17"/>
  <c r="M30" i="17" s="1"/>
  <c r="C29" i="17"/>
  <c r="B29" i="17"/>
  <c r="M29" i="17" s="1"/>
  <c r="M28" i="17"/>
  <c r="C28" i="17"/>
  <c r="B28" i="17"/>
  <c r="M27" i="17"/>
  <c r="C27" i="17"/>
  <c r="B27" i="17"/>
  <c r="C26" i="17"/>
  <c r="B26" i="17"/>
  <c r="M26" i="17" s="1"/>
  <c r="C25" i="17"/>
  <c r="B25" i="17"/>
  <c r="M25" i="17" s="1"/>
  <c r="M24" i="17"/>
  <c r="C24" i="17"/>
  <c r="B24" i="17"/>
  <c r="M23" i="17"/>
  <c r="C23" i="17"/>
  <c r="B23" i="17"/>
  <c r="C22" i="17"/>
  <c r="B22" i="17"/>
  <c r="M22" i="17" s="1"/>
  <c r="C21" i="17"/>
  <c r="B21" i="17"/>
  <c r="M21" i="17" s="1"/>
  <c r="M20" i="17"/>
  <c r="C20" i="17"/>
  <c r="B20" i="17"/>
  <c r="C19" i="17"/>
  <c r="M19" i="17" s="1"/>
  <c r="B19" i="17"/>
  <c r="C18" i="17"/>
  <c r="B18" i="17"/>
  <c r="M18" i="17" s="1"/>
  <c r="C17" i="17"/>
  <c r="B17" i="17"/>
  <c r="M17" i="17" s="1"/>
  <c r="C11" i="17"/>
  <c r="M11" i="17" s="1"/>
  <c r="B11" i="17"/>
  <c r="C10" i="17"/>
  <c r="B10" i="17"/>
  <c r="M10" i="17" s="1"/>
  <c r="C9" i="17"/>
  <c r="B9" i="17"/>
  <c r="M9" i="17" s="1"/>
  <c r="M8" i="17"/>
  <c r="C8" i="17"/>
  <c r="B8" i="17"/>
  <c r="C7" i="17"/>
  <c r="M7" i="17" s="1"/>
  <c r="B7" i="17"/>
  <c r="C6" i="17"/>
  <c r="B6" i="17"/>
  <c r="M6" i="17" s="1"/>
  <c r="C5" i="17"/>
  <c r="B5" i="17"/>
  <c r="M5" i="17" s="1"/>
  <c r="M4" i="17"/>
  <c r="C4" i="17"/>
  <c r="B4" i="17"/>
  <c r="C3" i="17"/>
  <c r="M3" i="17" s="1"/>
  <c r="B3" i="17"/>
  <c r="C2" i="17"/>
  <c r="B2" i="17"/>
  <c r="M2" i="17" s="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I36" i="5" s="1"/>
  <c r="N329" i="5" s="1"/>
  <c r="M37" i="11"/>
  <c r="M38" i="11"/>
  <c r="M39" i="11"/>
  <c r="I39" i="5" s="1"/>
  <c r="N332" i="5" s="1"/>
  <c r="M40" i="11"/>
  <c r="I40" i="5" s="1"/>
  <c r="N333" i="5" s="1"/>
  <c r="M41" i="11"/>
  <c r="I41" i="5" s="1"/>
  <c r="N334" i="5" s="1"/>
  <c r="M42" i="11"/>
  <c r="M43" i="11"/>
  <c r="M44" i="11"/>
  <c r="I44" i="5" s="1"/>
  <c r="N337" i="5" s="1"/>
  <c r="M45" i="11"/>
  <c r="I45" i="5" s="1"/>
  <c r="N338" i="5" s="1"/>
  <c r="M46" i="11"/>
  <c r="I46" i="5" s="1"/>
  <c r="N339" i="5" s="1"/>
  <c r="B43" i="11"/>
  <c r="C43" i="11"/>
  <c r="C42" i="11"/>
  <c r="B38" i="11"/>
  <c r="C38" i="11"/>
  <c r="C37" i="11"/>
  <c r="B33" i="11"/>
  <c r="C33" i="11"/>
  <c r="B34" i="11"/>
  <c r="C34" i="11"/>
  <c r="C32" i="11"/>
  <c r="B28" i="11"/>
  <c r="C28" i="11"/>
  <c r="B29" i="11"/>
  <c r="C29" i="11"/>
  <c r="B30" i="11"/>
  <c r="C30" i="11"/>
  <c r="B31" i="11"/>
  <c r="C31" i="11"/>
  <c r="C27" i="11"/>
  <c r="B23" i="11"/>
  <c r="C23" i="11"/>
  <c r="B24" i="11"/>
  <c r="C24" i="11"/>
  <c r="B25" i="11"/>
  <c r="C25" i="11"/>
  <c r="B26" i="11"/>
  <c r="C26" i="11"/>
  <c r="C22" i="11"/>
  <c r="B42" i="11"/>
  <c r="B37" i="11"/>
  <c r="B32" i="11"/>
  <c r="B27" i="11"/>
  <c r="B22" i="11"/>
  <c r="C19" i="11"/>
  <c r="B18" i="11"/>
  <c r="C18" i="11"/>
  <c r="B19" i="11"/>
  <c r="B20" i="11"/>
  <c r="C20" i="11"/>
  <c r="B21" i="11"/>
  <c r="C21" i="11"/>
  <c r="C17" i="11"/>
  <c r="B17" i="11"/>
  <c r="B13" i="11"/>
  <c r="C13" i="11"/>
  <c r="B14" i="11"/>
  <c r="C14" i="11"/>
  <c r="B15" i="11"/>
  <c r="C15" i="11"/>
  <c r="B16" i="11"/>
  <c r="C16" i="11"/>
  <c r="C12" i="11"/>
  <c r="B12" i="11"/>
  <c r="B8" i="11"/>
  <c r="C8" i="11"/>
  <c r="B9" i="11"/>
  <c r="C9" i="11"/>
  <c r="B10" i="11"/>
  <c r="C10" i="11"/>
  <c r="B11" i="11"/>
  <c r="C11" i="11"/>
  <c r="C7" i="11"/>
  <c r="B7" i="11"/>
  <c r="C3" i="11"/>
  <c r="C4" i="11"/>
  <c r="C5" i="11"/>
  <c r="C6" i="11"/>
  <c r="C2" i="11"/>
  <c r="B2" i="11"/>
  <c r="B3" i="11"/>
  <c r="B4" i="11"/>
  <c r="B5" i="11"/>
  <c r="B6" i="11"/>
  <c r="L26" i="10"/>
  <c r="L25" i="10"/>
  <c r="L24" i="10"/>
  <c r="L23" i="10"/>
  <c r="L22" i="10"/>
  <c r="L21" i="10"/>
  <c r="L20" i="10"/>
  <c r="L19" i="10"/>
  <c r="L18" i="10"/>
  <c r="R28" i="5" l="1"/>
  <c r="R32" i="5"/>
  <c r="R36" i="5"/>
  <c r="R40" i="5"/>
  <c r="R44" i="5"/>
  <c r="R48" i="5"/>
  <c r="R52" i="5"/>
  <c r="R56" i="5"/>
  <c r="R60" i="5"/>
  <c r="R64" i="5"/>
  <c r="R68" i="5"/>
  <c r="R72" i="5"/>
  <c r="R76" i="5"/>
  <c r="R80" i="5"/>
  <c r="R84" i="5"/>
  <c r="R88" i="5"/>
  <c r="R92" i="5"/>
  <c r="R96" i="5"/>
  <c r="R100" i="5"/>
  <c r="R104" i="5"/>
  <c r="R108" i="5"/>
  <c r="R112" i="5"/>
  <c r="R116" i="5"/>
  <c r="R120" i="5"/>
  <c r="R124" i="5"/>
  <c r="R128" i="5"/>
  <c r="R132" i="5"/>
  <c r="R136" i="5"/>
  <c r="R140" i="5"/>
  <c r="R144" i="5"/>
  <c r="R148" i="5"/>
  <c r="R152" i="5"/>
  <c r="R156" i="5"/>
  <c r="R160" i="5"/>
  <c r="R164" i="5"/>
  <c r="R168" i="5"/>
  <c r="R172" i="5"/>
  <c r="R176" i="5"/>
  <c r="R180" i="5"/>
  <c r="R184" i="5"/>
  <c r="R188" i="5"/>
  <c r="R192" i="5"/>
  <c r="R196" i="5"/>
  <c r="R200" i="5"/>
  <c r="R204" i="5"/>
  <c r="R208" i="5"/>
  <c r="R212" i="5"/>
  <c r="R216" i="5"/>
  <c r="R220" i="5"/>
  <c r="R224" i="5"/>
  <c r="R228" i="5"/>
  <c r="R232" i="5"/>
  <c r="R236" i="5"/>
  <c r="R240" i="5"/>
  <c r="R244" i="5"/>
  <c r="R248" i="5"/>
  <c r="R252" i="5"/>
  <c r="R256" i="5"/>
  <c r="R260" i="5"/>
  <c r="R264" i="5"/>
  <c r="R268" i="5"/>
  <c r="R272" i="5"/>
  <c r="R276" i="5"/>
  <c r="R280" i="5"/>
  <c r="R284" i="5"/>
  <c r="R288" i="5"/>
  <c r="R292" i="5"/>
  <c r="R296" i="5"/>
  <c r="R300" i="5"/>
  <c r="R304" i="5"/>
  <c r="R308" i="5"/>
  <c r="R312" i="5"/>
  <c r="R316" i="5"/>
  <c r="R320" i="5"/>
  <c r="R324" i="5"/>
  <c r="R328" i="5"/>
  <c r="R332" i="5"/>
  <c r="R29" i="5"/>
  <c r="R33" i="5"/>
  <c r="R37" i="5"/>
  <c r="R41" i="5"/>
  <c r="R45" i="5"/>
  <c r="R49" i="5"/>
  <c r="R53" i="5"/>
  <c r="R57" i="5"/>
  <c r="R61" i="5"/>
  <c r="R65" i="5"/>
  <c r="R69" i="5"/>
  <c r="R73" i="5"/>
  <c r="R77" i="5"/>
  <c r="R81" i="5"/>
  <c r="R85" i="5"/>
  <c r="R89" i="5"/>
  <c r="R93" i="5"/>
  <c r="R97" i="5"/>
  <c r="R101" i="5"/>
  <c r="R105" i="5"/>
  <c r="R109" i="5"/>
  <c r="R113" i="5"/>
  <c r="R117" i="5"/>
  <c r="R121" i="5"/>
  <c r="R125" i="5"/>
  <c r="R129" i="5"/>
  <c r="R133" i="5"/>
  <c r="R137" i="5"/>
  <c r="R141" i="5"/>
  <c r="R145" i="5"/>
  <c r="R149" i="5"/>
  <c r="R153" i="5"/>
  <c r="R157" i="5"/>
  <c r="R161" i="5"/>
  <c r="R165" i="5"/>
  <c r="R169" i="5"/>
  <c r="R173" i="5"/>
  <c r="R177" i="5"/>
  <c r="R181" i="5"/>
  <c r="R185" i="5"/>
  <c r="R189" i="5"/>
  <c r="R193" i="5"/>
  <c r="R197" i="5"/>
  <c r="R201" i="5"/>
  <c r="R205" i="5"/>
  <c r="R209" i="5"/>
  <c r="R213" i="5"/>
  <c r="R217" i="5"/>
  <c r="R221" i="5"/>
  <c r="R225" i="5"/>
  <c r="R229" i="5"/>
  <c r="R233" i="5"/>
  <c r="R237" i="5"/>
  <c r="R241" i="5"/>
  <c r="R245" i="5"/>
  <c r="R249" i="5"/>
  <c r="R253" i="5"/>
  <c r="R257" i="5"/>
  <c r="R261" i="5"/>
  <c r="R265" i="5"/>
  <c r="R269" i="5"/>
  <c r="R273" i="5"/>
  <c r="R277" i="5"/>
  <c r="R281" i="5"/>
  <c r="R285" i="5"/>
  <c r="R289" i="5"/>
  <c r="R293" i="5"/>
  <c r="R297" i="5"/>
  <c r="R301" i="5"/>
  <c r="R305" i="5"/>
  <c r="R309" i="5"/>
  <c r="R313" i="5"/>
  <c r="R317" i="5"/>
  <c r="R321" i="5"/>
  <c r="R325" i="5"/>
  <c r="R329" i="5"/>
  <c r="R333" i="5"/>
  <c r="R337" i="5"/>
  <c r="R334" i="5"/>
  <c r="R25" i="5"/>
  <c r="R26" i="5"/>
  <c r="R30" i="5"/>
  <c r="R34" i="5"/>
  <c r="R38" i="5"/>
  <c r="R42" i="5"/>
  <c r="R46" i="5"/>
  <c r="R50" i="5"/>
  <c r="R54" i="5"/>
  <c r="R58" i="5"/>
  <c r="R62" i="5"/>
  <c r="R66" i="5"/>
  <c r="R70" i="5"/>
  <c r="R74" i="5"/>
  <c r="R78" i="5"/>
  <c r="R82" i="5"/>
  <c r="R86" i="5"/>
  <c r="R90" i="5"/>
  <c r="R94" i="5"/>
  <c r="R98" i="5"/>
  <c r="R102" i="5"/>
  <c r="R106" i="5"/>
  <c r="R110" i="5"/>
  <c r="R114" i="5"/>
  <c r="R118" i="5"/>
  <c r="R122" i="5"/>
  <c r="R126" i="5"/>
  <c r="R130" i="5"/>
  <c r="R134" i="5"/>
  <c r="R138" i="5"/>
  <c r="R142" i="5"/>
  <c r="R146" i="5"/>
  <c r="R150" i="5"/>
  <c r="R154" i="5"/>
  <c r="R158" i="5"/>
  <c r="R162" i="5"/>
  <c r="R166" i="5"/>
  <c r="R170" i="5"/>
  <c r="R174" i="5"/>
  <c r="R178" i="5"/>
  <c r="R182" i="5"/>
  <c r="R186" i="5"/>
  <c r="R190" i="5"/>
  <c r="R194" i="5"/>
  <c r="R198" i="5"/>
  <c r="R202" i="5"/>
  <c r="R206" i="5"/>
  <c r="R210" i="5"/>
  <c r="R214" i="5"/>
  <c r="R218" i="5"/>
  <c r="R222" i="5"/>
  <c r="R226" i="5"/>
  <c r="R230" i="5"/>
  <c r="R234" i="5"/>
  <c r="R238" i="5"/>
  <c r="R242" i="5"/>
  <c r="R246" i="5"/>
  <c r="R250" i="5"/>
  <c r="R254" i="5"/>
  <c r="R258" i="5"/>
  <c r="R262" i="5"/>
  <c r="R266" i="5"/>
  <c r="R270" i="5"/>
  <c r="R274" i="5"/>
  <c r="R278" i="5"/>
  <c r="R282" i="5"/>
  <c r="R286" i="5"/>
  <c r="R290" i="5"/>
  <c r="R294" i="5"/>
  <c r="R298" i="5"/>
  <c r="R302" i="5"/>
  <c r="R306" i="5"/>
  <c r="R310" i="5"/>
  <c r="R314" i="5"/>
  <c r="R318" i="5"/>
  <c r="R322" i="5"/>
  <c r="R326" i="5"/>
  <c r="R330" i="5"/>
  <c r="R338" i="5"/>
  <c r="R27" i="5"/>
  <c r="R31" i="5"/>
  <c r="R35" i="5"/>
  <c r="R39" i="5"/>
  <c r="R43" i="5"/>
  <c r="R47" i="5"/>
  <c r="R51" i="5"/>
  <c r="R55" i="5"/>
  <c r="R59" i="5"/>
  <c r="R63" i="5"/>
  <c r="R67" i="5"/>
  <c r="R71" i="5"/>
  <c r="R75" i="5"/>
  <c r="R79" i="5"/>
  <c r="R83" i="5"/>
  <c r="R87" i="5"/>
  <c r="R91" i="5"/>
  <c r="R95" i="5"/>
  <c r="R99" i="5"/>
  <c r="R103" i="5"/>
  <c r="R107" i="5"/>
  <c r="R111" i="5"/>
  <c r="R115" i="5"/>
  <c r="R119" i="5"/>
  <c r="R123" i="5"/>
  <c r="R127" i="5"/>
  <c r="R131" i="5"/>
  <c r="R135" i="5"/>
  <c r="R139" i="5"/>
  <c r="R143" i="5"/>
  <c r="R147" i="5"/>
  <c r="R151" i="5"/>
  <c r="R155" i="5"/>
  <c r="R159" i="5"/>
  <c r="R163" i="5"/>
  <c r="R167" i="5"/>
  <c r="R171" i="5"/>
  <c r="R175" i="5"/>
  <c r="R179" i="5"/>
  <c r="R183" i="5"/>
  <c r="R187" i="5"/>
  <c r="R191" i="5"/>
  <c r="R195" i="5"/>
  <c r="R199" i="5"/>
  <c r="R203" i="5"/>
  <c r="R207" i="5"/>
  <c r="R211" i="5"/>
  <c r="R215" i="5"/>
  <c r="R219" i="5"/>
  <c r="R223" i="5"/>
  <c r="R227" i="5"/>
  <c r="R231" i="5"/>
  <c r="R235" i="5"/>
  <c r="R239" i="5"/>
  <c r="R243" i="5"/>
  <c r="R247" i="5"/>
  <c r="R251" i="5"/>
  <c r="R255" i="5"/>
  <c r="R259" i="5"/>
  <c r="R263" i="5"/>
  <c r="R267" i="5"/>
  <c r="R271" i="5"/>
  <c r="R275" i="5"/>
  <c r="R279" i="5"/>
  <c r="R283" i="5"/>
  <c r="R287" i="5"/>
  <c r="R291" i="5"/>
  <c r="R295" i="5"/>
  <c r="R299" i="5"/>
  <c r="R303" i="5"/>
  <c r="R307" i="5"/>
  <c r="R311" i="5"/>
  <c r="R315" i="5"/>
  <c r="R319" i="5"/>
  <c r="R323" i="5"/>
  <c r="R327" i="5"/>
  <c r="R331" i="5"/>
  <c r="R335" i="5"/>
  <c r="R339" i="5"/>
  <c r="R336" i="5"/>
  <c r="P2" i="5"/>
  <c r="M76" i="7"/>
  <c r="M84" i="7"/>
  <c r="M83" i="7"/>
  <c r="M82" i="7"/>
  <c r="M81" i="7"/>
  <c r="M80" i="7"/>
  <c r="M79" i="7"/>
  <c r="M78" i="7"/>
  <c r="M77" i="7"/>
  <c r="J3" i="6"/>
  <c r="R340" i="5" l="1"/>
  <c r="P340" i="5"/>
  <c r="D3" i="7"/>
  <c r="E22" i="7"/>
  <c r="E4" i="7"/>
  <c r="D40" i="7"/>
  <c r="D34" i="7"/>
  <c r="D24" i="7"/>
  <c r="E6" i="7"/>
  <c r="D18" i="7"/>
  <c r="D33" i="7"/>
  <c r="E27" i="7"/>
  <c r="D8" i="7"/>
  <c r="D35" i="7"/>
  <c r="E21" i="7"/>
  <c r="D2" i="7"/>
  <c r="E36" i="7"/>
  <c r="D17" i="7"/>
  <c r="E43" i="7"/>
  <c r="E37" i="7"/>
  <c r="E11" i="7"/>
  <c r="E38" i="7"/>
  <c r="D19" i="7"/>
  <c r="E5" i="7"/>
  <c r="E20" i="7"/>
  <c r="E7" i="7"/>
  <c r="D4" i="7"/>
  <c r="D46" i="7"/>
  <c r="D45" i="7"/>
  <c r="E39" i="7"/>
  <c r="D36" i="7"/>
  <c r="E18" i="7"/>
  <c r="D15" i="7"/>
  <c r="E33" i="7"/>
  <c r="D30" i="7"/>
  <c r="E32" i="7"/>
  <c r="D29" i="7"/>
  <c r="E35" i="7"/>
  <c r="E19" i="7"/>
  <c r="E3" i="7"/>
  <c r="D32" i="7"/>
  <c r="D16" i="7"/>
  <c r="E46" i="7"/>
  <c r="E30" i="7"/>
  <c r="E14" i="7"/>
  <c r="D43" i="7"/>
  <c r="D27" i="7"/>
  <c r="D11" i="7"/>
  <c r="E45" i="7"/>
  <c r="E29" i="7"/>
  <c r="E13" i="7"/>
  <c r="D42" i="7"/>
  <c r="D26" i="7"/>
  <c r="D10" i="7"/>
  <c r="E44" i="7"/>
  <c r="E28" i="7"/>
  <c r="E12" i="7"/>
  <c r="D41" i="7"/>
  <c r="D25" i="7"/>
  <c r="D9" i="7"/>
  <c r="E23" i="7"/>
  <c r="D20" i="7"/>
  <c r="E34" i="7"/>
  <c r="D31" i="7"/>
  <c r="E17" i="7"/>
  <c r="D14" i="7"/>
  <c r="E16" i="7"/>
  <c r="D13" i="7"/>
  <c r="E31" i="7"/>
  <c r="E15" i="7"/>
  <c r="D44" i="7"/>
  <c r="D28" i="7"/>
  <c r="D12" i="7"/>
  <c r="E42" i="7"/>
  <c r="E26" i="7"/>
  <c r="E10" i="7"/>
  <c r="D39" i="7"/>
  <c r="D23" i="7"/>
  <c r="D7" i="7"/>
  <c r="E41" i="7"/>
  <c r="E25" i="7"/>
  <c r="E9" i="7"/>
  <c r="D38" i="7"/>
  <c r="D22" i="7"/>
  <c r="D6" i="7"/>
  <c r="E40" i="7"/>
  <c r="E24" i="7"/>
  <c r="E8" i="7"/>
  <c r="D37" i="7"/>
  <c r="D21" i="7"/>
  <c r="D5" i="7"/>
</calcChain>
</file>

<file path=xl/sharedStrings.xml><?xml version="1.0" encoding="utf-8"?>
<sst xmlns="http://schemas.openxmlformats.org/spreadsheetml/2006/main" count="1265" uniqueCount="99">
  <si>
    <t>Gjuttemperatur</t>
  </si>
  <si>
    <t>Temperatur motgjutningsyta</t>
  </si>
  <si>
    <t>Väderskydd, uppvärmning (ingen vind)</t>
  </si>
  <si>
    <t>Täckning [mm]</t>
  </si>
  <si>
    <t>Temperatur</t>
  </si>
  <si>
    <t>Vind</t>
  </si>
  <si>
    <t>&lt;14 d och &gt;70 % [Dagar]</t>
  </si>
  <si>
    <t>OK &lt;14 Dagar</t>
  </si>
  <si>
    <t>&lt;21 d och &gt;70 % [Dagar]</t>
  </si>
  <si>
    <t>OK &lt;21 Dagar</t>
  </si>
  <si>
    <t>Kommentar</t>
  </si>
  <si>
    <t>Åtgärdskåd</t>
  </si>
  <si>
    <t>C20/25</t>
  </si>
  <si>
    <t>-</t>
  </si>
  <si>
    <t>OK14</t>
  </si>
  <si>
    <t>Presenning</t>
  </si>
  <si>
    <t>Frys innan täck</t>
  </si>
  <si>
    <t>C28/35</t>
  </si>
  <si>
    <t>C35/45</t>
  </si>
  <si>
    <t>OK under 14 D</t>
  </si>
  <si>
    <t>C40/50</t>
  </si>
  <si>
    <t>OK21</t>
  </si>
  <si>
    <t>C25/30</t>
  </si>
  <si>
    <t>Når ej 70%</t>
  </si>
  <si>
    <t>Column1</t>
  </si>
  <si>
    <t>Åtgärdssvårighet</t>
  </si>
  <si>
    <t>Nummer</t>
  </si>
  <si>
    <t>Paket</t>
  </si>
  <si>
    <t>Betongkvalitet</t>
  </si>
  <si>
    <t>Gjuttemperatur (varmbetong)</t>
  </si>
  <si>
    <t>Ok under 21 D</t>
  </si>
  <si>
    <t>Jobbighetsnivå</t>
  </si>
  <si>
    <t>Temperatur [°C]</t>
  </si>
  <si>
    <t>Vind [m/s]</t>
  </si>
  <si>
    <t>Väderskydd med uppvärmning</t>
  </si>
  <si>
    <t>OK&lt;14D</t>
  </si>
  <si>
    <t>OK&lt;21D</t>
  </si>
  <si>
    <t>Utomhustemperatur</t>
  </si>
  <si>
    <t>Väderskydd</t>
  </si>
  <si>
    <t>Riktig temp under</t>
  </si>
  <si>
    <t>Temperatur motgjutiningsyta</t>
  </si>
  <si>
    <t>Ok under 14 d</t>
  </si>
  <si>
    <t>OK under 21 D</t>
  </si>
  <si>
    <t>Utgångspunkt</t>
  </si>
  <si>
    <t>Värden</t>
  </si>
  <si>
    <t>Tjocklek plattbärlag</t>
  </si>
  <si>
    <t>50 mm</t>
  </si>
  <si>
    <t>Tjocklek pågjutning</t>
  </si>
  <si>
    <t>190 mm</t>
  </si>
  <si>
    <t>C30/37</t>
  </si>
  <si>
    <t>70% hållfasthet</t>
  </si>
  <si>
    <t>14 eller 21 dagar</t>
  </si>
  <si>
    <t>C32/40</t>
  </si>
  <si>
    <t>Mellan 14-21 dagar</t>
  </si>
  <si>
    <t>Täckning</t>
  </si>
  <si>
    <t>Påläggning efter 1 timme</t>
  </si>
  <si>
    <t>Slagg mäng</t>
  </si>
  <si>
    <t>Slagg mängd</t>
  </si>
  <si>
    <t>&lt;----</t>
  </si>
  <si>
    <t>Pressäning</t>
  </si>
  <si>
    <t>^^</t>
  </si>
  <si>
    <t>Isolering</t>
  </si>
  <si>
    <t>Mindska slagg --&gt;</t>
  </si>
  <si>
    <t>Vindskydd</t>
  </si>
  <si>
    <t>17.5</t>
  </si>
  <si>
    <t>24.5</t>
  </si>
  <si>
    <t>25.9</t>
  </si>
  <si>
    <t>31.5</t>
  </si>
  <si>
    <t>&lt;---</t>
  </si>
  <si>
    <t>Vindskydd+diesel (20)</t>
  </si>
  <si>
    <t>Komentar</t>
  </si>
  <si>
    <t>C28/25</t>
  </si>
  <si>
    <t>0,41520--OK14</t>
  </si>
  <si>
    <t>0,41515--OK14</t>
  </si>
  <si>
    <t>0,41510--OK14</t>
  </si>
  <si>
    <t>0,41510010OK14</t>
  </si>
  <si>
    <t>0,420520-OK14</t>
  </si>
  <si>
    <t>0,420520PresenningOK14</t>
  </si>
  <si>
    <t>0,42052010OK14</t>
  </si>
  <si>
    <t>0,42052020OK14</t>
  </si>
  <si>
    <t>0,42052030OK14</t>
  </si>
  <si>
    <t>0,32052050OK14</t>
  </si>
  <si>
    <t>-----Frys innan täck</t>
  </si>
  <si>
    <t>0,11552050OK14</t>
  </si>
  <si>
    <t>-----Når ej 70%</t>
  </si>
  <si>
    <t>0,415100-OK14</t>
  </si>
  <si>
    <t>0,42052050OK14</t>
  </si>
  <si>
    <t>0,4205050OK14</t>
  </si>
  <si>
    <t>0,21552050OK14</t>
  </si>
  <si>
    <t>0,4205030OK14</t>
  </si>
  <si>
    <t>0,4205020OK14</t>
  </si>
  <si>
    <t>0,31552050OK14</t>
  </si>
  <si>
    <t>0,4205010OK14</t>
  </si>
  <si>
    <t>0,42050PresenningOK14</t>
  </si>
  <si>
    <t>0,11052050OK14</t>
  </si>
  <si>
    <t>Slagg %</t>
  </si>
  <si>
    <t>bas</t>
  </si>
  <si>
    <t>C28/37</t>
  </si>
  <si>
    <t>Slagghalt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</si>
</sst>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7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thin">
        <color theme="9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2" borderId="1" xfId="0" applyFill="1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right" wrapText="1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1" fillId="0" borderId="23" xfId="0" applyFont="1" applyBorder="1"/>
    <xf numFmtId="0" fontId="1" fillId="0" borderId="24" xfId="0" applyFont="1" applyBorder="1"/>
    <xf numFmtId="0" fontId="0" fillId="2" borderId="13" xfId="0" applyFill="1" applyBorder="1"/>
    <xf numFmtId="0" fontId="0" fillId="2" borderId="14" xfId="0" applyFill="1" applyBorder="1"/>
    <xf numFmtId="0" fontId="0" fillId="0" borderId="15" xfId="0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2" borderId="5" xfId="0" quotePrefix="1" applyFont="1" applyFill="1" applyBorder="1" applyAlignment="1">
      <alignment horizontal="center" vertical="center"/>
    </xf>
    <xf numFmtId="0" fontId="2" fillId="2" borderId="8" xfId="0" quotePrefix="1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33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0" borderId="40" xfId="0" applyBorder="1"/>
    <xf numFmtId="0" fontId="0" fillId="0" borderId="37" xfId="0" applyBorder="1"/>
    <xf numFmtId="0" fontId="0" fillId="0" borderId="4" xfId="0" applyBorder="1"/>
    <xf numFmtId="0" fontId="0" fillId="0" borderId="33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3" xfId="0" applyBorder="1"/>
    <xf numFmtId="0" fontId="0" fillId="0" borderId="48" xfId="0" applyBorder="1"/>
    <xf numFmtId="0" fontId="0" fillId="0" borderId="21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7" xfId="0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5" fillId="0" borderId="49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39" xfId="0" applyFont="1" applyBorder="1" applyAlignment="1">
      <alignment wrapText="1"/>
    </xf>
    <xf numFmtId="0" fontId="5" fillId="0" borderId="0" xfId="0" applyFont="1" applyAlignment="1">
      <alignment horizontal="right" wrapText="1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0" xfId="0" applyNumberFormat="1"/>
    <xf numFmtId="9" fontId="0" fillId="0" borderId="0" xfId="0" quotePrefix="1" applyNumberFormat="1"/>
    <xf numFmtId="9" fontId="0" fillId="0" borderId="5" xfId="0" applyNumberFormat="1" applyBorder="1"/>
    <xf numFmtId="9" fontId="0" fillId="0" borderId="8" xfId="0" applyNumberFormat="1" applyBorder="1"/>
    <xf numFmtId="9" fontId="0" fillId="0" borderId="10" xfId="0" applyNumberFormat="1" applyBorder="1"/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5" xfId="0" applyBorder="1" applyAlignment="1">
      <alignment horizontal="left" wrapText="1"/>
    </xf>
    <xf numFmtId="0" fontId="0" fillId="0" borderId="0" xfId="0" applyAlignment="1">
      <alignment horizontal="center"/>
    </xf>
    <xf numFmtId="9" fontId="0" fillId="0" borderId="31" xfId="0" applyNumberFormat="1" applyBorder="1" applyAlignment="1">
      <alignment wrapText="1"/>
    </xf>
    <xf numFmtId="9" fontId="0" fillId="0" borderId="6" xfId="0" applyNumberFormat="1" applyBorder="1"/>
    <xf numFmtId="9" fontId="0" fillId="0" borderId="7" xfId="0" applyNumberFormat="1" applyBorder="1"/>
    <xf numFmtId="0" fontId="0" fillId="0" borderId="31" xfId="0" applyBorder="1"/>
    <xf numFmtId="0" fontId="0" fillId="0" borderId="38" xfId="0" applyBorder="1"/>
    <xf numFmtId="0" fontId="0" fillId="0" borderId="30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2" borderId="55" xfId="0" applyFill="1" applyBorder="1"/>
    <xf numFmtId="0" fontId="0" fillId="2" borderId="56" xfId="0" applyFill="1" applyBorder="1"/>
    <xf numFmtId="0" fontId="0" fillId="2" borderId="11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10" xfId="0" applyFill="1" applyBorder="1"/>
    <xf numFmtId="9" fontId="0" fillId="0" borderId="37" xfId="0" applyNumberFormat="1" applyBorder="1" applyAlignment="1">
      <alignment horizontal="center"/>
    </xf>
    <xf numFmtId="0" fontId="0" fillId="2" borderId="50" xfId="0" applyFill="1" applyBorder="1" applyAlignment="1">
      <alignment horizontal="center"/>
    </xf>
  </cellXfs>
  <cellStyles count="1">
    <cellStyle name="Normal" xfId="0" builtinId="0"/>
  </cellStyles>
  <dxfs count="179"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type="path" left="0.5" right="0.5" top="0.5" bottom="0.5">
          <stop position="0">
            <color theme="7"/>
          </stop>
          <stop position="1">
            <color theme="9" tint="0.59999389629810485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 style="thin">
          <color indexed="64"/>
        </right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indexed="64"/>
        </bottom>
      </border>
    </dxf>
    <dxf>
      <numFmt numFmtId="13" formatCode="0%"/>
      <border diagonalUp="0" diagonalDown="0">
        <left/>
        <right/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4D4D671-B463-4013-951F-856561F01DCC}" name="Table141719202122" displayName="Table141719202122" ref="A1:M46" totalsRowShown="0" headerRowDxfId="165" headerRowBorderDxfId="164">
  <autoFilter ref="A1:M46" xr:uid="{2B80540F-6D64-4945-8E3A-E73BBAD63E67}"/>
  <sortState xmlns:xlrd2="http://schemas.microsoft.com/office/spreadsheetml/2017/richdata2" ref="A2:L46">
    <sortCondition descending="1" ref="F1:F46"/>
  </sortState>
  <tableColumns count="13">
    <tableColumn id="1" xr3:uid="{3B752EC0-F9B8-4445-A77C-089B49D6BFEE}" name="Slagg mängd" dataDxfId="163"/>
    <tableColumn id="2" xr3:uid="{89ACBB09-6727-4F12-B72C-9A9737B4A8D9}" name="Gjuttemperatur" dataDxfId="162"/>
    <tableColumn id="3" xr3:uid="{2CE9CF49-BC6E-4C59-A54C-0DEDD84007CF}" name="Temperatur motgjutningsyta" dataDxfId="161">
      <calculatedColumnFormula>Table141719202122[[#This Row],[Temperatur]]</calculatedColumnFormula>
    </tableColumn>
    <tableColumn id="4" xr3:uid="{AA7FBFF6-79F4-4D2C-B790-B677CCE6F643}" name="Väderskydd, uppvärmning (ingen vind)" dataDxfId="160"/>
    <tableColumn id="5" xr3:uid="{74CB7DDF-F10C-4EF0-930B-963766701DBD}" name="Täckning [mm]" dataDxfId="159"/>
    <tableColumn id="6" xr3:uid="{73BB1358-91E2-4E67-A084-AA93A95A09EF}" name="Temperatur" dataDxfId="158"/>
    <tableColumn id="7" xr3:uid="{9CF0F84E-2175-4F7F-81A3-0B300B571269}" name="Vind" dataDxfId="157"/>
    <tableColumn id="8" xr3:uid="{8BEB75A3-E8BF-41C0-9F7B-80527C01415B}" name="&lt;14 d och &gt;70 % [Dagar]" dataDxfId="156"/>
    <tableColumn id="13" xr3:uid="{40EE7034-D357-4BEB-942A-00BD3FF398F4}" name="OK &lt;14 Dagar" dataDxfId="155"/>
    <tableColumn id="12" xr3:uid="{D5DE2B1F-B1A1-41AB-9F95-C894E364AE51}" name="&lt;21 d och &gt;70 % [Dagar]" dataDxfId="154"/>
    <tableColumn id="14" xr3:uid="{DB1243F1-67AF-4F8E-BBFA-54F2D0C836EC}" name="OK &lt;21 Dagar" dataDxfId="153"/>
    <tableColumn id="10" xr3:uid="{C308D7C1-1BFD-46EC-BEEB-5C5D413FD5BD}" name="Kommentar" dataDxfId="152"/>
    <tableColumn id="9" xr3:uid="{529E9239-2A33-4DA2-9860-191C5B547BED}" name="Åtgärdskåd" dataDxfId="151">
      <calculatedColumnFormula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821EB2F-32C8-43CF-9D9C-418F5ADC5361}" name="Table1417192021" displayName="Table1417192021" ref="A1:M46" totalsRowShown="0" headerRowDxfId="150" headerRowBorderDxfId="149">
  <autoFilter ref="A1:M46" xr:uid="{2B80540F-6D64-4945-8E3A-E73BBAD63E67}"/>
  <sortState xmlns:xlrd2="http://schemas.microsoft.com/office/spreadsheetml/2017/richdata2" ref="A2:L46">
    <sortCondition descending="1" ref="F1:F46"/>
  </sortState>
  <tableColumns count="13">
    <tableColumn id="1" xr3:uid="{6D56D7D4-D2FC-4514-842F-2A179E279530}" name="Slagg mängd" dataDxfId="148"/>
    <tableColumn id="2" xr3:uid="{3891D659-3AC7-4417-A28C-B42152D2F0AE}" name="Gjuttemperatur" dataDxfId="147"/>
    <tableColumn id="3" xr3:uid="{0B5A947D-2229-4494-A100-EC9C11DA3B22}" name="Temperatur motgjutningsyta" dataDxfId="146">
      <calculatedColumnFormula>Table1417192021[[#This Row],[Temperatur]]</calculatedColumnFormula>
    </tableColumn>
    <tableColumn id="4" xr3:uid="{1ABDB049-D7BF-4910-861E-D905856AD09D}" name="Väderskydd, uppvärmning (ingen vind)" dataDxfId="145"/>
    <tableColumn id="5" xr3:uid="{B71D7B58-4639-40CE-8A47-71432DD4BD8C}" name="Täckning [mm]" dataDxfId="144"/>
    <tableColumn id="6" xr3:uid="{C07A14C8-C47B-4837-8FF1-C71B378BA2BF}" name="Temperatur" dataDxfId="143"/>
    <tableColumn id="7" xr3:uid="{B0737EF8-BD2C-43D0-85F6-1A12EEC1417B}" name="Vind" dataDxfId="142"/>
    <tableColumn id="8" xr3:uid="{3BF23411-6519-4AF9-A9F4-AA9F1970BBF8}" name="&lt;14 d och &gt;70 % [Dagar]" dataDxfId="141"/>
    <tableColumn id="13" xr3:uid="{311581AC-00FD-43D2-AD55-3291F0DF26D6}" name="OK &lt;14 Dagar" dataDxfId="140"/>
    <tableColumn id="12" xr3:uid="{32E85CA9-EB52-46DF-878E-6EB6209231FD}" name="&lt;21 d och &gt;70 % [Dagar]" dataDxfId="139"/>
    <tableColumn id="14" xr3:uid="{3FD40540-ED75-493A-B8CF-5C0BC52D4E74}" name="OK &lt;21 Dagar" dataDxfId="138"/>
    <tableColumn id="10" xr3:uid="{558E675E-7D21-4B90-8C0F-CB8518BFDDB9}" name="Kommentar" dataDxfId="137"/>
    <tableColumn id="9" xr3:uid="{A4C9E6D2-1B59-4832-90BA-743D0D8C9361}" name="Åtgärdskåd" dataDxfId="136">
      <calculatedColumnFormula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6BF343D-9616-4113-8A26-640C54DF9960}" name="Table14171920" displayName="Table14171920" ref="A1:M46" totalsRowShown="0" headerRowDxfId="135" headerRowBorderDxfId="134">
  <autoFilter ref="A1:M46" xr:uid="{2B80540F-6D64-4945-8E3A-E73BBAD63E67}"/>
  <sortState xmlns:xlrd2="http://schemas.microsoft.com/office/spreadsheetml/2017/richdata2" ref="A2:L46">
    <sortCondition descending="1" ref="F1:F46"/>
  </sortState>
  <tableColumns count="13">
    <tableColumn id="1" xr3:uid="{5D5F3541-800B-43D8-86BF-35D9D433370A}" name="Slagg mängd" dataDxfId="133"/>
    <tableColumn id="2" xr3:uid="{4A097141-FFAE-4DE8-B52F-030705B22917}" name="Gjuttemperatur" dataDxfId="132"/>
    <tableColumn id="3" xr3:uid="{53DC86CE-7BEE-47FE-96A2-FBE050E61968}" name="Temperatur motgjutningsyta" dataDxfId="131">
      <calculatedColumnFormula>Table14171920[[#This Row],[Temperatur]]</calculatedColumnFormula>
    </tableColumn>
    <tableColumn id="4" xr3:uid="{9432AEA7-34CA-43BF-93CE-0A1BC136181D}" name="Väderskydd, uppvärmning (ingen vind)" dataDxfId="130"/>
    <tableColumn id="5" xr3:uid="{D962B47E-46B3-453B-A025-B740FD5A311C}" name="Täckning [mm]" dataDxfId="129"/>
    <tableColumn id="6" xr3:uid="{1CE10FE9-2024-438C-8DDC-B99A353F11D7}" name="Temperatur" dataDxfId="128"/>
    <tableColumn id="7" xr3:uid="{BA14F629-99E2-474B-8562-D6C795323D94}" name="Vind" dataDxfId="127"/>
    <tableColumn id="8" xr3:uid="{A0DF7990-5281-4532-B9BA-020E72E10334}" name="&lt;14 d och &gt;70 % [Dagar]" dataDxfId="126"/>
    <tableColumn id="13" xr3:uid="{A65DB055-BD5B-45D0-A3AB-5B643F518C8F}" name="OK &lt;14 Dagar" dataDxfId="125"/>
    <tableColumn id="12" xr3:uid="{A4DD3ADB-169A-42C1-A163-378CD618871F}" name="&lt;21 d och &gt;70 % [Dagar]" dataDxfId="124"/>
    <tableColumn id="14" xr3:uid="{228FC8C1-90E5-4978-9F6B-A22BDFA64FE9}" name="OK &lt;21 Dagar" dataDxfId="123"/>
    <tableColumn id="10" xr3:uid="{53328366-CD24-430B-8E4F-12A36F368672}" name="Kommentar" dataDxfId="122"/>
    <tableColumn id="9" xr3:uid="{1C466F91-225E-4A33-9CBE-A79E4C546E7C}" name="Åtgärdskåd" dataDxfId="121">
      <calculatedColumnFormula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16550F2-00C4-46C0-9146-077D94354432}" name="Table141719" displayName="Table141719" ref="A1:M46" totalsRowShown="0" headerRowDxfId="120" headerRowBorderDxfId="119">
  <autoFilter ref="A1:M46" xr:uid="{2B80540F-6D64-4945-8E3A-E73BBAD63E67}"/>
  <sortState xmlns:xlrd2="http://schemas.microsoft.com/office/spreadsheetml/2017/richdata2" ref="A2:L46">
    <sortCondition descending="1" ref="F1:F46"/>
  </sortState>
  <tableColumns count="13">
    <tableColumn id="1" xr3:uid="{3D753F6E-250D-407A-B26C-6B077B01E88F}" name="Slagg mängd" dataDxfId="118"/>
    <tableColumn id="2" xr3:uid="{7A990DAD-C3EC-4767-9DB2-21FD2D45EC23}" name="Gjuttemperatur" dataDxfId="117"/>
    <tableColumn id="3" xr3:uid="{53E32844-9599-488A-8A3C-3C75272653D1}" name="Temperatur motgjutningsyta" dataDxfId="116">
      <calculatedColumnFormula>Table141719[[#This Row],[Temperatur]]</calculatedColumnFormula>
    </tableColumn>
    <tableColumn id="4" xr3:uid="{B8610E91-6385-4BA1-91DE-E31D2FB5BBC4}" name="Väderskydd, uppvärmning (ingen vind)" dataDxfId="115"/>
    <tableColumn id="5" xr3:uid="{04E95B07-2372-4F4E-93CC-4F17F7AC361E}" name="Täckning [mm]" dataDxfId="114"/>
    <tableColumn id="6" xr3:uid="{AAB22008-AA99-4C54-9F62-B2B61CB39DD0}" name="Temperatur" dataDxfId="113"/>
    <tableColumn id="7" xr3:uid="{541DCC0C-24B7-46F0-A755-B81E381F4C6F}" name="Vind" dataDxfId="112"/>
    <tableColumn id="8" xr3:uid="{CF887F49-05F9-44B7-89A9-D02FD8E23CE2}" name="&lt;14 d och &gt;70 % [Dagar]" dataDxfId="111"/>
    <tableColumn id="13" xr3:uid="{8EECD2A5-F273-434E-BFFF-EE7292074952}" name="OK &lt;14 Dagar" dataDxfId="110"/>
    <tableColumn id="12" xr3:uid="{0F022E60-47FE-4196-9411-F1DD4A813372}" name="&lt;21 d och &gt;70 % [Dagar]" dataDxfId="109"/>
    <tableColumn id="14" xr3:uid="{F892446D-DCE4-4F60-9BE3-72399C8CDD95}" name="OK &lt;21 Dagar" dataDxfId="108"/>
    <tableColumn id="10" xr3:uid="{7BB7C42A-ABA1-4352-87CF-3EE624D9F2DC}" name="Kommentar" dataDxfId="107"/>
    <tableColumn id="9" xr3:uid="{29A1FC65-CB0E-4BDC-B999-0593EF19FFAF}" name="Åtgärdskåd" dataDxfId="106">
      <calculatedColumnFormula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54E8950-2CF1-4B9C-9E66-566CED5287BC}" name="Table1417" displayName="Table1417" ref="A1:M46" totalsRowShown="0" headerRowDxfId="105" headerRowBorderDxfId="104">
  <autoFilter ref="A1:M46" xr:uid="{2B80540F-6D64-4945-8E3A-E73BBAD63E67}"/>
  <sortState xmlns:xlrd2="http://schemas.microsoft.com/office/spreadsheetml/2017/richdata2" ref="A2:L46">
    <sortCondition descending="1" ref="F1:F46"/>
  </sortState>
  <tableColumns count="13">
    <tableColumn id="1" xr3:uid="{534ACB07-2966-42CC-9667-F26E2E140DE5}" name="Slagg mängd" dataDxfId="103"/>
    <tableColumn id="2" xr3:uid="{D6EB341B-E791-4DDE-A9DF-279D350A7A32}" name="Gjuttemperatur" dataDxfId="102"/>
    <tableColumn id="3" xr3:uid="{1F68CD71-8980-42E7-9840-2C5CA5A3A1A2}" name="Temperatur motgjutningsyta" dataDxfId="101">
      <calculatedColumnFormula>Table1417[[#This Row],[Temperatur]]</calculatedColumnFormula>
    </tableColumn>
    <tableColumn id="4" xr3:uid="{EEF2444D-7872-4C28-BCB7-EC80A1CC6AE4}" name="Väderskydd, uppvärmning (ingen vind)" dataDxfId="100"/>
    <tableColumn id="5" xr3:uid="{1E005CB3-39D1-462B-8EAE-BFC46D890A15}" name="Täckning [mm]" dataDxfId="99"/>
    <tableColumn id="6" xr3:uid="{12410CEA-3B65-47E0-BA03-C19A9204742E}" name="Temperatur" dataDxfId="98"/>
    <tableColumn id="7" xr3:uid="{FD305D65-A212-4085-981E-B233DD841043}" name="Vind" dataDxfId="97"/>
    <tableColumn id="8" xr3:uid="{F2BF6EFB-B272-4F85-9305-5B2EE6C49EE3}" name="&lt;14 d och &gt;70 % [Dagar]" dataDxfId="96"/>
    <tableColumn id="13" xr3:uid="{3A02CCF2-FF66-4B6C-B8BD-A10F45942391}" name="OK &lt;14 Dagar" dataDxfId="95"/>
    <tableColumn id="12" xr3:uid="{F475BAED-B936-472E-A829-A2811C278F2C}" name="&lt;21 d och &gt;70 % [Dagar]" dataDxfId="94"/>
    <tableColumn id="14" xr3:uid="{9FC65992-4C38-4502-B432-54FDF1B84D5C}" name="OK &lt;21 Dagar" dataDxfId="93"/>
    <tableColumn id="10" xr3:uid="{68250451-FBE3-49E6-8D68-1FE69024A577}" name="Kommentar" dataDxfId="92"/>
    <tableColumn id="9" xr3:uid="{D8A969A8-C7A0-4FAA-91F9-638C3657A280}" name="Åtgärdskåd" dataDxfId="91">
      <calculatedColumnFormula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calculatedColumnFormula>
    </tableColumn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CD5DD43-AFCE-4BDC-9D71-FE313C2F9684}" name="Table1423" displayName="Table1423" ref="A1:M46" totalsRowShown="0" headerRowDxfId="90" headerRowBorderDxfId="89">
  <autoFilter ref="A1:M46" xr:uid="{2B80540F-6D64-4945-8E3A-E73BBAD63E67}"/>
  <sortState xmlns:xlrd2="http://schemas.microsoft.com/office/spreadsheetml/2017/richdata2" ref="A2:L46">
    <sortCondition descending="1" ref="F1:F46"/>
  </sortState>
  <tableColumns count="13">
    <tableColumn id="1" xr3:uid="{A63EAC23-35C8-4511-9744-DDF5FABA291A}" name="Slagg mängd" dataDxfId="88"/>
    <tableColumn id="2" xr3:uid="{081EF7B4-B421-410F-9A3A-8CE161D34640}" name="Gjuttemperatur" dataDxfId="87"/>
    <tableColumn id="3" xr3:uid="{BFC953D7-A027-4DD4-9498-EA4824249567}" name="Temperatur motgjutningsyta" dataDxfId="86">
      <calculatedColumnFormula>Table1423[[#This Row],[Temperatur]]</calculatedColumnFormula>
    </tableColumn>
    <tableColumn id="4" xr3:uid="{BD85F34B-432C-480A-A88A-1F63CCC69AB4}" name="Väderskydd, uppvärmning (ingen vind)" dataDxfId="85"/>
    <tableColumn id="5" xr3:uid="{57849B18-76E4-4DD9-854C-1105D10E02BF}" name="Täckning [mm]" dataDxfId="84"/>
    <tableColumn id="6" xr3:uid="{C0011156-87DB-444A-B1F0-F7DB7F2FE63B}" name="Temperatur" dataDxfId="83"/>
    <tableColumn id="7" xr3:uid="{397603C6-7636-485B-B0AE-28CE883E6C86}" name="Vind" dataDxfId="82"/>
    <tableColumn id="8" xr3:uid="{74A6C5D7-0D92-4B8A-82B8-66494E28F516}" name="&lt;14 d och &gt;70 % [Dagar]" dataDxfId="81"/>
    <tableColumn id="13" xr3:uid="{B9399C46-B050-432B-B468-E146F8AE1B2F}" name="OK &lt;14 Dagar" dataDxfId="80"/>
    <tableColumn id="12" xr3:uid="{5A80C229-0CF3-447D-95E8-5D3B6F7B3EE5}" name="&lt;21 d och &gt;70 % [Dagar]" dataDxfId="79"/>
    <tableColumn id="14" xr3:uid="{6DA9E0C6-8D2C-4DAD-8311-4A40610AA64D}" name="OK &lt;21 Dagar" dataDxfId="78"/>
    <tableColumn id="10" xr3:uid="{4FE398BA-17B2-4084-A360-45CD954C8926}" name="Kommentar" dataDxfId="77"/>
    <tableColumn id="9" xr3:uid="{A7B5BBB1-F1ED-493D-8A4F-FA7B8F059F17}" name="Åtgärdskåd" dataDxfId="76">
      <calculatedColumnFormula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calculatedColumnFormula>
    </tableColumn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AC7034-D2FE-4BA1-BFAC-8EE24D69F941}" name="Table14" displayName="Table14" ref="A1:M46" totalsRowShown="0" headerRowDxfId="75" headerRowBorderDxfId="74">
  <autoFilter ref="A1:M46" xr:uid="{2B80540F-6D64-4945-8E3A-E73BBAD63E67}"/>
  <sortState xmlns:xlrd2="http://schemas.microsoft.com/office/spreadsheetml/2017/richdata2" ref="A2:L46">
    <sortCondition descending="1" ref="F1:F46"/>
  </sortState>
  <tableColumns count="13">
    <tableColumn id="1" xr3:uid="{9F8B3E5A-ECEE-4311-97E6-CA71656BDB86}" name="Slagg mängd" dataDxfId="73"/>
    <tableColumn id="2" xr3:uid="{74C0D88C-2C35-4BD2-9F83-3F80EA66C57A}" name="Gjuttemperatur" dataDxfId="72"/>
    <tableColumn id="3" xr3:uid="{1837B366-8B82-41FB-80CF-1808175765BF}" name="Temperatur motgjutningsyta" dataDxfId="71">
      <calculatedColumnFormula>Table14[[#This Row],[Temperatur]]</calculatedColumnFormula>
    </tableColumn>
    <tableColumn id="4" xr3:uid="{E0D37D39-36A2-479D-B6B8-130BCD7C761A}" name="Väderskydd, uppvärmning (ingen vind)" dataDxfId="70"/>
    <tableColumn id="5" xr3:uid="{9E2D1254-2C1C-4042-AB1E-A8BF1A47681A}" name="Täckning [mm]" dataDxfId="69"/>
    <tableColumn id="6" xr3:uid="{5F842BC1-7A97-4A99-BC8F-5DA07859C37E}" name="Temperatur" dataDxfId="68"/>
    <tableColumn id="7" xr3:uid="{2D81E695-FA35-4586-B695-1345EF7560D1}" name="Vind" dataDxfId="67"/>
    <tableColumn id="8" xr3:uid="{58C78581-9206-4479-B719-306C43C1AD39}" name="&lt;14 d och &gt;70 % [Dagar]" dataDxfId="66"/>
    <tableColumn id="13" xr3:uid="{DAF5B426-DB9B-4416-A442-28D218D45DCF}" name="OK &lt;14 Dagar" dataDxfId="65"/>
    <tableColumn id="12" xr3:uid="{16E04312-D878-4B48-912D-E2F6E56AF6B3}" name="&lt;21 d och &gt;70 % [Dagar]" dataDxfId="64"/>
    <tableColumn id="14" xr3:uid="{0F3D47B0-8E5E-42FD-A32B-49F6614D422F}" name="OK &lt;21 Dagar" dataDxfId="63"/>
    <tableColumn id="10" xr3:uid="{85EF03F5-7B2C-4370-BE4F-312053E58252}" name="Kommentar" dataDxfId="62"/>
    <tableColumn id="9" xr3:uid="{F5221CA4-CFF4-44DD-B428-7FB7BD247784}" name="Åtgärdskåd" dataDxfId="61">
      <calculatedColumnFormula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calculatedColumnFormula>
    </tableColumn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B1120E-CE91-4CD8-997C-2DE938FBF407}" name="Table6" displayName="Table6" ref="A1:I46" totalsRowShown="0" headerRowDxfId="60" headerRowBorderDxfId="59">
  <autoFilter ref="A1:I46" xr:uid="{0BB1120E-CE91-4CD8-997C-2DE938FBF407}"/>
  <tableColumns count="9">
    <tableColumn id="1" xr3:uid="{3F8D47DC-CBE8-4175-9913-E0176FBABB41}" name="Temperatur" dataDxfId="58"/>
    <tableColumn id="2" xr3:uid="{D90A8870-A10A-4C74-9279-24BA802D4AFB}" name="Vind" dataDxfId="57"/>
    <tableColumn id="3" xr3:uid="{54D04A45-64DD-41A4-BCA6-A63F01E2A82A}" name="C20/25" dataDxfId="56">
      <calculatedColumnFormula>Table141719202122[[#This Row],[Åtgärdskåd]]</calculatedColumnFormula>
    </tableColumn>
    <tableColumn id="4" xr3:uid="{DD3D3939-6716-48E7-8CF9-62934939AD1B}" name="C25/30" dataDxfId="55">
      <calculatedColumnFormula>Table1417192021[[#This Row],[Åtgärdskåd]]</calculatedColumnFormula>
    </tableColumn>
    <tableColumn id="11" xr3:uid="{DB5F4426-DC19-4494-8AAD-27F12E909B3F}" name="C28/25" dataDxfId="54">
      <calculatedColumnFormula>Table14171920[[#This Row],[Åtgärdskåd]]</calculatedColumnFormula>
    </tableColumn>
    <tableColumn id="5" xr3:uid="{012579F0-B509-46A8-AFE0-45B71C4993DF}" name="C30/37" dataDxfId="53">
      <calculatedColumnFormula>Table141719[[#This Row],[Åtgärdskåd]]</calculatedColumnFormula>
    </tableColumn>
    <tableColumn id="6" xr3:uid="{CAF851EB-0542-4EE8-B6C9-F4565289114F}" name="C32/40" dataDxfId="52">
      <calculatedColumnFormula>Table1417[[#This Row],[Åtgärdskåd]]</calculatedColumnFormula>
    </tableColumn>
    <tableColumn id="7" xr3:uid="{EA982D14-86D6-4D56-867B-82B4E32D98A5}" name="C35/45" dataDxfId="51">
      <calculatedColumnFormula>Table1423[[#This Row],[Åtgärdskåd]]</calculatedColumnFormula>
    </tableColumn>
    <tableColumn id="8" xr3:uid="{F27BC86B-7803-4CCC-8AF6-79CD966417E2}" name="C40/50" dataDxfId="50">
      <calculatedColumnFormula>Table14[[#This Row],[Åtgärdskåd]]</calculatedColumnFormula>
    </tableColumn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43ACA7-E10E-4D0C-81B5-7C9874B28E2C}" name="Table7" displayName="Table7" ref="K1:P358" totalsRowShown="0">
  <autoFilter ref="K1:P358" xr:uid="{3543ACA7-E10E-4D0C-81B5-7C9874B28E2C}"/>
  <tableColumns count="6">
    <tableColumn id="1" xr3:uid="{CA70578D-B91C-4859-8029-517300CBDC0A}" name="Temperatur"/>
    <tableColumn id="2" xr3:uid="{FD23760E-672D-4C65-B1F3-2EB258999841}" name="Vind"/>
    <tableColumn id="6" xr3:uid="{29E669A7-3489-4A97-ADD4-0A70DECD1FD9}" name="Column1"/>
    <tableColumn id="3" xr3:uid="{48B9FF45-2B80-4D53-8FE2-DA8DE0BA35CC}" name="Åtgärdskåd"/>
    <tableColumn id="5" xr3:uid="{242E0ACE-CE80-480E-8230-C05C49D8A9F9}" name="Åtgärdssvårighet"/>
    <tableColumn id="4" xr3:uid="{5FED107D-20F6-448B-AB84-EF11F9A77698}" name="Nummer" dataDxfId="49" totalsRowDxfId="48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5D34C1-BEBA-41FB-9B95-289E1153E716}" name="Table13" displayName="Table13" ref="A1:I46" totalsRowShown="0" headerRowDxfId="47" tableBorderDxfId="46">
  <autoFilter ref="A1:I46" xr:uid="{AA5D34C1-BEBA-41FB-9B95-289E1153E716}"/>
  <tableColumns count="9">
    <tableColumn id="1" xr3:uid="{D95FC912-C274-4441-A328-D7D7043D77D9}" name="Temperatur [°C]" dataDxfId="45"/>
    <tableColumn id="2" xr3:uid="{E5739E17-063A-4BFD-A7B1-BFF9B650C437}" name="Vind [m/s]" dataDxfId="44"/>
    <tableColumn id="3" xr3:uid="{608630C1-A48B-4156-8AD8-EB99E69EE3A6}" name="C20/25" dataDxfId="43">
      <calculatedColumnFormula>'Data till Lathund, Kådgenererin'!P25</calculatedColumnFormula>
    </tableColumn>
    <tableColumn id="4" xr3:uid="{951BD516-0DEA-4229-9895-5A7E0B0E1A33}" name="C25/30" dataDxfId="42">
      <calculatedColumnFormula>'Data till Lathund, Kådgenererin'!P70</calculatedColumnFormula>
    </tableColumn>
    <tableColumn id="5" xr3:uid="{C0AC1345-4710-4D44-B13B-9625EC5F4A88}" name="C28/37" dataDxfId="41">
      <calculatedColumnFormula>'Data till Lathund, Kådgenererin'!P115</calculatedColumnFormula>
    </tableColumn>
    <tableColumn id="7" xr3:uid="{69B7D15E-2E16-41DB-98F2-8080F58BBCEE}" name="C30/37" dataDxfId="40">
      <calculatedColumnFormula>'Data till Lathund, Kådgenererin'!P160</calculatedColumnFormula>
    </tableColumn>
    <tableColumn id="8" xr3:uid="{BD44EA0D-5488-40EF-ADDD-198F994F97C0}" name="C32/40" dataDxfId="39">
      <calculatedColumnFormula>'Data till Lathund, Kådgenererin'!P205</calculatedColumnFormula>
    </tableColumn>
    <tableColumn id="9" xr3:uid="{8BE9B74C-4503-48A7-B2C3-F57E0A643B5E}" name="C35/45" dataDxfId="38">
      <calculatedColumnFormula>'Data till Lathund, Kådgenererin'!P250</calculatedColumnFormula>
    </tableColumn>
    <tableColumn id="6" xr3:uid="{FF64E311-DB46-4FC0-95C8-D41C6C004423}" name="C40/50" dataDxfId="37">
      <calculatedColumnFormula>'Data till Lathund, Kådgenererin'!P295</calculatedColumnFormula>
    </tableColumn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589F66F-79C3-47D1-9981-3883A7DD1338}" name="Table1518" displayName="Table1518" ref="K50:R73" totalsRowShown="0" headerRowDxfId="36" dataDxfId="34" headerRowBorderDxfId="35" tableBorderDxfId="33" totalsRowBorderDxfId="32">
  <autoFilter ref="K50:R73" xr:uid="{F589F66F-79C3-47D1-9981-3883A7DD1338}"/>
  <sortState xmlns:xlrd2="http://schemas.microsoft.com/office/spreadsheetml/2017/richdata2" ref="K51:P73">
    <sortCondition ref="K50:K73"/>
  </sortState>
  <tableColumns count="8">
    <tableColumn id="1" xr3:uid="{22BBB2E0-222C-4E4C-A6CC-1344E94A72BA}" name="Paket" dataDxfId="31"/>
    <tableColumn id="2" xr3:uid="{94394B0E-7624-4B96-8382-5A629E6E6217}" name="Slagghalt" dataDxfId="30"/>
    <tableColumn id="3" xr3:uid="{017ED356-F79A-489F-97CC-35463042223C}" name="Gjuttemperatur" dataDxfId="29"/>
    <tableColumn id="4" xr3:uid="{69392CC2-8AC5-44C2-9E12-F9DD96A8C2BA}" name="Temperatur motgjutningsyta" dataDxfId="28"/>
    <tableColumn id="5" xr3:uid="{8B9303D9-BF87-48FE-8822-AC1CECC9E4F0}" name="Väderskydd med uppvärmning" dataDxfId="27"/>
    <tableColumn id="6" xr3:uid="{B7483DE5-C4F9-475F-8D0D-F96122DA7E14}" name="Täckning [mm]" dataDxfId="26"/>
    <tableColumn id="7" xr3:uid="{4D5A30EE-1649-42C0-8899-3E0B54D7DF86}" name="OK&lt;14D" dataDxfId="25"/>
    <tableColumn id="8" xr3:uid="{CDEDF46B-FDBB-441F-8820-C39B910B9BF2}" name="OK&lt;21D" dataDxfId="24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2BB4E2-23A1-4EA7-9081-1344A1661165}" name="Table213" displayName="Table213" ref="K75:O84" totalsRowShown="0" dataDxfId="23" tableBorderDxfId="22">
  <autoFilter ref="K75:O84" xr:uid="{E22BB4E2-23A1-4EA7-9081-1344A1661165}"/>
  <tableColumns count="5">
    <tableColumn id="1" xr3:uid="{FE9C781D-1694-4C5A-9F19-04719DEF522A}" name="Utomhustemperatur" dataDxfId="21"/>
    <tableColumn id="2" xr3:uid="{1125BDF9-5B0F-4AB0-B0BA-E26D3B52DFC0}" name="Väderskydd" dataDxfId="20"/>
    <tableColumn id="3" xr3:uid="{BCB07AE1-66ED-4F64-B08A-F6D7C88B3976}" name="Riktig temp under" dataDxfId="19">
      <calculatedColumnFormula>L76+K76</calculatedColumnFormula>
    </tableColumn>
    <tableColumn id="4" xr3:uid="{1ED68B08-8197-403D-8231-4BAB34D022EF}" name="Temperatur motgjutiningsyta" dataDxfId="18"/>
    <tableColumn id="5" xr3:uid="{34EF6F0F-A0DA-4728-88D1-A412521A4138}" name="Gjuttemperatur" dataDxfId="17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5810A4-7D11-4B48-8FD9-43D48A738560}" name="Table8" displayName="Table8" ref="A1:J24" totalsRowShown="0">
  <autoFilter ref="A1:J24" xr:uid="{345810A4-7D11-4B48-8FD9-43D48A738560}"/>
  <sortState xmlns:xlrd2="http://schemas.microsoft.com/office/spreadsheetml/2017/richdata2" ref="A2:J22">
    <sortCondition descending="1" ref="B1:B22"/>
  </sortState>
  <tableColumns count="10">
    <tableColumn id="1" xr3:uid="{C350A2E8-4EA1-41E6-8B6D-2094DD6E81BF}" name="Paket"/>
    <tableColumn id="2" xr3:uid="{378D9ABC-063A-43E7-98CA-1E7510FFE6E4}" name="Slagg %" dataDxfId="16"/>
    <tableColumn id="3" xr3:uid="{0C95AF02-4E12-467D-A075-EBD74310392E}" name="Gjuttemperatur (varmbetong)" dataDxfId="15"/>
    <tableColumn id="4" xr3:uid="{027178B4-01F4-4A7A-B491-89025E93544A}" name="Temperatur motgjutningsyta" dataDxfId="14"/>
    <tableColumn id="5" xr3:uid="{F71E9080-36C8-491D-ABC4-930CD82755ED}" name="Väderskydd, uppvärmning (ingen vind)" dataDxfId="13"/>
    <tableColumn id="6" xr3:uid="{B3939368-0769-4EFD-BA0D-50EFD1725AAD}" name="Täckning [mm]" dataDxfId="12"/>
    <tableColumn id="7" xr3:uid="{7942FDE3-4E64-4DD1-BBA2-558353403018}" name="OK under 14 D" dataDxfId="11"/>
    <tableColumn id="10" xr3:uid="{5D6EB567-B659-4051-AF9A-1995EA165204}" name="Ok under 21 D" dataDxfId="10"/>
    <tableColumn id="9" xr3:uid="{59158F46-AEE7-4140-9237-B99D678EAFF6}" name="Column1" dataDxfId="9">
      <calculatedColumnFormula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calculatedColumnFormula>
    </tableColumn>
    <tableColumn id="8" xr3:uid="{DD09CFB0-7C6B-4FC9-A177-6E8DA8DB0B69}" name="Jobbighetsnivå">
      <calculatedColumnFormula>Table8[[#This Row],[Paket]]</calculatedColumnFormula>
    </tableColumn>
  </tableColumns>
  <tableStyleInfo name="TableStyleLight2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05AD252-0777-4FDA-8138-5BF7FEB75FAE}" name="Table11" displayName="Table11" ref="Q3:R8" totalsRowShown="0" headerRowDxfId="178" headerRowBorderDxfId="177" tableBorderDxfId="176" totalsRowBorderDxfId="175">
  <autoFilter ref="Q3:R8" xr:uid="{805AD252-0777-4FDA-8138-5BF7FEB75FAE}"/>
  <tableColumns count="2">
    <tableColumn id="1" xr3:uid="{37A468CD-FB5E-488F-8B36-2A7A33DFEC8E}" name="Utgångspunkt" dataDxfId="174"/>
    <tableColumn id="2" xr3:uid="{AF7F9697-54B5-41E2-AB3B-F1E40B1F46C2}" name="Värden" dataDxfId="173"/>
  </tableColumns>
  <tableStyleInfo name="TableStyleLight2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9BE0C98-4227-4EFF-BC91-940009C95142}" name="Table21316" displayName="Table21316" ref="J17:N26" totalsRowShown="0" dataDxfId="172" tableBorderDxfId="171">
  <autoFilter ref="J17:N26" xr:uid="{09BE0C98-4227-4EFF-BC91-940009C95142}"/>
  <tableColumns count="5">
    <tableColumn id="1" xr3:uid="{E808740D-D000-44A4-89A9-22C96AC11B67}" name="Utomhustemperatur" dataDxfId="170"/>
    <tableColumn id="2" xr3:uid="{E02F74FC-5156-4F7F-AF49-C29223EA08F6}" name="Väderskydd" dataDxfId="169"/>
    <tableColumn id="3" xr3:uid="{A41531BE-D35A-4DB5-9EED-D109706BB1B2}" name="Riktig temp under" dataDxfId="168">
      <calculatedColumnFormula>K18+J18</calculatedColumnFormula>
    </tableColumn>
    <tableColumn id="5" xr3:uid="{2BAD7A35-3D71-4503-98B8-EC25AF8073ED}" name="Gjuttemperatur" dataDxfId="167"/>
    <tableColumn id="6" xr3:uid="{8227DB11-8248-4EF2-9418-2ABA4EB9FD23}" name="Temperatur motgjutiningsyta" dataDxfId="16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B268-9E98-4F7B-97A6-DEAFCF6CAA2E}">
  <sheetPr codeName="Sheet11"/>
  <dimension ref="A1:V46"/>
  <sheetViews>
    <sheetView topLeftCell="A2" zoomScale="115" zoomScaleNormal="115" workbookViewId="0">
      <selection activeCell="E17" sqref="E17"/>
    </sheetView>
  </sheetViews>
  <sheetFormatPr defaultRowHeight="15" x14ac:dyDescent="0.25"/>
  <cols>
    <col min="1" max="1" width="12.5703125" style="106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9" width="14.42578125" bestFit="1" customWidth="1"/>
    <col min="10" max="11" width="22.140625" bestFit="1" customWidth="1"/>
    <col min="12" max="12" width="14.425781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0.75" thickBot="1" x14ac:dyDescent="0.3">
      <c r="A1" s="120" t="s">
        <v>57</v>
      </c>
      <c r="B1" s="118" t="s">
        <v>0</v>
      </c>
      <c r="C1" s="118" t="s">
        <v>1</v>
      </c>
      <c r="D1" s="118" t="s">
        <v>2</v>
      </c>
      <c r="E1" s="118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7" t="s">
        <v>11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08">
        <v>0.4</v>
      </c>
      <c r="B2" s="111">
        <f>Förutsättningar!M$18</f>
        <v>15</v>
      </c>
      <c r="C2" s="111">
        <f>Förutsättningar!N$18</f>
        <v>20</v>
      </c>
      <c r="D2" s="22" t="s">
        <v>13</v>
      </c>
      <c r="E2" s="23" t="s">
        <v>13</v>
      </c>
      <c r="F2" s="6">
        <v>20</v>
      </c>
      <c r="G2" s="7">
        <v>0</v>
      </c>
      <c r="H2" s="13">
        <v>7.7</v>
      </c>
      <c r="I2" s="21" t="s">
        <v>14</v>
      </c>
      <c r="J2">
        <v>17.5</v>
      </c>
      <c r="K2" s="21"/>
      <c r="L2" s="7"/>
      <c r="M2" s="18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0,41520--OK14</v>
      </c>
      <c r="Q2" s="1"/>
    </row>
    <row r="3" spans="1:22" x14ac:dyDescent="0.25">
      <c r="A3" s="109">
        <v>0.4</v>
      </c>
      <c r="B3" s="119">
        <f>Förutsättningar!$M$18</f>
        <v>15</v>
      </c>
      <c r="C3" s="119">
        <f>Förutsättningar!N$18</f>
        <v>20</v>
      </c>
      <c r="D3" s="2" t="s">
        <v>13</v>
      </c>
      <c r="E3" s="24" t="s">
        <v>13</v>
      </c>
      <c r="F3">
        <v>20</v>
      </c>
      <c r="G3" s="9">
        <v>2</v>
      </c>
      <c r="H3" s="14">
        <v>8.1</v>
      </c>
      <c r="I3" s="2" t="s">
        <v>14</v>
      </c>
      <c r="J3" s="2"/>
      <c r="K3" s="2"/>
      <c r="L3" s="9"/>
      <c r="M3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0,41520--OK14</v>
      </c>
    </row>
    <row r="4" spans="1:22" x14ac:dyDescent="0.25">
      <c r="A4" s="109">
        <v>0.4</v>
      </c>
      <c r="B4" s="119">
        <f>Förutsättningar!$M$18</f>
        <v>15</v>
      </c>
      <c r="C4" s="119">
        <f>Förutsättningar!N$18</f>
        <v>20</v>
      </c>
      <c r="D4" s="2" t="s">
        <v>13</v>
      </c>
      <c r="E4" s="24" t="s">
        <v>13</v>
      </c>
      <c r="F4">
        <v>20</v>
      </c>
      <c r="G4" s="9">
        <v>7</v>
      </c>
      <c r="H4" s="14">
        <v>8.3000000000000007</v>
      </c>
      <c r="I4" s="2" t="s">
        <v>14</v>
      </c>
      <c r="J4" s="2"/>
      <c r="K4" s="2"/>
      <c r="L4" s="9"/>
      <c r="M4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0,41520--OK14</v>
      </c>
    </row>
    <row r="5" spans="1:22" x14ac:dyDescent="0.25">
      <c r="A5" s="109">
        <v>0.4</v>
      </c>
      <c r="B5" s="119">
        <f>Förutsättningar!$M$18</f>
        <v>15</v>
      </c>
      <c r="C5" s="119">
        <f>Förutsättningar!N$18</f>
        <v>20</v>
      </c>
      <c r="D5" s="2" t="s">
        <v>13</v>
      </c>
      <c r="E5" s="24" t="s">
        <v>13</v>
      </c>
      <c r="F5">
        <v>20</v>
      </c>
      <c r="G5" s="9">
        <v>12</v>
      </c>
      <c r="H5" s="14">
        <v>8.4</v>
      </c>
      <c r="I5" s="2" t="s">
        <v>14</v>
      </c>
      <c r="J5" s="2"/>
      <c r="K5" s="2"/>
      <c r="L5" s="9"/>
      <c r="M5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0,41520--OK14</v>
      </c>
    </row>
    <row r="6" spans="1:22" ht="15.75" thickBot="1" x14ac:dyDescent="0.3">
      <c r="A6" s="110">
        <v>0.4</v>
      </c>
      <c r="B6" s="112">
        <f>Förutsättningar!$M$18</f>
        <v>15</v>
      </c>
      <c r="C6" s="112">
        <f>Förutsättningar!N$18</f>
        <v>20</v>
      </c>
      <c r="D6" s="25" t="s">
        <v>13</v>
      </c>
      <c r="E6" s="26" t="s">
        <v>13</v>
      </c>
      <c r="F6" s="11">
        <v>20</v>
      </c>
      <c r="G6" s="12">
        <v>20</v>
      </c>
      <c r="H6" s="15">
        <v>8.4</v>
      </c>
      <c r="I6" s="25" t="s">
        <v>14</v>
      </c>
      <c r="J6" s="25"/>
      <c r="K6" s="25"/>
      <c r="L6" s="12"/>
      <c r="M6" s="20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0,41520--OK14</v>
      </c>
    </row>
    <row r="7" spans="1:22" x14ac:dyDescent="0.25">
      <c r="A7" s="109">
        <v>0.4</v>
      </c>
      <c r="B7" s="119">
        <f>Förutsättningar!M$19</f>
        <v>15</v>
      </c>
      <c r="C7" s="119">
        <f>Förutsättningar!N$19</f>
        <v>15</v>
      </c>
      <c r="D7" s="2" t="s">
        <v>13</v>
      </c>
      <c r="E7" s="24" t="s">
        <v>13</v>
      </c>
      <c r="F7" s="5">
        <v>15</v>
      </c>
      <c r="G7" s="7">
        <v>0</v>
      </c>
      <c r="H7" s="13">
        <v>10.1</v>
      </c>
      <c r="I7" s="21" t="s">
        <v>14</v>
      </c>
      <c r="J7" s="21"/>
      <c r="K7" s="21"/>
      <c r="L7" s="7"/>
      <c r="M7" s="18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0,41515--OK14</v>
      </c>
    </row>
    <row r="8" spans="1:22" x14ac:dyDescent="0.25">
      <c r="A8" s="109">
        <v>0.4</v>
      </c>
      <c r="B8" s="119">
        <f>Förutsättningar!M$19</f>
        <v>15</v>
      </c>
      <c r="C8" s="119">
        <f>Förutsättningar!N$19</f>
        <v>15</v>
      </c>
      <c r="D8" s="2" t="s">
        <v>13</v>
      </c>
      <c r="E8" s="24" t="s">
        <v>13</v>
      </c>
      <c r="F8" s="8">
        <v>15</v>
      </c>
      <c r="G8" s="9">
        <v>2</v>
      </c>
      <c r="H8" s="14">
        <v>10.7</v>
      </c>
      <c r="I8" s="2" t="s">
        <v>14</v>
      </c>
      <c r="J8" s="2"/>
      <c r="K8" s="2"/>
      <c r="L8" s="9"/>
      <c r="M8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0,41515--OK14</v>
      </c>
    </row>
    <row r="9" spans="1:22" x14ac:dyDescent="0.25">
      <c r="A9" s="109">
        <v>0.4</v>
      </c>
      <c r="B9" s="119">
        <f>Förutsättningar!M$19</f>
        <v>15</v>
      </c>
      <c r="C9" s="119">
        <f>Förutsättningar!N$19</f>
        <v>15</v>
      </c>
      <c r="D9" s="2" t="s">
        <v>13</v>
      </c>
      <c r="E9" s="24" t="s">
        <v>13</v>
      </c>
      <c r="F9" s="8">
        <v>15</v>
      </c>
      <c r="G9" s="9">
        <v>7</v>
      </c>
      <c r="H9" s="14">
        <v>11</v>
      </c>
      <c r="I9" s="2" t="s">
        <v>14</v>
      </c>
      <c r="J9" s="2"/>
      <c r="K9" s="2"/>
      <c r="L9" s="9"/>
      <c r="M9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0,41515--OK14</v>
      </c>
    </row>
    <row r="10" spans="1:22" x14ac:dyDescent="0.25">
      <c r="A10" s="109">
        <v>0.4</v>
      </c>
      <c r="B10" s="119">
        <f>Förutsättningar!M$19</f>
        <v>15</v>
      </c>
      <c r="C10" s="119">
        <f>Förutsättningar!N$19</f>
        <v>15</v>
      </c>
      <c r="D10" s="2" t="s">
        <v>13</v>
      </c>
      <c r="E10" s="24" t="s">
        <v>13</v>
      </c>
      <c r="F10" s="8">
        <v>15</v>
      </c>
      <c r="G10" s="9">
        <v>12</v>
      </c>
      <c r="H10" s="14">
        <v>11</v>
      </c>
      <c r="I10" s="2" t="s">
        <v>14</v>
      </c>
      <c r="J10" s="2"/>
      <c r="K10" s="2"/>
      <c r="L10" s="9"/>
      <c r="M10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0,41515--OK14</v>
      </c>
    </row>
    <row r="11" spans="1:22" ht="15.75" thickBot="1" x14ac:dyDescent="0.3">
      <c r="A11" s="110">
        <v>0.4</v>
      </c>
      <c r="B11" s="112">
        <f>Förutsättningar!M$19</f>
        <v>15</v>
      </c>
      <c r="C11" s="112">
        <f>Förutsättningar!N$19</f>
        <v>15</v>
      </c>
      <c r="D11" s="25" t="s">
        <v>13</v>
      </c>
      <c r="E11" s="26" t="s">
        <v>13</v>
      </c>
      <c r="F11" s="10">
        <v>15</v>
      </c>
      <c r="G11" s="12">
        <v>20</v>
      </c>
      <c r="H11" s="15">
        <v>11.1</v>
      </c>
      <c r="I11" s="25" t="s">
        <v>14</v>
      </c>
      <c r="J11" s="25"/>
      <c r="K11" s="25"/>
      <c r="L11" s="12"/>
      <c r="M11" s="20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0,41515--OK14</v>
      </c>
    </row>
    <row r="12" spans="1:22" x14ac:dyDescent="0.25">
      <c r="A12" s="108">
        <v>0.4</v>
      </c>
      <c r="B12" s="111">
        <f>Förutsättningar!M$20</f>
        <v>15</v>
      </c>
      <c r="C12" s="111">
        <f>Förutsättningar!N$20</f>
        <v>10</v>
      </c>
      <c r="D12" s="21" t="s">
        <v>13</v>
      </c>
      <c r="E12" s="23" t="s">
        <v>13</v>
      </c>
      <c r="F12" s="5">
        <v>10</v>
      </c>
      <c r="G12" s="7">
        <v>0</v>
      </c>
      <c r="H12" s="13">
        <v>14</v>
      </c>
      <c r="I12" s="21" t="s">
        <v>14</v>
      </c>
      <c r="J12" s="21"/>
      <c r="K12" s="21"/>
      <c r="L12" s="7"/>
      <c r="M12" s="18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0,41510--OK14</v>
      </c>
    </row>
    <row r="13" spans="1:22" x14ac:dyDescent="0.25">
      <c r="A13" s="109">
        <v>0.4</v>
      </c>
      <c r="B13" s="119">
        <f>Förutsättningar!M$20</f>
        <v>15</v>
      </c>
      <c r="C13" s="119">
        <f>Förutsättningar!N$20</f>
        <v>10</v>
      </c>
      <c r="D13" s="2">
        <v>0</v>
      </c>
      <c r="E13" s="24">
        <v>10</v>
      </c>
      <c r="F13" s="8">
        <v>10</v>
      </c>
      <c r="G13" s="9">
        <v>2</v>
      </c>
      <c r="H13" s="14">
        <v>13.5</v>
      </c>
      <c r="I13" s="2" t="s">
        <v>14</v>
      </c>
      <c r="J13" s="2"/>
      <c r="K13" s="2"/>
      <c r="L13" s="9"/>
      <c r="M13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0,41510010OK14</v>
      </c>
    </row>
    <row r="14" spans="1:22" x14ac:dyDescent="0.25">
      <c r="A14" s="109">
        <v>0.4</v>
      </c>
      <c r="B14" s="119">
        <f>Förutsättningar!M$20</f>
        <v>15</v>
      </c>
      <c r="C14" s="119">
        <f>Förutsättningar!N$20</f>
        <v>10</v>
      </c>
      <c r="D14" s="2">
        <v>0</v>
      </c>
      <c r="E14" s="24">
        <v>10</v>
      </c>
      <c r="F14" s="8">
        <v>10</v>
      </c>
      <c r="G14" s="9">
        <v>7</v>
      </c>
      <c r="H14" s="14">
        <v>13.6</v>
      </c>
      <c r="I14" s="2" t="s">
        <v>14</v>
      </c>
      <c r="J14" s="2"/>
      <c r="K14" s="2"/>
      <c r="L14" s="9"/>
      <c r="M14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0,41510010OK14</v>
      </c>
    </row>
    <row r="15" spans="1:22" x14ac:dyDescent="0.25">
      <c r="A15" s="109">
        <v>0.4</v>
      </c>
      <c r="B15" s="119">
        <f>Förutsättningar!M$20</f>
        <v>15</v>
      </c>
      <c r="C15" s="119">
        <f>Förutsättningar!N$20</f>
        <v>10</v>
      </c>
      <c r="D15" s="2">
        <v>0</v>
      </c>
      <c r="E15" s="24">
        <v>10</v>
      </c>
      <c r="F15" s="8">
        <v>10</v>
      </c>
      <c r="G15" s="9">
        <v>12</v>
      </c>
      <c r="H15" s="14">
        <v>13.7</v>
      </c>
      <c r="I15" s="2" t="s">
        <v>14</v>
      </c>
      <c r="J15" s="2"/>
      <c r="K15" s="2"/>
      <c r="L15" s="9"/>
      <c r="M15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0,41510010OK14</v>
      </c>
    </row>
    <row r="16" spans="1:22" ht="15.75" thickBot="1" x14ac:dyDescent="0.3">
      <c r="A16" s="110">
        <v>0.4</v>
      </c>
      <c r="B16" s="112">
        <f>Förutsättningar!M$20</f>
        <v>15</v>
      </c>
      <c r="C16" s="112">
        <f>Förutsättningar!N$20</f>
        <v>10</v>
      </c>
      <c r="D16" s="25">
        <v>0</v>
      </c>
      <c r="E16" s="26">
        <v>10</v>
      </c>
      <c r="F16" s="10">
        <v>10</v>
      </c>
      <c r="G16" s="12">
        <v>20</v>
      </c>
      <c r="H16" s="15">
        <v>13.7</v>
      </c>
      <c r="I16" s="25" t="s">
        <v>14</v>
      </c>
      <c r="J16" s="25"/>
      <c r="K16" s="25"/>
      <c r="L16" s="12"/>
      <c r="M16" s="20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0,41510010OK14</v>
      </c>
    </row>
    <row r="17" spans="1:13" x14ac:dyDescent="0.25">
      <c r="A17" s="108">
        <v>0.4</v>
      </c>
      <c r="B17" s="111">
        <f>Förutsättningar!M$21</f>
        <v>20</v>
      </c>
      <c r="C17" s="111">
        <f>Förutsättningar!N$21</f>
        <v>5</v>
      </c>
      <c r="D17" s="21">
        <v>20</v>
      </c>
      <c r="E17" s="23" t="s">
        <v>13</v>
      </c>
      <c r="F17" s="5">
        <v>5</v>
      </c>
      <c r="G17" s="7">
        <v>0</v>
      </c>
      <c r="H17" s="13">
        <v>10.5</v>
      </c>
      <c r="I17" s="21" t="s">
        <v>14</v>
      </c>
      <c r="J17" s="21"/>
      <c r="K17" s="21"/>
      <c r="L17" s="7"/>
      <c r="M17" s="18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0,420520-OK14</v>
      </c>
    </row>
    <row r="18" spans="1:13" x14ac:dyDescent="0.25">
      <c r="A18" s="109">
        <v>0.4</v>
      </c>
      <c r="B18" s="119">
        <f>Förutsättningar!M$21</f>
        <v>20</v>
      </c>
      <c r="C18" s="119">
        <f>Förutsättningar!N$21</f>
        <v>5</v>
      </c>
      <c r="D18" s="2">
        <v>20</v>
      </c>
      <c r="E18" s="24" t="s">
        <v>13</v>
      </c>
      <c r="F18" s="8">
        <v>5</v>
      </c>
      <c r="G18" s="9">
        <v>2</v>
      </c>
      <c r="H18" s="14">
        <v>13.1</v>
      </c>
      <c r="I18" s="2" t="s">
        <v>14</v>
      </c>
      <c r="J18" s="2"/>
      <c r="K18" s="2"/>
      <c r="L18" s="9"/>
      <c r="M18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0,420520-OK14</v>
      </c>
    </row>
    <row r="19" spans="1:13" x14ac:dyDescent="0.25">
      <c r="A19" s="109">
        <v>0.4</v>
      </c>
      <c r="B19" s="119">
        <f>Förutsättningar!M$21</f>
        <v>20</v>
      </c>
      <c r="C19" s="119">
        <f>Förutsättningar!N$21</f>
        <v>5</v>
      </c>
      <c r="D19" s="2">
        <v>20</v>
      </c>
      <c r="E19" s="24" t="s">
        <v>15</v>
      </c>
      <c r="F19" s="8">
        <v>5</v>
      </c>
      <c r="G19" s="9">
        <v>7</v>
      </c>
      <c r="H19" s="14">
        <v>9.3000000000000007</v>
      </c>
      <c r="I19" s="2" t="s">
        <v>14</v>
      </c>
      <c r="J19" s="2"/>
      <c r="K19" s="2"/>
      <c r="L19" s="9"/>
      <c r="M19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0,420520PresenningOK14</v>
      </c>
    </row>
    <row r="20" spans="1:13" x14ac:dyDescent="0.25">
      <c r="A20" s="109">
        <v>0.4</v>
      </c>
      <c r="B20" s="119">
        <f>Förutsättningar!M$21</f>
        <v>20</v>
      </c>
      <c r="C20" s="119">
        <f>Förutsättningar!N$21</f>
        <v>5</v>
      </c>
      <c r="D20" s="2">
        <v>20</v>
      </c>
      <c r="E20" s="24" t="s">
        <v>15</v>
      </c>
      <c r="F20" s="8">
        <v>5</v>
      </c>
      <c r="G20" s="9">
        <v>12</v>
      </c>
      <c r="H20" s="14">
        <v>9.5</v>
      </c>
      <c r="I20" s="2" t="s">
        <v>14</v>
      </c>
      <c r="J20" s="2"/>
      <c r="K20" s="2"/>
      <c r="L20" s="9"/>
      <c r="M20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0,420520PresenningOK14</v>
      </c>
    </row>
    <row r="21" spans="1:13" ht="15.75" thickBot="1" x14ac:dyDescent="0.3">
      <c r="A21" s="110">
        <v>0.4</v>
      </c>
      <c r="B21" s="112">
        <f>Förutsättningar!M$21</f>
        <v>20</v>
      </c>
      <c r="C21" s="112">
        <f>Förutsättningar!N$21</f>
        <v>5</v>
      </c>
      <c r="D21" s="25">
        <v>20</v>
      </c>
      <c r="E21" s="26" t="s">
        <v>15</v>
      </c>
      <c r="F21" s="10">
        <v>5</v>
      </c>
      <c r="G21" s="12">
        <v>20</v>
      </c>
      <c r="H21" s="15">
        <v>9.5</v>
      </c>
      <c r="I21" s="25" t="s">
        <v>14</v>
      </c>
      <c r="J21" s="25"/>
      <c r="K21" s="25"/>
      <c r="L21" s="12"/>
      <c r="M21" s="20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0,420520PresenningOK14</v>
      </c>
    </row>
    <row r="22" spans="1:13" x14ac:dyDescent="0.25">
      <c r="A22" s="108">
        <v>0.4</v>
      </c>
      <c r="B22" s="111">
        <f>Förutsättningar!M$22</f>
        <v>20</v>
      </c>
      <c r="C22" s="111">
        <f>Förutsättningar!N$22</f>
        <v>5</v>
      </c>
      <c r="D22" s="21">
        <v>20</v>
      </c>
      <c r="E22" s="23" t="s">
        <v>15</v>
      </c>
      <c r="F22" s="5">
        <v>0</v>
      </c>
      <c r="G22" s="7">
        <v>0</v>
      </c>
      <c r="H22" s="13">
        <v>13.6</v>
      </c>
      <c r="I22" s="21" t="s">
        <v>14</v>
      </c>
      <c r="J22" s="21"/>
      <c r="K22" s="21"/>
      <c r="L22" s="7"/>
      <c r="M22" s="18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0,420520PresenningOK14</v>
      </c>
    </row>
    <row r="23" spans="1:13" x14ac:dyDescent="0.25">
      <c r="A23" s="109">
        <v>0.4</v>
      </c>
      <c r="B23" s="119">
        <f>Förutsättningar!M$22</f>
        <v>20</v>
      </c>
      <c r="C23" s="119">
        <f>Förutsättningar!N$22</f>
        <v>5</v>
      </c>
      <c r="D23" s="2">
        <v>20</v>
      </c>
      <c r="E23" s="24">
        <v>10</v>
      </c>
      <c r="F23" s="8">
        <v>0</v>
      </c>
      <c r="G23" s="9">
        <v>2</v>
      </c>
      <c r="H23" s="14">
        <v>11.9</v>
      </c>
      <c r="I23" s="2" t="s">
        <v>14</v>
      </c>
      <c r="J23" s="2"/>
      <c r="K23" s="2"/>
      <c r="L23" s="9"/>
      <c r="M23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0,42052010OK14</v>
      </c>
    </row>
    <row r="24" spans="1:13" x14ac:dyDescent="0.25">
      <c r="A24" s="109">
        <v>0.4</v>
      </c>
      <c r="B24" s="119">
        <f>Förutsättningar!M$22</f>
        <v>20</v>
      </c>
      <c r="C24" s="119">
        <f>Förutsättningar!N$22</f>
        <v>5</v>
      </c>
      <c r="D24" s="2">
        <v>20</v>
      </c>
      <c r="E24" s="24">
        <v>10</v>
      </c>
      <c r="F24" s="8">
        <v>0</v>
      </c>
      <c r="G24" s="9">
        <v>7</v>
      </c>
      <c r="H24" s="14">
        <v>12.7</v>
      </c>
      <c r="I24" s="2" t="s">
        <v>14</v>
      </c>
      <c r="J24" s="2"/>
      <c r="K24" s="2"/>
      <c r="L24" s="9"/>
      <c r="M24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0,42052010OK14</v>
      </c>
    </row>
    <row r="25" spans="1:13" x14ac:dyDescent="0.25">
      <c r="A25" s="109">
        <v>0.4</v>
      </c>
      <c r="B25" s="119">
        <f>Förutsättningar!M$22</f>
        <v>20</v>
      </c>
      <c r="C25" s="119">
        <f>Förutsättningar!N$22</f>
        <v>5</v>
      </c>
      <c r="D25" s="2">
        <v>20</v>
      </c>
      <c r="E25" s="24">
        <v>10</v>
      </c>
      <c r="F25" s="8">
        <v>0</v>
      </c>
      <c r="G25" s="9">
        <v>12</v>
      </c>
      <c r="H25" s="14">
        <v>12.9</v>
      </c>
      <c r="I25" s="2" t="s">
        <v>14</v>
      </c>
      <c r="J25" s="2"/>
      <c r="K25" s="2"/>
      <c r="L25" s="9"/>
      <c r="M25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0,42052010OK14</v>
      </c>
    </row>
    <row r="26" spans="1:13" ht="15.75" thickBot="1" x14ac:dyDescent="0.3">
      <c r="A26" s="110">
        <v>0.4</v>
      </c>
      <c r="B26" s="112">
        <f>Förutsättningar!M$22</f>
        <v>20</v>
      </c>
      <c r="C26" s="112">
        <f>Förutsättningar!N$22</f>
        <v>5</v>
      </c>
      <c r="D26" s="25">
        <v>20</v>
      </c>
      <c r="E26" s="26">
        <v>10</v>
      </c>
      <c r="F26" s="10">
        <v>0</v>
      </c>
      <c r="G26" s="12">
        <v>20</v>
      </c>
      <c r="H26" s="15">
        <v>13</v>
      </c>
      <c r="I26" s="25" t="s">
        <v>14</v>
      </c>
      <c r="J26" s="25"/>
      <c r="K26" s="25"/>
      <c r="L26" s="12"/>
      <c r="M26" s="20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0,42052010OK14</v>
      </c>
    </row>
    <row r="27" spans="1:13" x14ac:dyDescent="0.25">
      <c r="A27" s="108">
        <v>0.4</v>
      </c>
      <c r="B27" s="111">
        <f>Förutsättningar!M$23</f>
        <v>20</v>
      </c>
      <c r="C27" s="111">
        <f>Förutsättningar!N$23</f>
        <v>5</v>
      </c>
      <c r="D27" s="21">
        <v>20</v>
      </c>
      <c r="E27" s="23">
        <v>20</v>
      </c>
      <c r="F27" s="5">
        <v>-5</v>
      </c>
      <c r="G27" s="7">
        <v>0</v>
      </c>
      <c r="H27" s="13">
        <v>12.9</v>
      </c>
      <c r="I27" s="21" t="s">
        <v>14</v>
      </c>
      <c r="J27" s="21"/>
      <c r="K27" s="21"/>
      <c r="L27" s="7"/>
      <c r="M27" s="18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0,42052020OK14</v>
      </c>
    </row>
    <row r="28" spans="1:13" x14ac:dyDescent="0.25">
      <c r="A28" s="109">
        <v>0.4</v>
      </c>
      <c r="B28" s="119">
        <f>Förutsättningar!M$23</f>
        <v>20</v>
      </c>
      <c r="C28" s="119">
        <f>Förutsättningar!N$23</f>
        <v>5</v>
      </c>
      <c r="D28" s="2">
        <v>20</v>
      </c>
      <c r="E28" s="24">
        <v>20</v>
      </c>
      <c r="F28" s="8">
        <v>-5</v>
      </c>
      <c r="G28" s="9">
        <v>2</v>
      </c>
      <c r="H28" s="14">
        <v>13.8</v>
      </c>
      <c r="I28" s="2" t="s">
        <v>14</v>
      </c>
      <c r="J28" s="2"/>
      <c r="K28" s="2"/>
      <c r="L28" s="9"/>
      <c r="M28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0,42052020OK14</v>
      </c>
    </row>
    <row r="29" spans="1:13" x14ac:dyDescent="0.25">
      <c r="A29" s="109">
        <v>0.4</v>
      </c>
      <c r="B29" s="119">
        <f>Förutsättningar!M$23</f>
        <v>20</v>
      </c>
      <c r="C29" s="119">
        <f>Förutsättningar!N$23</f>
        <v>5</v>
      </c>
      <c r="D29" s="2">
        <v>20</v>
      </c>
      <c r="E29" s="24">
        <v>30</v>
      </c>
      <c r="F29" s="8">
        <v>-5</v>
      </c>
      <c r="G29" s="9">
        <v>7</v>
      </c>
      <c r="H29" s="14">
        <v>12.7</v>
      </c>
      <c r="I29" s="2" t="s">
        <v>14</v>
      </c>
      <c r="J29" s="2"/>
      <c r="K29" s="2"/>
      <c r="L29" s="9"/>
      <c r="M29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0,42052030OK14</v>
      </c>
    </row>
    <row r="30" spans="1:13" x14ac:dyDescent="0.25">
      <c r="A30" s="109">
        <v>0.4</v>
      </c>
      <c r="B30" s="119">
        <f>Förutsättningar!M$23</f>
        <v>20</v>
      </c>
      <c r="C30" s="119">
        <f>Förutsättningar!N$23</f>
        <v>5</v>
      </c>
      <c r="D30" s="2">
        <v>20</v>
      </c>
      <c r="E30" s="24">
        <v>30</v>
      </c>
      <c r="F30" s="8">
        <v>-5</v>
      </c>
      <c r="G30" s="9">
        <v>12</v>
      </c>
      <c r="H30" s="14">
        <v>12.8</v>
      </c>
      <c r="I30" s="2" t="s">
        <v>14</v>
      </c>
      <c r="J30" s="2"/>
      <c r="K30" s="2"/>
      <c r="L30" s="9"/>
      <c r="M30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0,42052030OK14</v>
      </c>
    </row>
    <row r="31" spans="1:13" ht="15.75" thickBot="1" x14ac:dyDescent="0.3">
      <c r="A31" s="110">
        <v>0.4</v>
      </c>
      <c r="B31" s="112">
        <f>Förutsättningar!M$23</f>
        <v>20</v>
      </c>
      <c r="C31" s="112">
        <f>Förutsättningar!N$23</f>
        <v>5</v>
      </c>
      <c r="D31" s="25">
        <v>20</v>
      </c>
      <c r="E31" s="26">
        <v>30</v>
      </c>
      <c r="F31" s="10">
        <v>-5</v>
      </c>
      <c r="G31" s="12">
        <v>20</v>
      </c>
      <c r="H31" s="15">
        <v>12.9</v>
      </c>
      <c r="I31" s="25" t="s">
        <v>14</v>
      </c>
      <c r="J31" s="25"/>
      <c r="K31" s="25"/>
      <c r="L31" s="12"/>
      <c r="M31" s="20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0,42052030OK14</v>
      </c>
    </row>
    <row r="32" spans="1:13" x14ac:dyDescent="0.25">
      <c r="A32" s="108">
        <v>0.3</v>
      </c>
      <c r="B32" s="111">
        <f>Förutsättningar!M$24</f>
        <v>20</v>
      </c>
      <c r="C32" s="111">
        <f>Förutsättningar!N$24</f>
        <v>5</v>
      </c>
      <c r="D32" s="21">
        <v>20</v>
      </c>
      <c r="E32" s="23">
        <v>50</v>
      </c>
      <c r="F32" s="5">
        <v>-10</v>
      </c>
      <c r="G32" s="7">
        <v>0</v>
      </c>
      <c r="H32" s="13">
        <v>12.9</v>
      </c>
      <c r="I32" s="21" t="s">
        <v>14</v>
      </c>
      <c r="J32" s="21"/>
      <c r="K32" s="21"/>
      <c r="L32" s="7"/>
      <c r="M32" s="18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0,32052050OK14</v>
      </c>
    </row>
    <row r="33" spans="1:13" x14ac:dyDescent="0.25">
      <c r="A33" s="109">
        <v>0.3</v>
      </c>
      <c r="B33" s="119">
        <f>Förutsättningar!M$24</f>
        <v>20</v>
      </c>
      <c r="C33" s="119">
        <f>Förutsättningar!N$24</f>
        <v>5</v>
      </c>
      <c r="D33" s="2">
        <v>20</v>
      </c>
      <c r="E33" s="24">
        <v>50</v>
      </c>
      <c r="F33" s="8">
        <v>-10</v>
      </c>
      <c r="G33" s="9">
        <v>2</v>
      </c>
      <c r="H33" s="14">
        <v>13.3</v>
      </c>
      <c r="I33" s="2" t="s">
        <v>14</v>
      </c>
      <c r="J33" s="2"/>
      <c r="K33" s="2"/>
      <c r="L33" s="9"/>
      <c r="M33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0,32052050OK14</v>
      </c>
    </row>
    <row r="34" spans="1:13" x14ac:dyDescent="0.25">
      <c r="A34" s="109">
        <v>0.3</v>
      </c>
      <c r="B34" s="119">
        <f>Förutsättningar!M$24</f>
        <v>20</v>
      </c>
      <c r="C34" s="119">
        <f>Förutsättningar!N$24</f>
        <v>5</v>
      </c>
      <c r="D34" s="2">
        <v>20</v>
      </c>
      <c r="E34" s="24">
        <v>50</v>
      </c>
      <c r="F34" s="8">
        <v>-10</v>
      </c>
      <c r="G34" s="9">
        <v>7</v>
      </c>
      <c r="H34" s="14">
        <v>13.7</v>
      </c>
      <c r="I34" s="2" t="s">
        <v>14</v>
      </c>
      <c r="J34" s="2"/>
      <c r="K34" s="2"/>
      <c r="L34" s="9"/>
      <c r="M34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0,32052050OK14</v>
      </c>
    </row>
    <row r="35" spans="1:13" x14ac:dyDescent="0.25">
      <c r="A35" s="109" t="s">
        <v>13</v>
      </c>
      <c r="B35" s="119" t="s">
        <v>13</v>
      </c>
      <c r="C35" s="119" t="s">
        <v>13</v>
      </c>
      <c r="D35" s="2" t="s">
        <v>13</v>
      </c>
      <c r="E35" s="24" t="s">
        <v>13</v>
      </c>
      <c r="F35" s="8">
        <v>-10</v>
      </c>
      <c r="G35" s="9">
        <v>12</v>
      </c>
      <c r="H35" s="14"/>
      <c r="I35" s="2"/>
      <c r="J35" s="2"/>
      <c r="K35" s="2"/>
      <c r="L35" s="9" t="s">
        <v>16</v>
      </c>
      <c r="M35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-----Frys innan täck</v>
      </c>
    </row>
    <row r="36" spans="1:13" ht="15.75" thickBot="1" x14ac:dyDescent="0.3">
      <c r="A36" s="110" t="s">
        <v>13</v>
      </c>
      <c r="B36" s="112" t="s">
        <v>13</v>
      </c>
      <c r="C36" s="112" t="s">
        <v>13</v>
      </c>
      <c r="D36" s="25" t="s">
        <v>13</v>
      </c>
      <c r="E36" s="26" t="s">
        <v>13</v>
      </c>
      <c r="F36" s="10">
        <v>-10</v>
      </c>
      <c r="G36" s="12">
        <v>20</v>
      </c>
      <c r="H36" s="15"/>
      <c r="I36" s="25"/>
      <c r="J36" s="25"/>
      <c r="K36" s="25"/>
      <c r="L36" s="12" t="s">
        <v>16</v>
      </c>
      <c r="M36" s="20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-----Frys innan täck</v>
      </c>
    </row>
    <row r="37" spans="1:13" x14ac:dyDescent="0.25">
      <c r="A37" s="108">
        <v>0.1</v>
      </c>
      <c r="B37" s="111">
        <f>Förutsättningar!M$25</f>
        <v>15</v>
      </c>
      <c r="C37" s="111">
        <f>Förutsättningar!N$25</f>
        <v>5</v>
      </c>
      <c r="D37" s="21">
        <v>20</v>
      </c>
      <c r="E37" s="23">
        <v>50</v>
      </c>
      <c r="F37" s="5">
        <v>-15</v>
      </c>
      <c r="G37" s="7">
        <v>0</v>
      </c>
      <c r="H37" s="13">
        <v>13</v>
      </c>
      <c r="I37" s="21" t="s">
        <v>14</v>
      </c>
      <c r="J37" s="21"/>
      <c r="K37" s="21"/>
      <c r="L37" s="7"/>
      <c r="M37" s="18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0,11552050OK14</v>
      </c>
    </row>
    <row r="38" spans="1:13" x14ac:dyDescent="0.25">
      <c r="A38" s="109">
        <v>0.1</v>
      </c>
      <c r="B38" s="119">
        <f>Förutsättningar!M$25</f>
        <v>15</v>
      </c>
      <c r="C38" s="119">
        <f>Förutsättningar!N$25</f>
        <v>5</v>
      </c>
      <c r="D38" s="2">
        <v>20</v>
      </c>
      <c r="E38" s="24">
        <v>50</v>
      </c>
      <c r="F38" s="8">
        <v>-15</v>
      </c>
      <c r="G38" s="9">
        <v>2</v>
      </c>
      <c r="H38" s="14">
        <v>13.5</v>
      </c>
      <c r="I38" s="2" t="s">
        <v>14</v>
      </c>
      <c r="J38" s="2"/>
      <c r="K38" s="2"/>
      <c r="L38" s="9"/>
      <c r="M38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0,11552050OK14</v>
      </c>
    </row>
    <row r="39" spans="1:13" x14ac:dyDescent="0.25">
      <c r="A39" s="109" t="s">
        <v>13</v>
      </c>
      <c r="B39" s="119" t="s">
        <v>13</v>
      </c>
      <c r="C39" s="119" t="s">
        <v>13</v>
      </c>
      <c r="D39" s="2" t="s">
        <v>13</v>
      </c>
      <c r="E39" s="24" t="s">
        <v>13</v>
      </c>
      <c r="F39" s="8">
        <v>-15</v>
      </c>
      <c r="G39" s="9">
        <v>7</v>
      </c>
      <c r="H39" s="14"/>
      <c r="I39" s="2"/>
      <c r="J39" s="2"/>
      <c r="K39" s="2"/>
      <c r="L39" s="9" t="s">
        <v>16</v>
      </c>
      <c r="M39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-----Frys innan täck</v>
      </c>
    </row>
    <row r="40" spans="1:13" x14ac:dyDescent="0.25">
      <c r="A40" s="109" t="s">
        <v>13</v>
      </c>
      <c r="B40" s="119" t="s">
        <v>13</v>
      </c>
      <c r="C40" s="119" t="s">
        <v>13</v>
      </c>
      <c r="D40" s="2" t="s">
        <v>13</v>
      </c>
      <c r="E40" s="24" t="s">
        <v>13</v>
      </c>
      <c r="F40" s="8">
        <v>-15</v>
      </c>
      <c r="G40" s="9">
        <v>12</v>
      </c>
      <c r="H40" s="14"/>
      <c r="I40" s="2"/>
      <c r="J40" s="2"/>
      <c r="K40" s="2"/>
      <c r="L40" s="9" t="s">
        <v>16</v>
      </c>
      <c r="M40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-----Frys innan täck</v>
      </c>
    </row>
    <row r="41" spans="1:13" ht="15.75" thickBot="1" x14ac:dyDescent="0.3">
      <c r="A41" s="110" t="s">
        <v>13</v>
      </c>
      <c r="B41" s="112" t="s">
        <v>13</v>
      </c>
      <c r="C41" s="112" t="s">
        <v>13</v>
      </c>
      <c r="D41" s="25" t="s">
        <v>13</v>
      </c>
      <c r="E41" s="26" t="s">
        <v>13</v>
      </c>
      <c r="F41" s="10">
        <v>-15</v>
      </c>
      <c r="G41" s="12">
        <v>20</v>
      </c>
      <c r="H41" s="15"/>
      <c r="I41" s="25"/>
      <c r="J41" s="25"/>
      <c r="K41" s="25"/>
      <c r="L41" s="12" t="s">
        <v>16</v>
      </c>
      <c r="M41" s="20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-----Frys innan täck</v>
      </c>
    </row>
    <row r="42" spans="1:13" x14ac:dyDescent="0.25">
      <c r="A42" s="109" t="s">
        <v>13</v>
      </c>
      <c r="B42" s="111" t="s">
        <v>13</v>
      </c>
      <c r="C42" s="111" t="s">
        <v>13</v>
      </c>
      <c r="D42" s="2" t="s">
        <v>13</v>
      </c>
      <c r="E42" s="24" t="s">
        <v>13</v>
      </c>
      <c r="F42" s="8">
        <v>-20</v>
      </c>
      <c r="G42" s="9">
        <v>0</v>
      </c>
      <c r="H42" s="14"/>
      <c r="I42" s="2"/>
      <c r="J42" s="2"/>
      <c r="K42" s="2"/>
      <c r="L42" s="9" t="s">
        <v>23</v>
      </c>
      <c r="M42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-----Når ej 70%</v>
      </c>
    </row>
    <row r="43" spans="1:13" x14ac:dyDescent="0.25">
      <c r="A43" s="109" t="s">
        <v>13</v>
      </c>
      <c r="B43" s="119" t="s">
        <v>13</v>
      </c>
      <c r="C43" s="119" t="s">
        <v>13</v>
      </c>
      <c r="D43" s="2" t="s">
        <v>13</v>
      </c>
      <c r="E43" s="24" t="s">
        <v>13</v>
      </c>
      <c r="F43" s="8">
        <v>-20</v>
      </c>
      <c r="G43" s="9">
        <v>2</v>
      </c>
      <c r="H43" s="14"/>
      <c r="I43" s="2"/>
      <c r="J43" s="2"/>
      <c r="K43" s="2"/>
      <c r="L43" s="9" t="s">
        <v>23</v>
      </c>
      <c r="M43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-----Når ej 70%</v>
      </c>
    </row>
    <row r="44" spans="1:13" x14ac:dyDescent="0.25">
      <c r="A44" s="109" t="s">
        <v>13</v>
      </c>
      <c r="B44" s="119" t="s">
        <v>13</v>
      </c>
      <c r="C44" s="119" t="s">
        <v>13</v>
      </c>
      <c r="D44" s="2" t="s">
        <v>13</v>
      </c>
      <c r="E44" s="24" t="s">
        <v>13</v>
      </c>
      <c r="F44" s="8">
        <v>-20</v>
      </c>
      <c r="G44" s="9">
        <v>7</v>
      </c>
      <c r="H44" s="14"/>
      <c r="I44" s="2"/>
      <c r="J44" s="2"/>
      <c r="K44" s="2"/>
      <c r="L44" s="9" t="s">
        <v>16</v>
      </c>
      <c r="M44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-----Frys innan täck</v>
      </c>
    </row>
    <row r="45" spans="1:13" x14ac:dyDescent="0.25">
      <c r="A45" s="109" t="s">
        <v>13</v>
      </c>
      <c r="B45" s="119" t="s">
        <v>13</v>
      </c>
      <c r="C45" s="119" t="s">
        <v>13</v>
      </c>
      <c r="D45" s="2" t="s">
        <v>13</v>
      </c>
      <c r="E45" s="24" t="s">
        <v>13</v>
      </c>
      <c r="F45" s="8">
        <v>-20</v>
      </c>
      <c r="G45" s="9">
        <v>12</v>
      </c>
      <c r="H45" s="14"/>
      <c r="I45" s="2"/>
      <c r="J45" s="2"/>
      <c r="K45" s="2"/>
      <c r="L45" s="9" t="s">
        <v>16</v>
      </c>
      <c r="M45" s="1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-----Frys innan täck</v>
      </c>
    </row>
    <row r="46" spans="1:13" ht="15.75" thickBot="1" x14ac:dyDescent="0.3">
      <c r="A46" s="110" t="s">
        <v>13</v>
      </c>
      <c r="B46" s="112" t="s">
        <v>13</v>
      </c>
      <c r="C46" s="112" t="s">
        <v>13</v>
      </c>
      <c r="D46" s="25" t="s">
        <v>13</v>
      </c>
      <c r="E46" s="26" t="s">
        <v>13</v>
      </c>
      <c r="F46" s="10">
        <v>-20</v>
      </c>
      <c r="G46" s="12">
        <v>20</v>
      </c>
      <c r="H46" s="15"/>
      <c r="I46" s="25"/>
      <c r="J46" s="25"/>
      <c r="K46" s="25"/>
      <c r="L46" s="12" t="s">
        <v>16</v>
      </c>
      <c r="M46" s="20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-----Frys innan täck</v>
      </c>
    </row>
  </sheetData>
  <conditionalFormatting sqref="H2:H46">
    <cfRule type="cellIs" dxfId="8" priority="1" operator="greaterThan">
      <formula>14</formula>
    </cfRule>
  </conditionalFormatting>
  <dataValidations count="1">
    <dataValidation type="list" allowBlank="1" showInputMessage="1" showErrorMessage="1" sqref="N2:N46" xr:uid="{5018CC87-32AB-4990-B4F7-CE968132D9A7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0BD82AA-D7C2-4CAD-B012-04F0B2590568}">
          <x14:formula1>
            <xm:f>Förutsättningar!$I$2:$I$3</xm:f>
          </x14:formula1>
          <xm:sqref>L2:L46</xm:sqref>
        </x14:dataValidation>
        <x14:dataValidation type="list" allowBlank="1" showInputMessage="1" showErrorMessage="1" xr:uid="{7EFDD1B6-EE77-449B-8D6E-214A43B36A0D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B3E692F3-D315-4F08-ADBA-6E1B0CAD63F2}">
          <x14:formula1>
            <xm:f>Förutsättningar!$H$2:$H$6</xm:f>
          </x14:formula1>
          <xm:sqref>A2:A46</xm:sqref>
        </x14:dataValidation>
        <x14:dataValidation type="list" allowBlank="1" showInputMessage="1" showErrorMessage="1" xr:uid="{0693F6AD-823C-4F53-9351-6CF7C869215C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163AC680-DB41-4017-8F21-819A3A791E16}">
          <x14:formula1>
            <xm:f>Förutsättningar!$F$2</xm:f>
          </x14:formula1>
          <xm:sqref>I2:I46</xm:sqref>
        </x14:dataValidation>
        <x14:dataValidation type="list" allowBlank="1" showInputMessage="1" showErrorMessage="1" xr:uid="{BAB5C8ED-EEFC-424E-A111-34352AB32C7A}">
          <x14:formula1>
            <xm:f>Förutsättningar!$G$2</xm:f>
          </x14:formula1>
          <xm:sqref>K2:K46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6119-852E-4E28-9BAE-A9D00AC87E73}">
  <sheetPr codeName="Sheet10"/>
  <dimension ref="A1:V46"/>
  <sheetViews>
    <sheetView topLeftCell="A5" zoomScale="115" zoomScaleNormal="115" workbookViewId="0">
      <selection activeCell="E32" sqref="A32:E32"/>
    </sheetView>
  </sheetViews>
  <sheetFormatPr defaultRowHeight="15" x14ac:dyDescent="0.25"/>
  <cols>
    <col min="1" max="1" width="12.5703125" style="106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9" width="14.42578125" bestFit="1" customWidth="1"/>
    <col min="10" max="11" width="22.140625" bestFit="1" customWidth="1"/>
    <col min="12" max="12" width="14.425781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0.75" thickBot="1" x14ac:dyDescent="0.3">
      <c r="A1" s="120" t="s">
        <v>57</v>
      </c>
      <c r="B1" s="118" t="s">
        <v>0</v>
      </c>
      <c r="C1" s="118" t="s">
        <v>1</v>
      </c>
      <c r="D1" s="118" t="s">
        <v>2</v>
      </c>
      <c r="E1" s="118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7" t="s">
        <v>11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08">
        <v>0.4</v>
      </c>
      <c r="B2" s="111">
        <f>Förutsättningar!M$18</f>
        <v>15</v>
      </c>
      <c r="C2" s="111">
        <f>Förutsättningar!N$18</f>
        <v>20</v>
      </c>
      <c r="D2" s="22" t="s">
        <v>13</v>
      </c>
      <c r="E2" s="23" t="s">
        <v>13</v>
      </c>
      <c r="F2" s="6">
        <v>20</v>
      </c>
      <c r="G2" s="7">
        <v>0</v>
      </c>
      <c r="H2" s="13">
        <v>7.1</v>
      </c>
      <c r="I2" s="21" t="s">
        <v>14</v>
      </c>
      <c r="J2" s="21">
        <v>21</v>
      </c>
      <c r="K2" s="21"/>
      <c r="L2" s="7"/>
      <c r="M2" s="18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0,41520--OK14</v>
      </c>
      <c r="Q2" s="1"/>
    </row>
    <row r="3" spans="1:22" x14ac:dyDescent="0.25">
      <c r="A3" s="109">
        <v>0.4</v>
      </c>
      <c r="B3" s="119">
        <f>Förutsättningar!$M$18</f>
        <v>15</v>
      </c>
      <c r="C3" s="119">
        <f>Förutsättningar!N$18</f>
        <v>20</v>
      </c>
      <c r="D3" s="2" t="s">
        <v>13</v>
      </c>
      <c r="E3" s="24" t="s">
        <v>13</v>
      </c>
      <c r="F3">
        <v>20</v>
      </c>
      <c r="G3" s="9">
        <v>2</v>
      </c>
      <c r="H3" s="14">
        <v>7.5</v>
      </c>
      <c r="I3" s="2" t="s">
        <v>14</v>
      </c>
      <c r="J3" s="2"/>
      <c r="K3" s="2"/>
      <c r="L3" s="9"/>
      <c r="M3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0,41520--OK14</v>
      </c>
    </row>
    <row r="4" spans="1:22" x14ac:dyDescent="0.25">
      <c r="A4" s="109">
        <v>0.4</v>
      </c>
      <c r="B4" s="119">
        <f>Förutsättningar!$M$18</f>
        <v>15</v>
      </c>
      <c r="C4" s="119">
        <f>Förutsättningar!N$18</f>
        <v>20</v>
      </c>
      <c r="D4" s="2" t="s">
        <v>13</v>
      </c>
      <c r="E4" s="24" t="s">
        <v>13</v>
      </c>
      <c r="F4">
        <v>20</v>
      </c>
      <c r="G4" s="9">
        <v>7</v>
      </c>
      <c r="H4" s="14">
        <v>7.8</v>
      </c>
      <c r="I4" s="2" t="s">
        <v>14</v>
      </c>
      <c r="J4" s="2"/>
      <c r="K4" s="2"/>
      <c r="L4" s="9"/>
      <c r="M4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0,41520--OK14</v>
      </c>
    </row>
    <row r="5" spans="1:22" x14ac:dyDescent="0.25">
      <c r="A5" s="109">
        <v>0.4</v>
      </c>
      <c r="B5" s="119">
        <f>Förutsättningar!$M$18</f>
        <v>15</v>
      </c>
      <c r="C5" s="119">
        <f>Förutsättningar!N$18</f>
        <v>20</v>
      </c>
      <c r="D5" s="2" t="s">
        <v>13</v>
      </c>
      <c r="E5" s="24" t="s">
        <v>13</v>
      </c>
      <c r="F5">
        <v>20</v>
      </c>
      <c r="G5" s="9">
        <v>12</v>
      </c>
      <c r="H5" s="14">
        <v>7.8</v>
      </c>
      <c r="I5" s="2" t="s">
        <v>14</v>
      </c>
      <c r="J5" s="2"/>
      <c r="K5" s="2"/>
      <c r="L5" s="9"/>
      <c r="M5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0,41520--OK14</v>
      </c>
    </row>
    <row r="6" spans="1:22" ht="15.75" thickBot="1" x14ac:dyDescent="0.3">
      <c r="A6" s="110">
        <v>0.4</v>
      </c>
      <c r="B6" s="112">
        <f>Förutsättningar!$M$18</f>
        <v>15</v>
      </c>
      <c r="C6" s="112">
        <f>Förutsättningar!N$18</f>
        <v>20</v>
      </c>
      <c r="D6" s="25" t="s">
        <v>13</v>
      </c>
      <c r="E6" s="26" t="s">
        <v>13</v>
      </c>
      <c r="F6" s="11">
        <v>20</v>
      </c>
      <c r="G6" s="12">
        <v>20</v>
      </c>
      <c r="H6" s="15">
        <v>7.8</v>
      </c>
      <c r="I6" s="25" t="s">
        <v>14</v>
      </c>
      <c r="J6" s="25"/>
      <c r="K6" s="25"/>
      <c r="L6" s="12"/>
      <c r="M6" s="20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0,41520--OK14</v>
      </c>
    </row>
    <row r="7" spans="1:22" x14ac:dyDescent="0.25">
      <c r="A7" s="109">
        <v>0.4</v>
      </c>
      <c r="B7" s="119">
        <f>Förutsättningar!M$19</f>
        <v>15</v>
      </c>
      <c r="C7" s="119">
        <f>Förutsättningar!N$19</f>
        <v>15</v>
      </c>
      <c r="D7" s="2" t="s">
        <v>13</v>
      </c>
      <c r="E7" s="24" t="s">
        <v>13</v>
      </c>
      <c r="F7" s="5">
        <v>15</v>
      </c>
      <c r="G7" s="7">
        <v>0</v>
      </c>
      <c r="H7" s="13">
        <v>9.3000000000000007</v>
      </c>
      <c r="I7" s="21" t="s">
        <v>14</v>
      </c>
      <c r="J7" s="21"/>
      <c r="K7" s="21"/>
      <c r="L7" s="7"/>
      <c r="M7" s="18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0,41515--OK14</v>
      </c>
    </row>
    <row r="8" spans="1:22" x14ac:dyDescent="0.25">
      <c r="A8" s="109">
        <v>0.4</v>
      </c>
      <c r="B8" s="119">
        <f>Förutsättningar!M$19</f>
        <v>15</v>
      </c>
      <c r="C8" s="119">
        <f>Förutsättningar!N$19</f>
        <v>15</v>
      </c>
      <c r="D8" s="2" t="s">
        <v>13</v>
      </c>
      <c r="E8" s="24" t="s">
        <v>13</v>
      </c>
      <c r="F8" s="8">
        <v>15</v>
      </c>
      <c r="G8" s="9">
        <v>2</v>
      </c>
      <c r="H8" s="14">
        <v>10</v>
      </c>
      <c r="I8" s="2" t="s">
        <v>14</v>
      </c>
      <c r="J8" s="2"/>
      <c r="K8" s="2"/>
      <c r="L8" s="9"/>
      <c r="M8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0,41515--OK14</v>
      </c>
    </row>
    <row r="9" spans="1:22" x14ac:dyDescent="0.25">
      <c r="A9" s="109">
        <v>0.4</v>
      </c>
      <c r="B9" s="119">
        <f>Förutsättningar!M$19</f>
        <v>15</v>
      </c>
      <c r="C9" s="119">
        <f>Förutsättningar!N$19</f>
        <v>15</v>
      </c>
      <c r="D9" s="2" t="s">
        <v>13</v>
      </c>
      <c r="E9" s="24" t="s">
        <v>13</v>
      </c>
      <c r="F9" s="8">
        <v>15</v>
      </c>
      <c r="G9" s="9">
        <v>7</v>
      </c>
      <c r="H9" s="14">
        <v>10.199999999999999</v>
      </c>
      <c r="I9" s="2" t="s">
        <v>14</v>
      </c>
      <c r="J9" s="2"/>
      <c r="K9" s="2"/>
      <c r="L9" s="9"/>
      <c r="M9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0,41515--OK14</v>
      </c>
    </row>
    <row r="10" spans="1:22" x14ac:dyDescent="0.25">
      <c r="A10" s="109">
        <v>0.4</v>
      </c>
      <c r="B10" s="119">
        <f>Förutsättningar!M$19</f>
        <v>15</v>
      </c>
      <c r="C10" s="119">
        <f>Förutsättningar!N$19</f>
        <v>15</v>
      </c>
      <c r="D10" s="2" t="s">
        <v>13</v>
      </c>
      <c r="E10" s="24" t="s">
        <v>13</v>
      </c>
      <c r="F10" s="8">
        <v>15</v>
      </c>
      <c r="G10" s="9">
        <v>12</v>
      </c>
      <c r="H10" s="14">
        <v>10.3</v>
      </c>
      <c r="I10" s="2" t="s">
        <v>14</v>
      </c>
      <c r="J10" s="2"/>
      <c r="K10" s="2"/>
      <c r="L10" s="9"/>
      <c r="M10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0,41515--OK14</v>
      </c>
    </row>
    <row r="11" spans="1:22" ht="15.75" thickBot="1" x14ac:dyDescent="0.3">
      <c r="A11" s="110">
        <v>0.4</v>
      </c>
      <c r="B11" s="112">
        <f>Förutsättningar!M$19</f>
        <v>15</v>
      </c>
      <c r="C11" s="112">
        <f>Förutsättningar!N$19</f>
        <v>15</v>
      </c>
      <c r="D11" s="25" t="s">
        <v>13</v>
      </c>
      <c r="E11" s="26" t="s">
        <v>13</v>
      </c>
      <c r="F11" s="10">
        <v>15</v>
      </c>
      <c r="G11" s="12">
        <v>20</v>
      </c>
      <c r="H11" s="15">
        <v>10.3</v>
      </c>
      <c r="I11" s="25" t="s">
        <v>14</v>
      </c>
      <c r="J11" s="25"/>
      <c r="K11" s="25"/>
      <c r="L11" s="12"/>
      <c r="M11" s="20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0,41515--OK14</v>
      </c>
    </row>
    <row r="12" spans="1:22" x14ac:dyDescent="0.25">
      <c r="A12" s="108">
        <v>0.4</v>
      </c>
      <c r="B12" s="111">
        <f>Förutsättningar!M$20</f>
        <v>15</v>
      </c>
      <c r="C12" s="111">
        <f>Förutsättningar!N$20</f>
        <v>10</v>
      </c>
      <c r="D12" s="21" t="s">
        <v>13</v>
      </c>
      <c r="E12" s="23" t="s">
        <v>13</v>
      </c>
      <c r="F12" s="5">
        <v>10</v>
      </c>
      <c r="G12" s="7">
        <v>0</v>
      </c>
      <c r="H12" s="13">
        <v>12.8</v>
      </c>
      <c r="I12" s="21" t="s">
        <v>14</v>
      </c>
      <c r="J12" s="21"/>
      <c r="K12" s="21"/>
      <c r="L12" s="7"/>
      <c r="M12" s="18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0,41510--OK14</v>
      </c>
    </row>
    <row r="13" spans="1:22" x14ac:dyDescent="0.25">
      <c r="A13" s="109">
        <v>0.4</v>
      </c>
      <c r="B13" s="119">
        <f>Förutsättningar!M$20</f>
        <v>15</v>
      </c>
      <c r="C13" s="119">
        <f>Förutsättningar!N$20</f>
        <v>10</v>
      </c>
      <c r="D13" s="2" t="s">
        <v>13</v>
      </c>
      <c r="E13" s="24" t="s">
        <v>13</v>
      </c>
      <c r="F13" s="8">
        <v>10</v>
      </c>
      <c r="G13" s="9">
        <v>2</v>
      </c>
      <c r="H13" s="14">
        <v>13.7</v>
      </c>
      <c r="I13" s="2" t="s">
        <v>14</v>
      </c>
      <c r="J13" s="2"/>
      <c r="K13" s="2"/>
      <c r="L13" s="9"/>
      <c r="M13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0,41510--OK14</v>
      </c>
    </row>
    <row r="14" spans="1:22" x14ac:dyDescent="0.25">
      <c r="A14" s="109">
        <v>0.4</v>
      </c>
      <c r="B14" s="119">
        <f>Förutsättningar!M$20</f>
        <v>15</v>
      </c>
      <c r="C14" s="119">
        <f>Förutsättningar!N$20</f>
        <v>10</v>
      </c>
      <c r="D14" s="2" t="s">
        <v>13</v>
      </c>
      <c r="E14" s="24" t="s">
        <v>13</v>
      </c>
      <c r="F14" s="8">
        <v>10</v>
      </c>
      <c r="G14" s="9">
        <v>7</v>
      </c>
      <c r="H14" s="14">
        <v>14</v>
      </c>
      <c r="I14" s="2" t="s">
        <v>14</v>
      </c>
      <c r="J14" s="2"/>
      <c r="K14" s="2"/>
      <c r="L14" s="9"/>
      <c r="M14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0,41510--OK14</v>
      </c>
    </row>
    <row r="15" spans="1:22" x14ac:dyDescent="0.25">
      <c r="A15" s="109">
        <v>0.4</v>
      </c>
      <c r="B15" s="119">
        <f>Förutsättningar!M$20</f>
        <v>15</v>
      </c>
      <c r="C15" s="119">
        <f>Förutsättningar!N$20</f>
        <v>10</v>
      </c>
      <c r="D15" s="2" t="s">
        <v>13</v>
      </c>
      <c r="E15" s="24" t="s">
        <v>13</v>
      </c>
      <c r="F15" s="8">
        <v>10</v>
      </c>
      <c r="G15" s="9">
        <v>12</v>
      </c>
      <c r="H15" s="14">
        <v>14</v>
      </c>
      <c r="I15" s="2" t="s">
        <v>14</v>
      </c>
      <c r="J15" s="2"/>
      <c r="K15" s="2"/>
      <c r="L15" s="9"/>
      <c r="M15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0,41510--OK14</v>
      </c>
    </row>
    <row r="16" spans="1:22" ht="15.75" thickBot="1" x14ac:dyDescent="0.3">
      <c r="A16" s="110">
        <v>0.4</v>
      </c>
      <c r="B16" s="112">
        <f>Förutsättningar!M$20</f>
        <v>15</v>
      </c>
      <c r="C16" s="112">
        <f>Förutsättningar!N$20</f>
        <v>10</v>
      </c>
      <c r="D16" s="25">
        <v>0</v>
      </c>
      <c r="E16" s="26" t="s">
        <v>13</v>
      </c>
      <c r="F16" s="10">
        <v>10</v>
      </c>
      <c r="G16" s="12">
        <v>20</v>
      </c>
      <c r="H16" s="15">
        <v>13.9</v>
      </c>
      <c r="I16" s="25" t="s">
        <v>14</v>
      </c>
      <c r="J16" s="25"/>
      <c r="K16" s="25"/>
      <c r="L16" s="12"/>
      <c r="M16" s="20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0,415100-OK14</v>
      </c>
    </row>
    <row r="17" spans="1:13" x14ac:dyDescent="0.25">
      <c r="A17" s="108">
        <v>0.4</v>
      </c>
      <c r="B17" s="111">
        <f>Förutsättningar!M$21</f>
        <v>20</v>
      </c>
      <c r="C17" s="111">
        <f>Förutsättningar!N$21</f>
        <v>5</v>
      </c>
      <c r="D17" s="21">
        <v>20</v>
      </c>
      <c r="E17" s="23" t="s">
        <v>13</v>
      </c>
      <c r="F17" s="5">
        <v>5</v>
      </c>
      <c r="G17" s="7">
        <v>0</v>
      </c>
      <c r="H17" s="13">
        <v>9.6</v>
      </c>
      <c r="I17" s="21" t="s">
        <v>14</v>
      </c>
      <c r="J17" s="21"/>
      <c r="K17" s="21"/>
      <c r="L17" s="7"/>
      <c r="M17" s="18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0,420520-OK14</v>
      </c>
    </row>
    <row r="18" spans="1:13" x14ac:dyDescent="0.25">
      <c r="A18" s="109">
        <v>0.4</v>
      </c>
      <c r="B18" s="119">
        <f>Förutsättningar!M$21</f>
        <v>20</v>
      </c>
      <c r="C18" s="119">
        <f>Förutsättningar!N$21</f>
        <v>5</v>
      </c>
      <c r="D18" s="2">
        <v>20</v>
      </c>
      <c r="E18" s="24" t="s">
        <v>13</v>
      </c>
      <c r="F18" s="8">
        <v>5</v>
      </c>
      <c r="G18" s="9">
        <v>2</v>
      </c>
      <c r="H18" s="14">
        <v>12.1</v>
      </c>
      <c r="I18" s="2" t="s">
        <v>14</v>
      </c>
      <c r="J18" s="2"/>
      <c r="K18" s="2"/>
      <c r="L18" s="9"/>
      <c r="M18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0,420520-OK14</v>
      </c>
    </row>
    <row r="19" spans="1:13" x14ac:dyDescent="0.25">
      <c r="A19" s="109">
        <v>0.4</v>
      </c>
      <c r="B19" s="119">
        <f>Förutsättningar!M$21</f>
        <v>20</v>
      </c>
      <c r="C19" s="119">
        <f>Förutsättningar!N$21</f>
        <v>5</v>
      </c>
      <c r="D19" s="2">
        <v>20</v>
      </c>
      <c r="E19" s="24" t="s">
        <v>15</v>
      </c>
      <c r="F19" s="8">
        <v>5</v>
      </c>
      <c r="G19" s="9">
        <v>7</v>
      </c>
      <c r="H19" s="14">
        <v>12.6</v>
      </c>
      <c r="I19" s="2" t="s">
        <v>14</v>
      </c>
      <c r="J19" s="2"/>
      <c r="K19" s="2"/>
      <c r="L19" s="9"/>
      <c r="M19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0,420520PresenningOK14</v>
      </c>
    </row>
    <row r="20" spans="1:13" x14ac:dyDescent="0.25">
      <c r="A20" s="109">
        <v>0.4</v>
      </c>
      <c r="B20" s="119">
        <f>Förutsättningar!M$21</f>
        <v>20</v>
      </c>
      <c r="C20" s="119">
        <f>Förutsättningar!N$21</f>
        <v>5</v>
      </c>
      <c r="D20" s="2">
        <v>20</v>
      </c>
      <c r="E20" s="24" t="s">
        <v>15</v>
      </c>
      <c r="F20" s="8">
        <v>5</v>
      </c>
      <c r="G20" s="9">
        <v>12</v>
      </c>
      <c r="H20" s="14">
        <v>13</v>
      </c>
      <c r="I20" s="2" t="s">
        <v>14</v>
      </c>
      <c r="J20" s="2"/>
      <c r="K20" s="2"/>
      <c r="L20" s="9"/>
      <c r="M20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0,420520PresenningOK14</v>
      </c>
    </row>
    <row r="21" spans="1:13" ht="15.75" thickBot="1" x14ac:dyDescent="0.3">
      <c r="A21" s="110">
        <v>0.4</v>
      </c>
      <c r="B21" s="112">
        <f>Förutsättningar!M$21</f>
        <v>20</v>
      </c>
      <c r="C21" s="112">
        <f>Förutsättningar!N$21</f>
        <v>5</v>
      </c>
      <c r="D21" s="25">
        <v>20</v>
      </c>
      <c r="E21" s="26" t="s">
        <v>15</v>
      </c>
      <c r="F21" s="10">
        <v>5</v>
      </c>
      <c r="G21" s="12">
        <v>20</v>
      </c>
      <c r="H21" s="15">
        <v>13.3</v>
      </c>
      <c r="I21" s="25" t="s">
        <v>14</v>
      </c>
      <c r="J21" s="25"/>
      <c r="K21" s="25"/>
      <c r="L21" s="12"/>
      <c r="M21" s="20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0,420520PresenningOK14</v>
      </c>
    </row>
    <row r="22" spans="1:13" x14ac:dyDescent="0.25">
      <c r="A22" s="108">
        <v>0.4</v>
      </c>
      <c r="B22" s="111">
        <f>Förutsättningar!M$22</f>
        <v>20</v>
      </c>
      <c r="C22" s="111">
        <f>Förutsättningar!N$22</f>
        <v>5</v>
      </c>
      <c r="D22" s="21">
        <v>20</v>
      </c>
      <c r="E22" s="23" t="s">
        <v>13</v>
      </c>
      <c r="F22" s="5">
        <v>0</v>
      </c>
      <c r="G22" s="7">
        <v>0</v>
      </c>
      <c r="H22" s="13">
        <v>13.3</v>
      </c>
      <c r="I22" s="21" t="s">
        <v>14</v>
      </c>
      <c r="J22" s="21"/>
      <c r="K22" s="21"/>
      <c r="L22" s="7"/>
      <c r="M22" s="18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0,420520-OK14</v>
      </c>
    </row>
    <row r="23" spans="1:13" x14ac:dyDescent="0.25">
      <c r="A23" s="109">
        <v>0.4</v>
      </c>
      <c r="B23" s="119">
        <f>Förutsättningar!M$22</f>
        <v>20</v>
      </c>
      <c r="C23" s="119">
        <f>Förutsättningar!N$22</f>
        <v>5</v>
      </c>
      <c r="D23" s="2">
        <v>20</v>
      </c>
      <c r="E23" s="24">
        <v>10</v>
      </c>
      <c r="F23" s="8">
        <v>0</v>
      </c>
      <c r="G23" s="9">
        <v>2</v>
      </c>
      <c r="H23" s="14">
        <v>10.9</v>
      </c>
      <c r="I23" s="2" t="s">
        <v>14</v>
      </c>
      <c r="J23" s="2"/>
      <c r="K23" s="2"/>
      <c r="L23" s="9"/>
      <c r="M23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0,42052010OK14</v>
      </c>
    </row>
    <row r="24" spans="1:13" x14ac:dyDescent="0.25">
      <c r="A24" s="109">
        <v>0.4</v>
      </c>
      <c r="B24" s="119">
        <f>Förutsättningar!M$22</f>
        <v>20</v>
      </c>
      <c r="C24" s="119">
        <f>Förutsättningar!N$22</f>
        <v>5</v>
      </c>
      <c r="D24" s="2">
        <v>20</v>
      </c>
      <c r="E24" s="24">
        <v>10</v>
      </c>
      <c r="F24" s="8">
        <v>0</v>
      </c>
      <c r="G24" s="9">
        <v>7</v>
      </c>
      <c r="H24" s="14">
        <v>11.6</v>
      </c>
      <c r="I24" s="2" t="s">
        <v>14</v>
      </c>
      <c r="J24" s="2"/>
      <c r="K24" s="2"/>
      <c r="L24" s="9"/>
      <c r="M24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0,42052010OK14</v>
      </c>
    </row>
    <row r="25" spans="1:13" x14ac:dyDescent="0.25">
      <c r="A25" s="109">
        <v>0.4</v>
      </c>
      <c r="B25" s="119">
        <f>Förutsättningar!M$22</f>
        <v>20</v>
      </c>
      <c r="C25" s="119">
        <f>Förutsättningar!N$22</f>
        <v>5</v>
      </c>
      <c r="D25" s="2">
        <v>20</v>
      </c>
      <c r="E25" s="24">
        <v>10</v>
      </c>
      <c r="F25" s="8">
        <v>0</v>
      </c>
      <c r="G25" s="9">
        <v>12</v>
      </c>
      <c r="H25" s="14">
        <v>11.8</v>
      </c>
      <c r="I25" s="2" t="s">
        <v>14</v>
      </c>
      <c r="J25" s="2"/>
      <c r="K25" s="2"/>
      <c r="L25" s="9"/>
      <c r="M25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0,42052010OK14</v>
      </c>
    </row>
    <row r="26" spans="1:13" ht="15.75" thickBot="1" x14ac:dyDescent="0.3">
      <c r="A26" s="110">
        <v>0.4</v>
      </c>
      <c r="B26" s="112">
        <f>Förutsättningar!M$22</f>
        <v>20</v>
      </c>
      <c r="C26" s="112">
        <f>Förutsättningar!N$22</f>
        <v>5</v>
      </c>
      <c r="D26" s="25">
        <v>20</v>
      </c>
      <c r="E26" s="26">
        <v>10</v>
      </c>
      <c r="F26" s="10">
        <v>0</v>
      </c>
      <c r="G26" s="12">
        <v>20</v>
      </c>
      <c r="H26" s="15">
        <v>12</v>
      </c>
      <c r="I26" s="25" t="s">
        <v>14</v>
      </c>
      <c r="J26" s="25"/>
      <c r="K26" s="25"/>
      <c r="L26" s="12"/>
      <c r="M26" s="20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0,42052010OK14</v>
      </c>
    </row>
    <row r="27" spans="1:13" x14ac:dyDescent="0.25">
      <c r="A27" s="108">
        <v>0.4</v>
      </c>
      <c r="B27" s="111">
        <f>Förutsättningar!M$23</f>
        <v>20</v>
      </c>
      <c r="C27" s="111">
        <f>Förutsättningar!N$23</f>
        <v>5</v>
      </c>
      <c r="D27" s="21">
        <v>20</v>
      </c>
      <c r="E27" s="23">
        <v>10</v>
      </c>
      <c r="F27" s="5">
        <v>-5</v>
      </c>
      <c r="G27" s="7">
        <v>0</v>
      </c>
      <c r="H27" s="13">
        <v>13.8</v>
      </c>
      <c r="I27" s="21" t="s">
        <v>14</v>
      </c>
      <c r="J27" s="21"/>
      <c r="K27" s="21"/>
      <c r="L27" s="7"/>
      <c r="M27" s="18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0,42052010OK14</v>
      </c>
    </row>
    <row r="28" spans="1:13" x14ac:dyDescent="0.25">
      <c r="A28" s="109">
        <v>0.4</v>
      </c>
      <c r="B28" s="119">
        <f>Förutsättningar!M$23</f>
        <v>20</v>
      </c>
      <c r="C28" s="119">
        <f>Förutsättningar!N$23</f>
        <v>5</v>
      </c>
      <c r="D28" s="2">
        <v>20</v>
      </c>
      <c r="E28" s="24">
        <v>20</v>
      </c>
      <c r="F28" s="8">
        <v>-5</v>
      </c>
      <c r="G28" s="9">
        <v>2</v>
      </c>
      <c r="H28" s="14">
        <v>12.6</v>
      </c>
      <c r="I28" s="2" t="s">
        <v>14</v>
      </c>
      <c r="J28" s="2"/>
      <c r="K28" s="2"/>
      <c r="L28" s="9"/>
      <c r="M28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0,42052020OK14</v>
      </c>
    </row>
    <row r="29" spans="1:13" x14ac:dyDescent="0.25">
      <c r="A29" s="109">
        <v>0.4</v>
      </c>
      <c r="B29" s="119">
        <f>Förutsättningar!M$23</f>
        <v>20</v>
      </c>
      <c r="C29" s="119">
        <f>Förutsättningar!N$23</f>
        <v>5</v>
      </c>
      <c r="D29" s="2">
        <v>20</v>
      </c>
      <c r="E29" s="24">
        <v>20</v>
      </c>
      <c r="F29" s="8">
        <v>-5</v>
      </c>
      <c r="G29" s="9">
        <v>7</v>
      </c>
      <c r="H29" s="14">
        <v>13.1</v>
      </c>
      <c r="I29" s="2" t="s">
        <v>14</v>
      </c>
      <c r="J29" s="2"/>
      <c r="K29" s="2"/>
      <c r="L29" s="9"/>
      <c r="M29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0,42052020OK14</v>
      </c>
    </row>
    <row r="30" spans="1:13" x14ac:dyDescent="0.25">
      <c r="A30" s="109">
        <v>0.4</v>
      </c>
      <c r="B30" s="119">
        <f>Förutsättningar!M$23</f>
        <v>20</v>
      </c>
      <c r="C30" s="119">
        <f>Förutsättningar!N$23</f>
        <v>5</v>
      </c>
      <c r="D30" s="2">
        <v>20</v>
      </c>
      <c r="E30" s="24">
        <v>20</v>
      </c>
      <c r="F30" s="8">
        <v>-5</v>
      </c>
      <c r="G30" s="9">
        <v>12</v>
      </c>
      <c r="H30" s="14">
        <v>13.3</v>
      </c>
      <c r="I30" s="2" t="s">
        <v>14</v>
      </c>
      <c r="J30" s="2"/>
      <c r="K30" s="2"/>
      <c r="L30" s="9"/>
      <c r="M30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0,42052020OK14</v>
      </c>
    </row>
    <row r="31" spans="1:13" ht="15.75" thickBot="1" x14ac:dyDescent="0.3">
      <c r="A31" s="110">
        <v>0.4</v>
      </c>
      <c r="B31" s="112">
        <f>Förutsättningar!M$23</f>
        <v>20</v>
      </c>
      <c r="C31" s="112">
        <f>Förutsättningar!N$23</f>
        <v>5</v>
      </c>
      <c r="D31" s="25">
        <v>20</v>
      </c>
      <c r="E31" s="26">
        <v>20</v>
      </c>
      <c r="F31" s="10">
        <v>-5</v>
      </c>
      <c r="G31" s="12">
        <v>20</v>
      </c>
      <c r="H31" s="15">
        <v>13.5</v>
      </c>
      <c r="I31" s="25" t="s">
        <v>14</v>
      </c>
      <c r="J31" s="25"/>
      <c r="K31" s="25"/>
      <c r="L31" s="12"/>
      <c r="M31" s="20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0,42052020OK14</v>
      </c>
    </row>
    <row r="32" spans="1:13" x14ac:dyDescent="0.25">
      <c r="A32" s="108">
        <v>0.4</v>
      </c>
      <c r="B32" s="111">
        <f>Förutsättningar!M$24</f>
        <v>20</v>
      </c>
      <c r="C32" s="111">
        <f>Förutsättningar!N$24</f>
        <v>5</v>
      </c>
      <c r="D32" s="21">
        <v>20</v>
      </c>
      <c r="E32" s="23">
        <v>50</v>
      </c>
      <c r="F32" s="5">
        <v>-10</v>
      </c>
      <c r="G32" s="7">
        <v>0</v>
      </c>
      <c r="H32" s="13">
        <v>13.1</v>
      </c>
      <c r="I32" s="21" t="s">
        <v>14</v>
      </c>
      <c r="J32" s="21"/>
      <c r="K32" s="21"/>
      <c r="L32" s="7"/>
      <c r="M32" s="18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0,42052050OK14</v>
      </c>
    </row>
    <row r="33" spans="1:13" x14ac:dyDescent="0.25">
      <c r="A33" s="109">
        <v>0.4</v>
      </c>
      <c r="B33" s="119">
        <f>Förutsättningar!M$24</f>
        <v>20</v>
      </c>
      <c r="C33" s="119">
        <f>Förutsättningar!N$24</f>
        <v>5</v>
      </c>
      <c r="D33" s="2">
        <v>20</v>
      </c>
      <c r="E33" s="24">
        <v>50</v>
      </c>
      <c r="F33" s="8">
        <v>-10</v>
      </c>
      <c r="G33" s="9">
        <v>2</v>
      </c>
      <c r="H33" s="14">
        <v>13.5</v>
      </c>
      <c r="I33" s="2" t="s">
        <v>14</v>
      </c>
      <c r="J33" s="2"/>
      <c r="K33" s="2"/>
      <c r="L33" s="9"/>
      <c r="M33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0,42052050OK14</v>
      </c>
    </row>
    <row r="34" spans="1:13" x14ac:dyDescent="0.25">
      <c r="A34" s="109">
        <v>0.4</v>
      </c>
      <c r="B34" s="119">
        <f>Förutsättningar!M$24</f>
        <v>20</v>
      </c>
      <c r="C34" s="119">
        <f>Förutsättningar!N$24</f>
        <v>5</v>
      </c>
      <c r="D34" s="2">
        <v>20</v>
      </c>
      <c r="E34" s="24">
        <v>50</v>
      </c>
      <c r="F34" s="8">
        <v>-10</v>
      </c>
      <c r="G34" s="9">
        <v>7</v>
      </c>
      <c r="H34" s="14">
        <v>13.9</v>
      </c>
      <c r="I34" s="2" t="s">
        <v>14</v>
      </c>
      <c r="J34" s="2"/>
      <c r="K34" s="2"/>
      <c r="L34" s="9"/>
      <c r="M34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0,42052050OK14</v>
      </c>
    </row>
    <row r="35" spans="1:13" x14ac:dyDescent="0.25">
      <c r="A35" s="109" t="s">
        <v>13</v>
      </c>
      <c r="B35" s="119" t="s">
        <v>13</v>
      </c>
      <c r="C35" s="119" t="s">
        <v>13</v>
      </c>
      <c r="D35" s="2" t="s">
        <v>13</v>
      </c>
      <c r="E35" s="24" t="s">
        <v>13</v>
      </c>
      <c r="F35" s="8">
        <v>-10</v>
      </c>
      <c r="G35" s="9">
        <v>12</v>
      </c>
      <c r="H35" s="14"/>
      <c r="I35" s="2"/>
      <c r="J35" s="2"/>
      <c r="K35" s="2"/>
      <c r="L35" s="9" t="s">
        <v>16</v>
      </c>
      <c r="M35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-----Frys innan täck</v>
      </c>
    </row>
    <row r="36" spans="1:13" ht="15.75" thickBot="1" x14ac:dyDescent="0.3">
      <c r="A36" s="110" t="s">
        <v>13</v>
      </c>
      <c r="B36" s="112" t="s">
        <v>13</v>
      </c>
      <c r="C36" s="112" t="s">
        <v>13</v>
      </c>
      <c r="D36" s="25" t="s">
        <v>13</v>
      </c>
      <c r="E36" s="26" t="s">
        <v>13</v>
      </c>
      <c r="F36" s="10">
        <v>-10</v>
      </c>
      <c r="G36" s="12">
        <v>20</v>
      </c>
      <c r="H36" s="15"/>
      <c r="I36" s="25"/>
      <c r="J36" s="25"/>
      <c r="K36" s="25"/>
      <c r="L36" s="12" t="s">
        <v>16</v>
      </c>
      <c r="M36" s="20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-----Frys innan täck</v>
      </c>
    </row>
    <row r="37" spans="1:13" x14ac:dyDescent="0.25">
      <c r="A37" s="108">
        <v>0.1</v>
      </c>
      <c r="B37" s="111">
        <f>Förutsättningar!M$25</f>
        <v>15</v>
      </c>
      <c r="C37" s="111">
        <f>Förutsättningar!N$25</f>
        <v>5</v>
      </c>
      <c r="D37" s="21">
        <v>20</v>
      </c>
      <c r="E37" s="23">
        <v>50</v>
      </c>
      <c r="F37" s="5">
        <v>-15</v>
      </c>
      <c r="G37" s="7">
        <v>0</v>
      </c>
      <c r="H37" s="13">
        <v>11.3</v>
      </c>
      <c r="I37" s="21" t="s">
        <v>14</v>
      </c>
      <c r="J37" s="21"/>
      <c r="K37" s="21"/>
      <c r="L37" s="7"/>
      <c r="M37" s="18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0,11552050OK14</v>
      </c>
    </row>
    <row r="38" spans="1:13" x14ac:dyDescent="0.25">
      <c r="A38" s="109">
        <v>0.1</v>
      </c>
      <c r="B38" s="119">
        <f>Förutsättningar!M$25</f>
        <v>15</v>
      </c>
      <c r="C38" s="119">
        <f>Förutsättningar!N$25</f>
        <v>5</v>
      </c>
      <c r="D38" s="2">
        <v>20</v>
      </c>
      <c r="E38" s="24">
        <v>50</v>
      </c>
      <c r="F38" s="8">
        <v>-15</v>
      </c>
      <c r="G38" s="9">
        <v>2</v>
      </c>
      <c r="H38" s="14">
        <v>11.8</v>
      </c>
      <c r="I38" s="2" t="s">
        <v>14</v>
      </c>
      <c r="J38" s="2"/>
      <c r="K38" s="2"/>
      <c r="L38" s="9"/>
      <c r="M38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0,11552050OK14</v>
      </c>
    </row>
    <row r="39" spans="1:13" x14ac:dyDescent="0.25">
      <c r="A39" s="109" t="s">
        <v>13</v>
      </c>
      <c r="B39" s="119" t="s">
        <v>13</v>
      </c>
      <c r="C39" s="119" t="s">
        <v>13</v>
      </c>
      <c r="D39" s="2" t="s">
        <v>13</v>
      </c>
      <c r="E39" s="24" t="s">
        <v>13</v>
      </c>
      <c r="F39" s="8">
        <v>-15</v>
      </c>
      <c r="G39" s="9">
        <v>7</v>
      </c>
      <c r="H39" s="14"/>
      <c r="I39" s="2"/>
      <c r="J39" s="2"/>
      <c r="K39" s="2"/>
      <c r="L39" s="9" t="s">
        <v>16</v>
      </c>
      <c r="M39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-----Frys innan täck</v>
      </c>
    </row>
    <row r="40" spans="1:13" x14ac:dyDescent="0.25">
      <c r="A40" s="109" t="s">
        <v>13</v>
      </c>
      <c r="B40" s="119" t="s">
        <v>13</v>
      </c>
      <c r="C40" s="119" t="s">
        <v>13</v>
      </c>
      <c r="D40" s="2" t="s">
        <v>13</v>
      </c>
      <c r="E40" s="24" t="s">
        <v>13</v>
      </c>
      <c r="F40" s="8">
        <v>-15</v>
      </c>
      <c r="G40" s="9">
        <v>12</v>
      </c>
      <c r="H40" s="14"/>
      <c r="I40" s="2"/>
      <c r="J40" s="2"/>
      <c r="K40" s="2"/>
      <c r="L40" s="9" t="s">
        <v>16</v>
      </c>
      <c r="M40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-----Frys innan täck</v>
      </c>
    </row>
    <row r="41" spans="1:13" ht="15.75" thickBot="1" x14ac:dyDescent="0.3">
      <c r="A41" s="110" t="s">
        <v>13</v>
      </c>
      <c r="B41" s="112" t="s">
        <v>13</v>
      </c>
      <c r="C41" s="112" t="s">
        <v>13</v>
      </c>
      <c r="D41" s="25" t="s">
        <v>13</v>
      </c>
      <c r="E41" s="26" t="s">
        <v>13</v>
      </c>
      <c r="F41" s="10">
        <v>-15</v>
      </c>
      <c r="G41" s="12">
        <v>20</v>
      </c>
      <c r="H41" s="15"/>
      <c r="I41" s="25"/>
      <c r="J41" s="25"/>
      <c r="K41" s="25"/>
      <c r="L41" s="12" t="s">
        <v>16</v>
      </c>
      <c r="M41" s="20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-----Frys innan täck</v>
      </c>
    </row>
    <row r="42" spans="1:13" x14ac:dyDescent="0.25">
      <c r="A42" s="109" t="s">
        <v>13</v>
      </c>
      <c r="B42" s="111" t="s">
        <v>13</v>
      </c>
      <c r="C42" s="111" t="s">
        <v>13</v>
      </c>
      <c r="D42" s="2" t="s">
        <v>13</v>
      </c>
      <c r="E42" s="24" t="s">
        <v>13</v>
      </c>
      <c r="F42" s="8">
        <v>-20</v>
      </c>
      <c r="G42" s="9">
        <v>0</v>
      </c>
      <c r="H42" s="14"/>
      <c r="I42" s="2"/>
      <c r="J42" s="2"/>
      <c r="K42" s="2"/>
      <c r="L42" s="9" t="s">
        <v>23</v>
      </c>
      <c r="M42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-----Når ej 70%</v>
      </c>
    </row>
    <row r="43" spans="1:13" x14ac:dyDescent="0.25">
      <c r="A43" s="109" t="s">
        <v>13</v>
      </c>
      <c r="B43" s="119" t="s">
        <v>13</v>
      </c>
      <c r="C43" s="119" t="s">
        <v>13</v>
      </c>
      <c r="D43" s="2" t="s">
        <v>13</v>
      </c>
      <c r="E43" s="24" t="s">
        <v>13</v>
      </c>
      <c r="F43" s="8">
        <v>-20</v>
      </c>
      <c r="G43" s="9">
        <v>2</v>
      </c>
      <c r="H43" s="14"/>
      <c r="I43" s="2"/>
      <c r="J43" s="2"/>
      <c r="K43" s="2"/>
      <c r="L43" s="9" t="s">
        <v>23</v>
      </c>
      <c r="M43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-----Når ej 70%</v>
      </c>
    </row>
    <row r="44" spans="1:13" x14ac:dyDescent="0.25">
      <c r="A44" s="109" t="s">
        <v>13</v>
      </c>
      <c r="B44" s="119" t="s">
        <v>13</v>
      </c>
      <c r="C44" s="119" t="s">
        <v>13</v>
      </c>
      <c r="D44" s="2" t="s">
        <v>13</v>
      </c>
      <c r="E44" s="24" t="s">
        <v>13</v>
      </c>
      <c r="F44" s="8">
        <v>-20</v>
      </c>
      <c r="G44" s="9">
        <v>7</v>
      </c>
      <c r="H44" s="14"/>
      <c r="I44" s="2"/>
      <c r="J44" s="2"/>
      <c r="K44" s="2"/>
      <c r="L44" s="9" t="s">
        <v>16</v>
      </c>
      <c r="M44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-----Frys innan täck</v>
      </c>
    </row>
    <row r="45" spans="1:13" x14ac:dyDescent="0.25">
      <c r="A45" s="109" t="s">
        <v>13</v>
      </c>
      <c r="B45" s="119" t="s">
        <v>13</v>
      </c>
      <c r="C45" s="119" t="s">
        <v>13</v>
      </c>
      <c r="D45" s="2" t="s">
        <v>13</v>
      </c>
      <c r="E45" s="24" t="s">
        <v>13</v>
      </c>
      <c r="F45" s="8">
        <v>-20</v>
      </c>
      <c r="G45" s="9">
        <v>12</v>
      </c>
      <c r="H45" s="14"/>
      <c r="I45" s="2"/>
      <c r="J45" s="2"/>
      <c r="K45" s="2"/>
      <c r="L45" s="9" t="s">
        <v>16</v>
      </c>
      <c r="M45" s="1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-----Frys innan täck</v>
      </c>
    </row>
    <row r="46" spans="1:13" ht="15.75" thickBot="1" x14ac:dyDescent="0.3">
      <c r="A46" s="110" t="s">
        <v>13</v>
      </c>
      <c r="B46" s="112" t="s">
        <v>13</v>
      </c>
      <c r="C46" s="112" t="s">
        <v>13</v>
      </c>
      <c r="D46" s="25" t="s">
        <v>13</v>
      </c>
      <c r="E46" s="26" t="s">
        <v>13</v>
      </c>
      <c r="F46" s="10">
        <v>-20</v>
      </c>
      <c r="G46" s="12">
        <v>20</v>
      </c>
      <c r="H46" s="15"/>
      <c r="I46" s="25"/>
      <c r="J46" s="25"/>
      <c r="K46" s="25"/>
      <c r="L46" s="12" t="s">
        <v>16</v>
      </c>
      <c r="M46" s="20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-----Frys innan täck</v>
      </c>
    </row>
  </sheetData>
  <conditionalFormatting sqref="H2:H46">
    <cfRule type="cellIs" dxfId="7" priority="1" operator="greaterThan">
      <formula>14</formula>
    </cfRule>
  </conditionalFormatting>
  <dataValidations count="1">
    <dataValidation type="list" allowBlank="1" showInputMessage="1" showErrorMessage="1" sqref="N2:N46" xr:uid="{66BF558D-5C3B-4CF2-B415-C74F6170905B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D486732-2FDB-4ED0-B97C-25A52A10BF27}">
          <x14:formula1>
            <xm:f>Förutsättningar!$G$2</xm:f>
          </x14:formula1>
          <xm:sqref>K2:K46</xm:sqref>
        </x14:dataValidation>
        <x14:dataValidation type="list" allowBlank="1" showInputMessage="1" showErrorMessage="1" xr:uid="{7AE986B7-5D26-49FA-9EE0-91B8FAF22A61}">
          <x14:formula1>
            <xm:f>Förutsättningar!$F$2</xm:f>
          </x14:formula1>
          <xm:sqref>I2:I46</xm:sqref>
        </x14:dataValidation>
        <x14:dataValidation type="list" allowBlank="1" showInputMessage="1" showErrorMessage="1" xr:uid="{A9DD592B-02FD-46BF-A5F5-AF27AC775ECD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FE24A097-369D-483B-B7E3-3EF7DCA0C1D6}">
          <x14:formula1>
            <xm:f>Förutsättningar!$H$2:$H$6</xm:f>
          </x14:formula1>
          <xm:sqref>A2:A46</xm:sqref>
        </x14:dataValidation>
        <x14:dataValidation type="list" allowBlank="1" showInputMessage="1" showErrorMessage="1" xr:uid="{F50DA18E-C6D4-4E35-AEA0-0E6EB452F0ED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3F46DD15-6A0E-4EBA-94F1-541312C4E508}">
          <x14:formula1>
            <xm:f>Förutsättningar!$I$2:$I$3</xm:f>
          </x14:formula1>
          <xm:sqref>L2:L46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40B2-5302-4ED1-BB7D-3A61A080B1FC}">
  <sheetPr codeName="Sheet9"/>
  <dimension ref="A1:V46"/>
  <sheetViews>
    <sheetView zoomScale="115" zoomScaleNormal="115" workbookViewId="0">
      <selection activeCell="B2" sqref="B2"/>
    </sheetView>
  </sheetViews>
  <sheetFormatPr defaultRowHeight="15" x14ac:dyDescent="0.25"/>
  <cols>
    <col min="1" max="1" width="12.5703125" style="106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9" width="14.42578125" bestFit="1" customWidth="1"/>
    <col min="10" max="11" width="22.140625" bestFit="1" customWidth="1"/>
    <col min="12" max="12" width="14.425781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0.75" thickBot="1" x14ac:dyDescent="0.3">
      <c r="A1" s="120" t="s">
        <v>57</v>
      </c>
      <c r="B1" s="118" t="s">
        <v>0</v>
      </c>
      <c r="C1" s="118" t="s">
        <v>1</v>
      </c>
      <c r="D1" s="118" t="s">
        <v>2</v>
      </c>
      <c r="E1" s="118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7" t="s">
        <v>11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08">
        <v>0.4</v>
      </c>
      <c r="B2" s="111">
        <f>Förutsättningar!M$18</f>
        <v>15</v>
      </c>
      <c r="C2" s="111">
        <f>Förutsättningar!N$18</f>
        <v>20</v>
      </c>
      <c r="D2" s="22" t="s">
        <v>13</v>
      </c>
      <c r="E2" s="23" t="s">
        <v>13</v>
      </c>
      <c r="F2" s="6">
        <v>20</v>
      </c>
      <c r="G2" s="7">
        <v>0</v>
      </c>
      <c r="H2" s="13">
        <v>6.5</v>
      </c>
      <c r="I2" s="21" t="s">
        <v>14</v>
      </c>
      <c r="J2" s="21" t="s">
        <v>65</v>
      </c>
      <c r="K2" s="21"/>
      <c r="L2" s="7"/>
      <c r="M2" s="18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0,41520--OK14</v>
      </c>
      <c r="Q2" s="1"/>
    </row>
    <row r="3" spans="1:22" x14ac:dyDescent="0.25">
      <c r="A3" s="109">
        <v>0.4</v>
      </c>
      <c r="B3" s="119">
        <f>Förutsättningar!$M$18</f>
        <v>15</v>
      </c>
      <c r="C3" s="119">
        <f>Förutsättningar!N$18</f>
        <v>20</v>
      </c>
      <c r="D3" s="2" t="s">
        <v>13</v>
      </c>
      <c r="E3" s="24" t="s">
        <v>13</v>
      </c>
      <c r="F3">
        <v>20</v>
      </c>
      <c r="G3" s="9">
        <v>2</v>
      </c>
      <c r="H3" s="14">
        <v>7</v>
      </c>
      <c r="I3" s="2" t="s">
        <v>14</v>
      </c>
      <c r="J3" s="2"/>
      <c r="K3" s="2"/>
      <c r="L3" s="9"/>
      <c r="M3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0,41520--OK14</v>
      </c>
    </row>
    <row r="4" spans="1:22" x14ac:dyDescent="0.25">
      <c r="A4" s="109">
        <v>0.4</v>
      </c>
      <c r="B4" s="119">
        <f>Förutsättningar!$M$18</f>
        <v>15</v>
      </c>
      <c r="C4" s="119">
        <f>Förutsättningar!N$18</f>
        <v>20</v>
      </c>
      <c r="D4" s="2" t="s">
        <v>13</v>
      </c>
      <c r="E4" s="24" t="s">
        <v>13</v>
      </c>
      <c r="F4">
        <v>20</v>
      </c>
      <c r="G4" s="9">
        <v>7</v>
      </c>
      <c r="H4" s="14">
        <v>7.2</v>
      </c>
      <c r="I4" s="2" t="s">
        <v>14</v>
      </c>
      <c r="J4" s="2"/>
      <c r="K4" s="2"/>
      <c r="L4" s="9"/>
      <c r="M4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0,41520--OK14</v>
      </c>
    </row>
    <row r="5" spans="1:22" x14ac:dyDescent="0.25">
      <c r="A5" s="109">
        <v>0.4</v>
      </c>
      <c r="B5" s="119">
        <f>Förutsättningar!$M$18</f>
        <v>15</v>
      </c>
      <c r="C5" s="119">
        <f>Förutsättningar!N$18</f>
        <v>20</v>
      </c>
      <c r="D5" s="2" t="s">
        <v>13</v>
      </c>
      <c r="E5" s="24" t="s">
        <v>13</v>
      </c>
      <c r="F5">
        <v>20</v>
      </c>
      <c r="G5" s="9">
        <v>12</v>
      </c>
      <c r="H5" s="14">
        <v>7.3</v>
      </c>
      <c r="I5" s="2" t="s">
        <v>14</v>
      </c>
      <c r="J5" s="2"/>
      <c r="K5" s="2"/>
      <c r="L5" s="9"/>
      <c r="M5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0,41520--OK14</v>
      </c>
    </row>
    <row r="6" spans="1:22" ht="15.75" thickBot="1" x14ac:dyDescent="0.3">
      <c r="A6" s="110">
        <v>0.4</v>
      </c>
      <c r="B6" s="112">
        <f>Förutsättningar!$M$18</f>
        <v>15</v>
      </c>
      <c r="C6" s="112">
        <f>Förutsättningar!N$18</f>
        <v>20</v>
      </c>
      <c r="D6" s="25" t="s">
        <v>13</v>
      </c>
      <c r="E6" s="26" t="s">
        <v>13</v>
      </c>
      <c r="F6" s="11">
        <v>20</v>
      </c>
      <c r="G6" s="12">
        <v>20</v>
      </c>
      <c r="H6" s="15">
        <v>7.3</v>
      </c>
      <c r="I6" s="25" t="s">
        <v>14</v>
      </c>
      <c r="J6" s="25"/>
      <c r="K6" s="25"/>
      <c r="L6" s="12"/>
      <c r="M6" s="20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0,41520--OK14</v>
      </c>
    </row>
    <row r="7" spans="1:22" x14ac:dyDescent="0.25">
      <c r="A7" s="109">
        <v>0.4</v>
      </c>
      <c r="B7" s="119">
        <f>Förutsättningar!M$19</f>
        <v>15</v>
      </c>
      <c r="C7" s="119">
        <f>Förutsättningar!N$19</f>
        <v>15</v>
      </c>
      <c r="D7" s="2" t="s">
        <v>13</v>
      </c>
      <c r="E7" s="24" t="s">
        <v>13</v>
      </c>
      <c r="F7" s="5">
        <v>15</v>
      </c>
      <c r="G7" s="7">
        <v>0</v>
      </c>
      <c r="H7" s="13">
        <v>8.5</v>
      </c>
      <c r="I7" s="21" t="s">
        <v>14</v>
      </c>
      <c r="J7" s="21"/>
      <c r="K7" s="21"/>
      <c r="L7" s="7"/>
      <c r="M7" s="18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0,41515--OK14</v>
      </c>
    </row>
    <row r="8" spans="1:22" x14ac:dyDescent="0.25">
      <c r="A8" s="109">
        <v>0.4</v>
      </c>
      <c r="B8" s="119">
        <f>Förutsättningar!M$19</f>
        <v>15</v>
      </c>
      <c r="C8" s="119">
        <f>Förutsättningar!N$19</f>
        <v>15</v>
      </c>
      <c r="D8" s="2" t="s">
        <v>13</v>
      </c>
      <c r="E8" s="24" t="s">
        <v>13</v>
      </c>
      <c r="F8" s="8">
        <v>15</v>
      </c>
      <c r="G8" s="9">
        <v>2</v>
      </c>
      <c r="H8" s="14">
        <v>9.1999999999999993</v>
      </c>
      <c r="I8" s="2" t="s">
        <v>14</v>
      </c>
      <c r="J8" s="2"/>
      <c r="K8" s="2"/>
      <c r="L8" s="9"/>
      <c r="M8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0,41515--OK14</v>
      </c>
    </row>
    <row r="9" spans="1:22" x14ac:dyDescent="0.25">
      <c r="A9" s="109">
        <v>0.4</v>
      </c>
      <c r="B9" s="119">
        <f>Förutsättningar!M$19</f>
        <v>15</v>
      </c>
      <c r="C9" s="119">
        <f>Förutsättningar!N$19</f>
        <v>15</v>
      </c>
      <c r="D9" s="2" t="s">
        <v>13</v>
      </c>
      <c r="E9" s="24" t="s">
        <v>13</v>
      </c>
      <c r="F9" s="8">
        <v>15</v>
      </c>
      <c r="G9" s="9">
        <v>7</v>
      </c>
      <c r="H9" s="14">
        <v>9.5</v>
      </c>
      <c r="I9" s="2" t="s">
        <v>14</v>
      </c>
      <c r="J9" s="2"/>
      <c r="K9" s="2"/>
      <c r="L9" s="9"/>
      <c r="M9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0,41515--OK14</v>
      </c>
    </row>
    <row r="10" spans="1:22" x14ac:dyDescent="0.25">
      <c r="A10" s="109">
        <v>0.4</v>
      </c>
      <c r="B10" s="119">
        <f>Förutsättningar!M$19</f>
        <v>15</v>
      </c>
      <c r="C10" s="119">
        <f>Förutsättningar!N$19</f>
        <v>15</v>
      </c>
      <c r="D10" s="2" t="s">
        <v>13</v>
      </c>
      <c r="E10" s="24" t="s">
        <v>13</v>
      </c>
      <c r="F10" s="8">
        <v>15</v>
      </c>
      <c r="G10" s="9">
        <v>12</v>
      </c>
      <c r="H10" s="14">
        <v>9.5</v>
      </c>
      <c r="I10" s="2" t="s">
        <v>14</v>
      </c>
      <c r="J10" s="2"/>
      <c r="K10" s="2"/>
      <c r="L10" s="9"/>
      <c r="M10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0,41515--OK14</v>
      </c>
    </row>
    <row r="11" spans="1:22" ht="15.75" thickBot="1" x14ac:dyDescent="0.3">
      <c r="A11" s="110">
        <v>0.4</v>
      </c>
      <c r="B11" s="112">
        <f>Förutsättningar!M$19</f>
        <v>15</v>
      </c>
      <c r="C11" s="112">
        <f>Förutsättningar!N$19</f>
        <v>15</v>
      </c>
      <c r="D11" s="25" t="s">
        <v>13</v>
      </c>
      <c r="E11" s="26" t="s">
        <v>13</v>
      </c>
      <c r="F11" s="10">
        <v>15</v>
      </c>
      <c r="G11" s="12">
        <v>20</v>
      </c>
      <c r="H11" s="15">
        <v>9.6</v>
      </c>
      <c r="I11" s="25" t="s">
        <v>14</v>
      </c>
      <c r="J11" s="25"/>
      <c r="K11" s="25"/>
      <c r="L11" s="12"/>
      <c r="M11" s="20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0,41515--OK14</v>
      </c>
    </row>
    <row r="12" spans="1:22" x14ac:dyDescent="0.25">
      <c r="A12" s="108">
        <v>0.4</v>
      </c>
      <c r="B12" s="111">
        <f>Förutsättningar!M$20</f>
        <v>15</v>
      </c>
      <c r="C12" s="111">
        <f>Förutsättningar!N$20</f>
        <v>10</v>
      </c>
      <c r="D12" s="21" t="s">
        <v>13</v>
      </c>
      <c r="E12" s="23" t="s">
        <v>13</v>
      </c>
      <c r="F12" s="5">
        <v>10</v>
      </c>
      <c r="G12" s="7">
        <v>0</v>
      </c>
      <c r="H12" s="13">
        <v>11.8</v>
      </c>
      <c r="I12" s="21" t="s">
        <v>14</v>
      </c>
      <c r="J12" s="21"/>
      <c r="K12" s="21"/>
      <c r="L12" s="7"/>
      <c r="M12" s="18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0,41510--OK14</v>
      </c>
    </row>
    <row r="13" spans="1:22" x14ac:dyDescent="0.25">
      <c r="A13" s="109">
        <v>0.4</v>
      </c>
      <c r="B13" s="119">
        <f>Förutsättningar!M$20</f>
        <v>15</v>
      </c>
      <c r="C13" s="119">
        <f>Förutsättningar!N$20</f>
        <v>10</v>
      </c>
      <c r="D13" s="2" t="s">
        <v>13</v>
      </c>
      <c r="E13" s="24" t="s">
        <v>13</v>
      </c>
      <c r="F13" s="8">
        <v>10</v>
      </c>
      <c r="G13" s="9">
        <v>2</v>
      </c>
      <c r="H13" s="14">
        <v>12.7</v>
      </c>
      <c r="I13" s="2" t="s">
        <v>14</v>
      </c>
      <c r="J13" s="2"/>
      <c r="K13" s="2"/>
      <c r="L13" s="9"/>
      <c r="M13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0,41510--OK14</v>
      </c>
    </row>
    <row r="14" spans="1:22" x14ac:dyDescent="0.25">
      <c r="A14" s="109">
        <v>0.4</v>
      </c>
      <c r="B14" s="119">
        <f>Förutsättningar!M$20</f>
        <v>15</v>
      </c>
      <c r="C14" s="119">
        <f>Förutsättningar!N$20</f>
        <v>10</v>
      </c>
      <c r="D14" s="2" t="s">
        <v>13</v>
      </c>
      <c r="E14" s="24" t="s">
        <v>13</v>
      </c>
      <c r="F14" s="8">
        <v>10</v>
      </c>
      <c r="G14" s="9">
        <v>7</v>
      </c>
      <c r="H14" s="14">
        <v>13</v>
      </c>
      <c r="I14" s="2" t="s">
        <v>14</v>
      </c>
      <c r="J14" s="2"/>
      <c r="K14" s="2"/>
      <c r="L14" s="9"/>
      <c r="M14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0,41510--OK14</v>
      </c>
    </row>
    <row r="15" spans="1:22" x14ac:dyDescent="0.25">
      <c r="A15" s="109">
        <v>0.4</v>
      </c>
      <c r="B15" s="119">
        <f>Förutsättningar!M$20</f>
        <v>15</v>
      </c>
      <c r="C15" s="119">
        <f>Förutsättningar!N$20</f>
        <v>10</v>
      </c>
      <c r="D15" s="2" t="s">
        <v>13</v>
      </c>
      <c r="E15" s="24" t="s">
        <v>13</v>
      </c>
      <c r="F15" s="8">
        <v>10</v>
      </c>
      <c r="G15" s="9">
        <v>12</v>
      </c>
      <c r="H15" s="14">
        <v>13.1</v>
      </c>
      <c r="I15" s="2" t="s">
        <v>14</v>
      </c>
      <c r="J15" s="2"/>
      <c r="K15" s="2"/>
      <c r="L15" s="9"/>
      <c r="M15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0,41510--OK14</v>
      </c>
    </row>
    <row r="16" spans="1:22" ht="15.75" thickBot="1" x14ac:dyDescent="0.3">
      <c r="A16" s="110">
        <v>0.4</v>
      </c>
      <c r="B16" s="112">
        <f>Förutsättningar!M$20</f>
        <v>15</v>
      </c>
      <c r="C16" s="112">
        <f>Förutsättningar!N$20</f>
        <v>10</v>
      </c>
      <c r="D16" s="25" t="s">
        <v>13</v>
      </c>
      <c r="E16" s="26" t="s">
        <v>13</v>
      </c>
      <c r="F16" s="10">
        <v>10</v>
      </c>
      <c r="G16" s="12">
        <v>20</v>
      </c>
      <c r="H16" s="15">
        <v>13.2</v>
      </c>
      <c r="I16" s="25" t="s">
        <v>14</v>
      </c>
      <c r="J16" s="25"/>
      <c r="K16" s="25"/>
      <c r="L16" s="12"/>
      <c r="M16" s="20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0,41510--OK14</v>
      </c>
    </row>
    <row r="17" spans="1:13" x14ac:dyDescent="0.25">
      <c r="A17" s="108">
        <v>0.4</v>
      </c>
      <c r="B17" s="111">
        <f>Förutsättningar!M$21</f>
        <v>20</v>
      </c>
      <c r="C17" s="111">
        <f>Förutsättningar!N$21</f>
        <v>5</v>
      </c>
      <c r="D17" s="21">
        <v>0</v>
      </c>
      <c r="E17" s="23">
        <v>50</v>
      </c>
      <c r="F17" s="5">
        <v>5</v>
      </c>
      <c r="G17" s="7">
        <v>0</v>
      </c>
      <c r="H17" s="13">
        <v>14</v>
      </c>
      <c r="I17" s="21" t="s">
        <v>14</v>
      </c>
      <c r="J17" s="21"/>
      <c r="K17" s="21"/>
      <c r="L17" s="7"/>
      <c r="M17" s="18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0,4205050OK14</v>
      </c>
    </row>
    <row r="18" spans="1:13" x14ac:dyDescent="0.25">
      <c r="A18" s="109">
        <v>0.4</v>
      </c>
      <c r="B18" s="119">
        <f>Förutsättningar!M$21</f>
        <v>20</v>
      </c>
      <c r="C18" s="119">
        <f>Förutsättningar!N$21</f>
        <v>5</v>
      </c>
      <c r="D18" s="2">
        <v>20</v>
      </c>
      <c r="E18" s="24" t="s">
        <v>13</v>
      </c>
      <c r="F18" s="8">
        <v>5</v>
      </c>
      <c r="G18" s="9">
        <v>2</v>
      </c>
      <c r="H18" s="14">
        <v>11.2</v>
      </c>
      <c r="I18" s="2" t="s">
        <v>14</v>
      </c>
      <c r="J18" s="2"/>
      <c r="K18" s="2"/>
      <c r="L18" s="9"/>
      <c r="M18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0,420520-OK14</v>
      </c>
    </row>
    <row r="19" spans="1:13" x14ac:dyDescent="0.25">
      <c r="A19" s="109">
        <v>0.4</v>
      </c>
      <c r="B19" s="119">
        <f>Förutsättningar!M$21</f>
        <v>20</v>
      </c>
      <c r="C19" s="119">
        <f>Förutsättningar!N$21</f>
        <v>5</v>
      </c>
      <c r="D19" s="2">
        <v>20</v>
      </c>
      <c r="E19" s="24" t="s">
        <v>13</v>
      </c>
      <c r="F19" s="8">
        <v>5</v>
      </c>
      <c r="G19" s="9">
        <v>7</v>
      </c>
      <c r="H19" s="14">
        <v>13.2</v>
      </c>
      <c r="I19" s="2" t="s">
        <v>14</v>
      </c>
      <c r="J19" s="2"/>
      <c r="K19" s="2"/>
      <c r="L19" s="9"/>
      <c r="M19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0,420520-OK14</v>
      </c>
    </row>
    <row r="20" spans="1:13" x14ac:dyDescent="0.25">
      <c r="A20" s="109">
        <v>0.4</v>
      </c>
      <c r="B20" s="119">
        <f>Förutsättningar!M$21</f>
        <v>20</v>
      </c>
      <c r="C20" s="119">
        <f>Förutsättningar!N$21</f>
        <v>5</v>
      </c>
      <c r="D20" s="2">
        <v>20</v>
      </c>
      <c r="E20" s="24" t="s">
        <v>13</v>
      </c>
      <c r="F20" s="8">
        <v>5</v>
      </c>
      <c r="G20" s="9">
        <v>12</v>
      </c>
      <c r="H20" s="14">
        <v>13.8</v>
      </c>
      <c r="I20" s="2" t="s">
        <v>14</v>
      </c>
      <c r="J20" s="2"/>
      <c r="K20" s="2"/>
      <c r="L20" s="9"/>
      <c r="M20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0,420520-OK14</v>
      </c>
    </row>
    <row r="21" spans="1:13" ht="15.75" thickBot="1" x14ac:dyDescent="0.3">
      <c r="A21" s="110">
        <v>0.4</v>
      </c>
      <c r="B21" s="112">
        <f>Förutsättningar!M$21</f>
        <v>20</v>
      </c>
      <c r="C21" s="112">
        <f>Förutsättningar!N$21</f>
        <v>5</v>
      </c>
      <c r="D21" s="25">
        <v>20</v>
      </c>
      <c r="E21" s="26" t="s">
        <v>15</v>
      </c>
      <c r="F21" s="10">
        <v>5</v>
      </c>
      <c r="G21" s="12">
        <v>20</v>
      </c>
      <c r="H21" s="15">
        <v>12.4</v>
      </c>
      <c r="I21" s="25" t="s">
        <v>14</v>
      </c>
      <c r="J21" s="25"/>
      <c r="K21" s="25"/>
      <c r="L21" s="12"/>
      <c r="M21" s="20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0,420520PresenningOK14</v>
      </c>
    </row>
    <row r="22" spans="1:13" x14ac:dyDescent="0.25">
      <c r="A22" s="108">
        <v>0.4</v>
      </c>
      <c r="B22" s="111">
        <f>Förutsättningar!M$22</f>
        <v>20</v>
      </c>
      <c r="C22" s="111">
        <f>Förutsättningar!N$22</f>
        <v>5</v>
      </c>
      <c r="D22" s="21">
        <v>20</v>
      </c>
      <c r="E22" s="23" t="s">
        <v>13</v>
      </c>
      <c r="F22" s="5">
        <v>0</v>
      </c>
      <c r="G22" s="7">
        <v>0</v>
      </c>
      <c r="H22" s="13">
        <v>13.5</v>
      </c>
      <c r="I22" s="21" t="s">
        <v>14</v>
      </c>
      <c r="J22" s="21"/>
      <c r="K22" s="21"/>
      <c r="L22" s="7"/>
      <c r="M22" s="18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0,420520-OK14</v>
      </c>
    </row>
    <row r="23" spans="1:13" x14ac:dyDescent="0.25">
      <c r="A23" s="109">
        <v>0.4</v>
      </c>
      <c r="B23" s="119">
        <f>Förutsättningar!M$22</f>
        <v>20</v>
      </c>
      <c r="C23" s="119">
        <f>Förutsättningar!N$22</f>
        <v>5</v>
      </c>
      <c r="D23" s="2">
        <v>20</v>
      </c>
      <c r="E23" s="24">
        <v>10</v>
      </c>
      <c r="F23" s="8">
        <v>0</v>
      </c>
      <c r="G23" s="9">
        <v>2</v>
      </c>
      <c r="H23" s="14">
        <v>9.9</v>
      </c>
      <c r="I23" s="2" t="s">
        <v>14</v>
      </c>
      <c r="J23" s="2"/>
      <c r="K23" s="2"/>
      <c r="L23" s="9"/>
      <c r="M23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0,42052010OK14</v>
      </c>
    </row>
    <row r="24" spans="1:13" x14ac:dyDescent="0.25">
      <c r="A24" s="109">
        <v>0.4</v>
      </c>
      <c r="B24" s="119">
        <f>Förutsättningar!M$22</f>
        <v>20</v>
      </c>
      <c r="C24" s="119">
        <f>Förutsättningar!N$22</f>
        <v>5</v>
      </c>
      <c r="D24" s="2">
        <v>20</v>
      </c>
      <c r="E24" s="24">
        <v>10</v>
      </c>
      <c r="F24" s="8">
        <v>0</v>
      </c>
      <c r="G24" s="9">
        <v>7</v>
      </c>
      <c r="H24" s="14">
        <v>10.6</v>
      </c>
      <c r="I24" s="2" t="s">
        <v>14</v>
      </c>
      <c r="J24" s="2"/>
      <c r="K24" s="2"/>
      <c r="L24" s="9"/>
      <c r="M24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0,42052010OK14</v>
      </c>
    </row>
    <row r="25" spans="1:13" x14ac:dyDescent="0.25">
      <c r="A25" s="109">
        <v>0.4</v>
      </c>
      <c r="B25" s="119">
        <f>Förutsättningar!M$22</f>
        <v>20</v>
      </c>
      <c r="C25" s="119">
        <f>Förutsättningar!N$22</f>
        <v>5</v>
      </c>
      <c r="D25" s="2">
        <v>20</v>
      </c>
      <c r="E25" s="24">
        <v>10</v>
      </c>
      <c r="F25" s="8">
        <v>0</v>
      </c>
      <c r="G25" s="9">
        <v>12</v>
      </c>
      <c r="H25" s="14">
        <v>10.8</v>
      </c>
      <c r="I25" s="2" t="s">
        <v>14</v>
      </c>
      <c r="J25" s="2"/>
      <c r="K25" s="2"/>
      <c r="L25" s="9"/>
      <c r="M25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0,42052010OK14</v>
      </c>
    </row>
    <row r="26" spans="1:13" ht="15.75" thickBot="1" x14ac:dyDescent="0.3">
      <c r="A26" s="110">
        <v>0.4</v>
      </c>
      <c r="B26" s="112">
        <f>Förutsättningar!M$22</f>
        <v>20</v>
      </c>
      <c r="C26" s="112">
        <f>Förutsättningar!N$22</f>
        <v>5</v>
      </c>
      <c r="D26" s="25">
        <v>20</v>
      </c>
      <c r="E26" s="26">
        <v>10</v>
      </c>
      <c r="F26" s="10">
        <v>0</v>
      </c>
      <c r="G26" s="12">
        <v>20</v>
      </c>
      <c r="H26" s="15">
        <v>10.9</v>
      </c>
      <c r="I26" s="25" t="s">
        <v>14</v>
      </c>
      <c r="J26" s="25"/>
      <c r="K26" s="25"/>
      <c r="L26" s="12"/>
      <c r="M26" s="20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0,42052010OK14</v>
      </c>
    </row>
    <row r="27" spans="1:13" x14ac:dyDescent="0.25">
      <c r="A27" s="108">
        <v>0.4</v>
      </c>
      <c r="B27" s="111">
        <f>Förutsättningar!M$23</f>
        <v>20</v>
      </c>
      <c r="C27" s="111">
        <f>Förutsättningar!N$23</f>
        <v>5</v>
      </c>
      <c r="D27" s="21">
        <v>20</v>
      </c>
      <c r="E27" s="23">
        <v>10</v>
      </c>
      <c r="F27" s="5">
        <v>-5</v>
      </c>
      <c r="G27" s="7">
        <v>0</v>
      </c>
      <c r="H27" s="13">
        <v>12.5</v>
      </c>
      <c r="I27" s="21" t="s">
        <v>14</v>
      </c>
      <c r="J27" s="21"/>
      <c r="K27" s="21"/>
      <c r="L27" s="7"/>
      <c r="M27" s="18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0,42052010OK14</v>
      </c>
    </row>
    <row r="28" spans="1:13" x14ac:dyDescent="0.25">
      <c r="A28" s="109">
        <v>0.4</v>
      </c>
      <c r="B28" s="119">
        <f>Förutsättningar!M$23</f>
        <v>20</v>
      </c>
      <c r="C28" s="119">
        <f>Förutsättningar!N$23</f>
        <v>5</v>
      </c>
      <c r="D28" s="2">
        <v>20</v>
      </c>
      <c r="E28" s="24">
        <v>20</v>
      </c>
      <c r="F28" s="8">
        <v>-5</v>
      </c>
      <c r="G28" s="9">
        <v>2</v>
      </c>
      <c r="H28" s="14">
        <v>11.3</v>
      </c>
      <c r="I28" s="2" t="s">
        <v>14</v>
      </c>
      <c r="J28" s="2"/>
      <c r="K28" s="2"/>
      <c r="L28" s="9"/>
      <c r="M28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0,42052020OK14</v>
      </c>
    </row>
    <row r="29" spans="1:13" x14ac:dyDescent="0.25">
      <c r="A29" s="109">
        <v>0.4</v>
      </c>
      <c r="B29" s="119">
        <f>Förutsättningar!M$23</f>
        <v>20</v>
      </c>
      <c r="C29" s="119">
        <f>Förutsättningar!N$23</f>
        <v>5</v>
      </c>
      <c r="D29" s="2">
        <v>20</v>
      </c>
      <c r="E29" s="24">
        <v>20</v>
      </c>
      <c r="F29" s="8">
        <v>-5</v>
      </c>
      <c r="G29" s="9">
        <v>7</v>
      </c>
      <c r="H29" s="14">
        <v>11.9</v>
      </c>
      <c r="I29" s="2" t="s">
        <v>14</v>
      </c>
      <c r="J29" s="2"/>
      <c r="K29" s="2"/>
      <c r="L29" s="9"/>
      <c r="M29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0,42052020OK14</v>
      </c>
    </row>
    <row r="30" spans="1:13" x14ac:dyDescent="0.25">
      <c r="A30" s="109">
        <v>0.4</v>
      </c>
      <c r="B30" s="119">
        <f>Förutsättningar!M$23</f>
        <v>20</v>
      </c>
      <c r="C30" s="119">
        <f>Förutsättningar!N$23</f>
        <v>5</v>
      </c>
      <c r="D30" s="2">
        <v>20</v>
      </c>
      <c r="E30" s="24">
        <v>20</v>
      </c>
      <c r="F30" s="8">
        <v>-5</v>
      </c>
      <c r="G30" s="9">
        <v>12</v>
      </c>
      <c r="H30" s="14">
        <v>12</v>
      </c>
      <c r="I30" s="2" t="s">
        <v>14</v>
      </c>
      <c r="J30" s="2"/>
      <c r="K30" s="2"/>
      <c r="L30" s="9"/>
      <c r="M30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0,42052020OK14</v>
      </c>
    </row>
    <row r="31" spans="1:13" ht="15.75" thickBot="1" x14ac:dyDescent="0.3">
      <c r="A31" s="110">
        <v>0.4</v>
      </c>
      <c r="B31" s="112">
        <f>Förutsättningar!M$23</f>
        <v>20</v>
      </c>
      <c r="C31" s="112">
        <f>Förutsättningar!N$23</f>
        <v>5</v>
      </c>
      <c r="D31" s="25">
        <v>20</v>
      </c>
      <c r="E31" s="26">
        <v>20</v>
      </c>
      <c r="F31" s="10">
        <v>-5</v>
      </c>
      <c r="G31" s="12">
        <v>20</v>
      </c>
      <c r="H31" s="15">
        <v>12.2</v>
      </c>
      <c r="I31" s="25" t="s">
        <v>14</v>
      </c>
      <c r="J31" s="25"/>
      <c r="K31" s="25"/>
      <c r="L31" s="12"/>
      <c r="M31" s="20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0,42052020OK14</v>
      </c>
    </row>
    <row r="32" spans="1:13" x14ac:dyDescent="0.25">
      <c r="A32" s="108">
        <v>0.4</v>
      </c>
      <c r="B32" s="111">
        <f>Förutsättningar!M$24</f>
        <v>20</v>
      </c>
      <c r="C32" s="111">
        <f>Förutsättningar!N$24</f>
        <v>5</v>
      </c>
      <c r="D32" s="21">
        <v>20</v>
      </c>
      <c r="E32" s="23">
        <v>30</v>
      </c>
      <c r="F32" s="5">
        <v>-10</v>
      </c>
      <c r="G32" s="7">
        <v>0</v>
      </c>
      <c r="H32" s="13">
        <v>13.9</v>
      </c>
      <c r="I32" s="21" t="s">
        <v>14</v>
      </c>
      <c r="J32" s="21"/>
      <c r="K32" s="21"/>
      <c r="L32" s="7"/>
      <c r="M32" s="18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0,42052030OK14</v>
      </c>
    </row>
    <row r="33" spans="1:13" x14ac:dyDescent="0.25">
      <c r="A33" s="109">
        <v>0.4</v>
      </c>
      <c r="B33" s="119">
        <f>Förutsättningar!M$24</f>
        <v>20</v>
      </c>
      <c r="C33" s="119">
        <f>Förutsättningar!N$24</f>
        <v>5</v>
      </c>
      <c r="D33" s="2">
        <v>20</v>
      </c>
      <c r="E33" s="24">
        <v>50</v>
      </c>
      <c r="F33" s="8">
        <v>-10</v>
      </c>
      <c r="G33" s="9">
        <v>2</v>
      </c>
      <c r="H33" s="14">
        <v>12</v>
      </c>
      <c r="I33" s="2" t="s">
        <v>14</v>
      </c>
      <c r="J33" s="2"/>
      <c r="K33" s="2"/>
      <c r="L33" s="9"/>
      <c r="M33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0,42052050OK14</v>
      </c>
    </row>
    <row r="34" spans="1:13" x14ac:dyDescent="0.25">
      <c r="A34" s="109">
        <v>0.4</v>
      </c>
      <c r="B34" s="119">
        <f>Förutsättningar!M$24</f>
        <v>20</v>
      </c>
      <c r="C34" s="119">
        <f>Förutsättningar!N$24</f>
        <v>5</v>
      </c>
      <c r="D34" s="2">
        <v>20</v>
      </c>
      <c r="E34" s="24">
        <v>50</v>
      </c>
      <c r="F34" s="8">
        <v>-10</v>
      </c>
      <c r="G34" s="9">
        <v>7</v>
      </c>
      <c r="H34" s="14">
        <v>12.4</v>
      </c>
      <c r="I34" s="2" t="s">
        <v>14</v>
      </c>
      <c r="J34" s="2"/>
      <c r="K34" s="2"/>
      <c r="L34" s="9"/>
      <c r="M34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0,42052050OK14</v>
      </c>
    </row>
    <row r="35" spans="1:13" x14ac:dyDescent="0.25">
      <c r="A35" s="109" t="s">
        <v>13</v>
      </c>
      <c r="B35" s="119" t="s">
        <v>13</v>
      </c>
      <c r="C35" s="119" t="s">
        <v>13</v>
      </c>
      <c r="D35" s="2" t="s">
        <v>13</v>
      </c>
      <c r="E35" s="24" t="s">
        <v>13</v>
      </c>
      <c r="F35" s="8">
        <v>-10</v>
      </c>
      <c r="G35" s="9">
        <v>12</v>
      </c>
      <c r="H35" s="14"/>
      <c r="I35" s="2"/>
      <c r="J35" s="2"/>
      <c r="K35" s="2"/>
      <c r="L35" s="9" t="s">
        <v>16</v>
      </c>
      <c r="M35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-----Frys innan täck</v>
      </c>
    </row>
    <row r="36" spans="1:13" ht="15.75" thickBot="1" x14ac:dyDescent="0.3">
      <c r="A36" s="110" t="s">
        <v>13</v>
      </c>
      <c r="B36" s="112" t="s">
        <v>13</v>
      </c>
      <c r="C36" s="112" t="s">
        <v>13</v>
      </c>
      <c r="D36" s="25" t="s">
        <v>13</v>
      </c>
      <c r="E36" s="26" t="s">
        <v>13</v>
      </c>
      <c r="F36" s="10">
        <v>-10</v>
      </c>
      <c r="G36" s="12">
        <v>20</v>
      </c>
      <c r="H36" s="15"/>
      <c r="I36" s="25"/>
      <c r="J36" s="25"/>
      <c r="K36" s="25"/>
      <c r="L36" s="12" t="s">
        <v>16</v>
      </c>
      <c r="M36" s="20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-----Frys innan täck</v>
      </c>
    </row>
    <row r="37" spans="1:13" x14ac:dyDescent="0.25">
      <c r="A37" s="108">
        <v>0.2</v>
      </c>
      <c r="B37" s="111">
        <f>Förutsättningar!M$25</f>
        <v>15</v>
      </c>
      <c r="C37" s="111">
        <f>Förutsättningar!N$25</f>
        <v>5</v>
      </c>
      <c r="D37" s="21">
        <v>20</v>
      </c>
      <c r="E37" s="23">
        <v>50</v>
      </c>
      <c r="F37" s="5">
        <v>-15</v>
      </c>
      <c r="G37" s="7">
        <v>0</v>
      </c>
      <c r="H37" s="13">
        <v>13</v>
      </c>
      <c r="I37" s="21" t="s">
        <v>14</v>
      </c>
      <c r="J37" s="21"/>
      <c r="K37" s="21"/>
      <c r="L37" s="7"/>
      <c r="M37" s="18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0,21552050OK14</v>
      </c>
    </row>
    <row r="38" spans="1:13" x14ac:dyDescent="0.25">
      <c r="A38" s="109">
        <v>0.2</v>
      </c>
      <c r="B38" s="119">
        <f>Förutsättningar!M$25</f>
        <v>15</v>
      </c>
      <c r="C38" s="119">
        <f>Förutsättningar!N$25</f>
        <v>5</v>
      </c>
      <c r="D38" s="2">
        <v>20</v>
      </c>
      <c r="E38" s="24">
        <v>50</v>
      </c>
      <c r="F38" s="8">
        <v>-15</v>
      </c>
      <c r="G38" s="9">
        <v>2</v>
      </c>
      <c r="H38" s="14">
        <v>13.6</v>
      </c>
      <c r="I38" s="2" t="s">
        <v>14</v>
      </c>
      <c r="J38" s="2"/>
      <c r="K38" s="2"/>
      <c r="L38" s="9"/>
      <c r="M38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0,21552050OK14</v>
      </c>
    </row>
    <row r="39" spans="1:13" x14ac:dyDescent="0.25">
      <c r="A39" s="109" t="s">
        <v>13</v>
      </c>
      <c r="B39" s="119" t="s">
        <v>13</v>
      </c>
      <c r="C39" s="119" t="s">
        <v>13</v>
      </c>
      <c r="D39" s="2" t="s">
        <v>13</v>
      </c>
      <c r="E39" s="24" t="s">
        <v>13</v>
      </c>
      <c r="F39" s="8">
        <v>-15</v>
      </c>
      <c r="G39" s="9">
        <v>7</v>
      </c>
      <c r="H39" s="14"/>
      <c r="I39" s="2"/>
      <c r="J39" s="2"/>
      <c r="K39" s="2"/>
      <c r="L39" s="9" t="s">
        <v>16</v>
      </c>
      <c r="M39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-----Frys innan täck</v>
      </c>
    </row>
    <row r="40" spans="1:13" x14ac:dyDescent="0.25">
      <c r="A40" s="109" t="s">
        <v>13</v>
      </c>
      <c r="B40" s="119" t="s">
        <v>13</v>
      </c>
      <c r="C40" s="119" t="s">
        <v>13</v>
      </c>
      <c r="D40" s="2" t="s">
        <v>13</v>
      </c>
      <c r="E40" s="24" t="s">
        <v>13</v>
      </c>
      <c r="F40" s="8">
        <v>-15</v>
      </c>
      <c r="G40" s="9">
        <v>12</v>
      </c>
      <c r="H40" s="14"/>
      <c r="I40" s="2"/>
      <c r="J40" s="2"/>
      <c r="K40" s="2"/>
      <c r="L40" s="9" t="s">
        <v>16</v>
      </c>
      <c r="M40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-----Frys innan täck</v>
      </c>
    </row>
    <row r="41" spans="1:13" ht="15.75" thickBot="1" x14ac:dyDescent="0.3">
      <c r="A41" s="110" t="s">
        <v>13</v>
      </c>
      <c r="B41" s="112" t="s">
        <v>13</v>
      </c>
      <c r="C41" s="112" t="s">
        <v>13</v>
      </c>
      <c r="D41" s="25" t="s">
        <v>13</v>
      </c>
      <c r="E41" s="26" t="s">
        <v>13</v>
      </c>
      <c r="F41" s="10">
        <v>-15</v>
      </c>
      <c r="G41" s="12">
        <v>20</v>
      </c>
      <c r="H41" s="15"/>
      <c r="I41" s="25"/>
      <c r="J41" s="25"/>
      <c r="K41" s="25"/>
      <c r="L41" s="12" t="s">
        <v>16</v>
      </c>
      <c r="M41" s="20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-----Frys innan täck</v>
      </c>
    </row>
    <row r="42" spans="1:13" x14ac:dyDescent="0.25">
      <c r="A42" s="109" t="s">
        <v>13</v>
      </c>
      <c r="B42" s="111" t="s">
        <v>13</v>
      </c>
      <c r="C42" s="111" t="s">
        <v>13</v>
      </c>
      <c r="D42" s="2" t="s">
        <v>13</v>
      </c>
      <c r="E42" s="24" t="s">
        <v>13</v>
      </c>
      <c r="F42" s="8">
        <v>-20</v>
      </c>
      <c r="G42" s="9">
        <v>0</v>
      </c>
      <c r="H42" s="14"/>
      <c r="I42" s="2"/>
      <c r="J42" s="2"/>
      <c r="K42" s="2"/>
      <c r="L42" s="9" t="s">
        <v>23</v>
      </c>
      <c r="M42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-----Når ej 70%</v>
      </c>
    </row>
    <row r="43" spans="1:13" x14ac:dyDescent="0.25">
      <c r="A43" s="109" t="s">
        <v>13</v>
      </c>
      <c r="B43" s="119" t="s">
        <v>13</v>
      </c>
      <c r="C43" s="119" t="s">
        <v>13</v>
      </c>
      <c r="D43" s="2" t="s">
        <v>13</v>
      </c>
      <c r="E43" s="24" t="s">
        <v>13</v>
      </c>
      <c r="F43" s="8">
        <v>-20</v>
      </c>
      <c r="G43" s="9">
        <v>2</v>
      </c>
      <c r="H43" s="14"/>
      <c r="I43" s="2"/>
      <c r="J43" s="2"/>
      <c r="K43" s="2"/>
      <c r="L43" s="9" t="s">
        <v>23</v>
      </c>
      <c r="M43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-----Når ej 70%</v>
      </c>
    </row>
    <row r="44" spans="1:13" x14ac:dyDescent="0.25">
      <c r="A44" s="109" t="s">
        <v>13</v>
      </c>
      <c r="B44" s="119" t="s">
        <v>13</v>
      </c>
      <c r="C44" s="119" t="s">
        <v>13</v>
      </c>
      <c r="D44" s="2" t="s">
        <v>13</v>
      </c>
      <c r="E44" s="24" t="s">
        <v>13</v>
      </c>
      <c r="F44" s="8">
        <v>-20</v>
      </c>
      <c r="G44" s="9">
        <v>7</v>
      </c>
      <c r="H44" s="14"/>
      <c r="I44" s="2"/>
      <c r="J44" s="2"/>
      <c r="K44" s="2"/>
      <c r="L44" s="9" t="s">
        <v>16</v>
      </c>
      <c r="M44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-----Frys innan täck</v>
      </c>
    </row>
    <row r="45" spans="1:13" x14ac:dyDescent="0.25">
      <c r="A45" s="109" t="s">
        <v>13</v>
      </c>
      <c r="B45" s="119" t="s">
        <v>13</v>
      </c>
      <c r="C45" s="119" t="s">
        <v>13</v>
      </c>
      <c r="D45" s="2" t="s">
        <v>13</v>
      </c>
      <c r="E45" s="24" t="s">
        <v>13</v>
      </c>
      <c r="F45" s="8">
        <v>-20</v>
      </c>
      <c r="G45" s="9">
        <v>12</v>
      </c>
      <c r="H45" s="14"/>
      <c r="I45" s="2"/>
      <c r="J45" s="2"/>
      <c r="K45" s="2"/>
      <c r="L45" s="9" t="s">
        <v>16</v>
      </c>
      <c r="M45" s="1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-----Frys innan täck</v>
      </c>
    </row>
    <row r="46" spans="1:13" ht="15.75" thickBot="1" x14ac:dyDescent="0.3">
      <c r="A46" s="110" t="s">
        <v>13</v>
      </c>
      <c r="B46" s="112" t="s">
        <v>13</v>
      </c>
      <c r="C46" s="112" t="s">
        <v>13</v>
      </c>
      <c r="D46" s="25" t="s">
        <v>13</v>
      </c>
      <c r="E46" s="26" t="s">
        <v>13</v>
      </c>
      <c r="F46" s="10">
        <v>-20</v>
      </c>
      <c r="G46" s="12">
        <v>20</v>
      </c>
      <c r="H46" s="15"/>
      <c r="I46" s="25"/>
      <c r="J46" s="25"/>
      <c r="K46" s="25"/>
      <c r="L46" s="12" t="s">
        <v>16</v>
      </c>
      <c r="M46" s="20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-----Frys innan täck</v>
      </c>
    </row>
  </sheetData>
  <conditionalFormatting sqref="H2:H46">
    <cfRule type="cellIs" dxfId="6" priority="1" operator="greaterThan">
      <formula>14</formula>
    </cfRule>
  </conditionalFormatting>
  <dataValidations count="1">
    <dataValidation type="list" allowBlank="1" showInputMessage="1" showErrorMessage="1" sqref="N2:N46" xr:uid="{B1A57A7A-9F21-4ECE-9BC4-5A69A5843AC1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5355FF3-3991-44DC-AD74-80D186C794E4}">
          <x14:formula1>
            <xm:f>Förutsättningar!$I$2:$I$3</xm:f>
          </x14:formula1>
          <xm:sqref>L2:L46</xm:sqref>
        </x14:dataValidation>
        <x14:dataValidation type="list" allowBlank="1" showInputMessage="1" showErrorMessage="1" xr:uid="{44506B42-9B6F-4AE7-9F72-0396CF750A8A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0F6AB6DE-CFCF-4AA4-9EB9-0273831E07D9}">
          <x14:formula1>
            <xm:f>Förutsättningar!$H$2:$H$6</xm:f>
          </x14:formula1>
          <xm:sqref>A2:A46</xm:sqref>
        </x14:dataValidation>
        <x14:dataValidation type="list" allowBlank="1" showInputMessage="1" showErrorMessage="1" xr:uid="{F01A77C3-C0B0-4E34-8175-48FF454FE6BA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9A6C23EA-8E78-4930-8377-14DA70D3FE1E}">
          <x14:formula1>
            <xm:f>Förutsättningar!$F$2</xm:f>
          </x14:formula1>
          <xm:sqref>I2:I46</xm:sqref>
        </x14:dataValidation>
        <x14:dataValidation type="list" allowBlank="1" showInputMessage="1" showErrorMessage="1" xr:uid="{84C97DF4-5FD5-4CE1-93C7-CCA8176737C2}">
          <x14:formula1>
            <xm:f>Förutsättningar!$G$2</xm:f>
          </x14:formula1>
          <xm:sqref>K2:K46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C7B5-65B0-44E3-8254-A89EFDA326AC}">
  <sheetPr codeName="Sheet8"/>
  <dimension ref="A1:V46"/>
  <sheetViews>
    <sheetView topLeftCell="A29" zoomScale="115" zoomScaleNormal="115" workbookViewId="0">
      <selection activeCell="B2" sqref="B2"/>
    </sheetView>
  </sheetViews>
  <sheetFormatPr defaultRowHeight="15" x14ac:dyDescent="0.25"/>
  <cols>
    <col min="1" max="1" width="12.5703125" style="106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9" width="14.42578125" bestFit="1" customWidth="1"/>
    <col min="10" max="11" width="22.140625" bestFit="1" customWidth="1"/>
    <col min="12" max="12" width="14.425781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0.75" thickBot="1" x14ac:dyDescent="0.3">
      <c r="A1" s="120" t="s">
        <v>57</v>
      </c>
      <c r="B1" s="118" t="s">
        <v>0</v>
      </c>
      <c r="C1" s="118" t="s">
        <v>1</v>
      </c>
      <c r="D1" s="118" t="s">
        <v>2</v>
      </c>
      <c r="E1" s="118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7" t="s">
        <v>11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08">
        <v>0.4</v>
      </c>
      <c r="B2" s="111">
        <f>Förutsättningar!M$18</f>
        <v>15</v>
      </c>
      <c r="C2" s="111">
        <f>Förutsättningar!N$18</f>
        <v>20</v>
      </c>
      <c r="D2" s="22" t="s">
        <v>13</v>
      </c>
      <c r="E2" s="23" t="s">
        <v>13</v>
      </c>
      <c r="F2" s="6">
        <v>20</v>
      </c>
      <c r="G2" s="7">
        <v>0</v>
      </c>
      <c r="H2" s="13">
        <v>6.3</v>
      </c>
      <c r="I2" s="21" t="s">
        <v>14</v>
      </c>
      <c r="J2" s="21">
        <v>25.9</v>
      </c>
      <c r="K2" s="21"/>
      <c r="L2" s="7"/>
      <c r="M2" s="18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0,41520--OK14</v>
      </c>
      <c r="Q2" s="1"/>
    </row>
    <row r="3" spans="1:22" x14ac:dyDescent="0.25">
      <c r="A3" s="109">
        <v>0.4</v>
      </c>
      <c r="B3" s="119">
        <f>Förutsättningar!$M$18</f>
        <v>15</v>
      </c>
      <c r="C3" s="119">
        <f>Förutsättningar!N$18</f>
        <v>20</v>
      </c>
      <c r="D3" s="2" t="s">
        <v>13</v>
      </c>
      <c r="E3" s="24" t="s">
        <v>13</v>
      </c>
      <c r="F3">
        <v>20</v>
      </c>
      <c r="G3" s="9">
        <v>2</v>
      </c>
      <c r="H3" s="14">
        <v>6.8</v>
      </c>
      <c r="I3" s="2" t="s">
        <v>14</v>
      </c>
      <c r="J3" s="2"/>
      <c r="K3" s="2"/>
      <c r="L3" s="9"/>
      <c r="M3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0,41520--OK14</v>
      </c>
    </row>
    <row r="4" spans="1:22" x14ac:dyDescent="0.25">
      <c r="A4" s="109">
        <v>0.4</v>
      </c>
      <c r="B4" s="119">
        <f>Förutsättningar!$M$18</f>
        <v>15</v>
      </c>
      <c r="C4" s="119">
        <f>Förutsättningar!N$18</f>
        <v>20</v>
      </c>
      <c r="D4" s="2" t="s">
        <v>13</v>
      </c>
      <c r="E4" s="24" t="s">
        <v>13</v>
      </c>
      <c r="F4">
        <v>20</v>
      </c>
      <c r="G4" s="9">
        <v>7</v>
      </c>
      <c r="H4" s="14">
        <v>7</v>
      </c>
      <c r="I4" s="2" t="s">
        <v>14</v>
      </c>
      <c r="J4" s="2"/>
      <c r="K4" s="2"/>
      <c r="L4" s="9"/>
      <c r="M4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0,41520--OK14</v>
      </c>
    </row>
    <row r="5" spans="1:22" x14ac:dyDescent="0.25">
      <c r="A5" s="109">
        <v>0.4</v>
      </c>
      <c r="B5" s="119">
        <f>Förutsättningar!$M$18</f>
        <v>15</v>
      </c>
      <c r="C5" s="119">
        <f>Förutsättningar!N$18</f>
        <v>20</v>
      </c>
      <c r="D5" s="2" t="s">
        <v>13</v>
      </c>
      <c r="E5" s="24" t="s">
        <v>13</v>
      </c>
      <c r="F5">
        <v>20</v>
      </c>
      <c r="G5" s="9">
        <v>12</v>
      </c>
      <c r="H5" s="14">
        <v>7</v>
      </c>
      <c r="I5" s="2" t="s">
        <v>14</v>
      </c>
      <c r="J5" s="2"/>
      <c r="K5" s="2"/>
      <c r="L5" s="9"/>
      <c r="M5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0,41520--OK14</v>
      </c>
    </row>
    <row r="6" spans="1:22" ht="15.75" thickBot="1" x14ac:dyDescent="0.3">
      <c r="A6" s="110">
        <v>0.4</v>
      </c>
      <c r="B6" s="112">
        <f>Förutsättningar!$M$18</f>
        <v>15</v>
      </c>
      <c r="C6" s="112">
        <f>Förutsättningar!N$18</f>
        <v>20</v>
      </c>
      <c r="D6" s="25" t="s">
        <v>13</v>
      </c>
      <c r="E6" s="26" t="s">
        <v>13</v>
      </c>
      <c r="F6" s="11">
        <v>20</v>
      </c>
      <c r="G6" s="12">
        <v>20</v>
      </c>
      <c r="H6" s="15">
        <v>7.1</v>
      </c>
      <c r="I6" s="25" t="s">
        <v>14</v>
      </c>
      <c r="J6" s="25"/>
      <c r="K6" s="25"/>
      <c r="L6" s="12"/>
      <c r="M6" s="20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0,41520--OK14</v>
      </c>
    </row>
    <row r="7" spans="1:22" x14ac:dyDescent="0.25">
      <c r="A7" s="109">
        <v>0.4</v>
      </c>
      <c r="B7" s="119">
        <f>Förutsättningar!M$19</f>
        <v>15</v>
      </c>
      <c r="C7" s="119">
        <f>Förutsättningar!N$19</f>
        <v>15</v>
      </c>
      <c r="D7" s="2" t="s">
        <v>13</v>
      </c>
      <c r="E7" s="24" t="s">
        <v>13</v>
      </c>
      <c r="F7" s="5">
        <v>15</v>
      </c>
      <c r="G7" s="7">
        <v>0</v>
      </c>
      <c r="H7" s="13">
        <v>8.1999999999999993</v>
      </c>
      <c r="I7" s="21" t="s">
        <v>14</v>
      </c>
      <c r="J7" s="21"/>
      <c r="K7" s="21"/>
      <c r="L7" s="7"/>
      <c r="M7" s="18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0,41515--OK14</v>
      </c>
    </row>
    <row r="8" spans="1:22" x14ac:dyDescent="0.25">
      <c r="A8" s="109">
        <v>0.4</v>
      </c>
      <c r="B8" s="119">
        <f>Förutsättningar!M$19</f>
        <v>15</v>
      </c>
      <c r="C8" s="119">
        <f>Förutsättningar!N$19</f>
        <v>15</v>
      </c>
      <c r="D8" s="2" t="s">
        <v>13</v>
      </c>
      <c r="E8" s="24" t="s">
        <v>13</v>
      </c>
      <c r="F8" s="8">
        <v>15</v>
      </c>
      <c r="G8" s="9">
        <v>2</v>
      </c>
      <c r="H8" s="14">
        <v>8.9</v>
      </c>
      <c r="I8" s="2" t="s">
        <v>14</v>
      </c>
      <c r="J8" s="2"/>
      <c r="K8" s="2"/>
      <c r="L8" s="9"/>
      <c r="M8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0,41515--OK14</v>
      </c>
    </row>
    <row r="9" spans="1:22" x14ac:dyDescent="0.25">
      <c r="A9" s="109">
        <v>0.4</v>
      </c>
      <c r="B9" s="119">
        <f>Förutsättningar!M$19</f>
        <v>15</v>
      </c>
      <c r="C9" s="119">
        <f>Förutsättningar!N$19</f>
        <v>15</v>
      </c>
      <c r="D9" s="2" t="s">
        <v>13</v>
      </c>
      <c r="E9" s="24" t="s">
        <v>13</v>
      </c>
      <c r="F9" s="8">
        <v>15</v>
      </c>
      <c r="G9" s="9">
        <v>7</v>
      </c>
      <c r="H9" s="14">
        <v>9.1999999999999993</v>
      </c>
      <c r="I9" s="2" t="s">
        <v>14</v>
      </c>
      <c r="J9" s="2"/>
      <c r="K9" s="2"/>
      <c r="L9" s="9"/>
      <c r="M9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0,41515--OK14</v>
      </c>
    </row>
    <row r="10" spans="1:22" x14ac:dyDescent="0.25">
      <c r="A10" s="109">
        <v>0.4</v>
      </c>
      <c r="B10" s="119">
        <f>Förutsättningar!M$19</f>
        <v>15</v>
      </c>
      <c r="C10" s="119">
        <f>Förutsättningar!N$19</f>
        <v>15</v>
      </c>
      <c r="D10" s="2" t="s">
        <v>13</v>
      </c>
      <c r="E10" s="24" t="s">
        <v>13</v>
      </c>
      <c r="F10" s="8">
        <v>15</v>
      </c>
      <c r="G10" s="9">
        <v>12</v>
      </c>
      <c r="H10" s="14">
        <v>9.3000000000000007</v>
      </c>
      <c r="I10" s="2" t="s">
        <v>14</v>
      </c>
      <c r="J10" s="2"/>
      <c r="K10" s="2"/>
      <c r="L10" s="9"/>
      <c r="M10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0,41515--OK14</v>
      </c>
    </row>
    <row r="11" spans="1:22" ht="15.75" thickBot="1" x14ac:dyDescent="0.3">
      <c r="A11" s="110">
        <v>0.4</v>
      </c>
      <c r="B11" s="112">
        <f>Förutsättningar!M$19</f>
        <v>15</v>
      </c>
      <c r="C11" s="112">
        <f>Förutsättningar!N$19</f>
        <v>15</v>
      </c>
      <c r="D11" s="25" t="s">
        <v>13</v>
      </c>
      <c r="E11" s="26" t="s">
        <v>13</v>
      </c>
      <c r="F11" s="10">
        <v>15</v>
      </c>
      <c r="G11" s="12">
        <v>20</v>
      </c>
      <c r="H11" s="15">
        <v>9.3000000000000007</v>
      </c>
      <c r="I11" s="25" t="s">
        <v>14</v>
      </c>
      <c r="J11" s="25"/>
      <c r="K11" s="25"/>
      <c r="L11" s="12"/>
      <c r="M11" s="20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0,41515--OK14</v>
      </c>
    </row>
    <row r="12" spans="1:22" x14ac:dyDescent="0.25">
      <c r="A12" s="108">
        <v>0.4</v>
      </c>
      <c r="B12" s="111">
        <f>Förutsättningar!M$20</f>
        <v>15</v>
      </c>
      <c r="C12" s="111">
        <f>Förutsättningar!N$20</f>
        <v>10</v>
      </c>
      <c r="D12" s="21" t="s">
        <v>13</v>
      </c>
      <c r="E12" s="23" t="s">
        <v>13</v>
      </c>
      <c r="F12" s="5">
        <v>10</v>
      </c>
      <c r="G12" s="7">
        <v>0</v>
      </c>
      <c r="H12" s="13">
        <v>11.3</v>
      </c>
      <c r="I12" s="21" t="s">
        <v>14</v>
      </c>
      <c r="J12" s="21"/>
      <c r="K12" s="21"/>
      <c r="L12" s="7"/>
      <c r="M12" s="18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0,41510--OK14</v>
      </c>
    </row>
    <row r="13" spans="1:22" x14ac:dyDescent="0.25">
      <c r="A13" s="109">
        <v>0.4</v>
      </c>
      <c r="B13" s="119">
        <f>Förutsättningar!M$20</f>
        <v>15</v>
      </c>
      <c r="C13" s="119">
        <f>Förutsättningar!N$20</f>
        <v>10</v>
      </c>
      <c r="D13" s="2" t="s">
        <v>13</v>
      </c>
      <c r="E13" s="24" t="s">
        <v>13</v>
      </c>
      <c r="F13" s="8">
        <v>10</v>
      </c>
      <c r="G13" s="9">
        <v>2</v>
      </c>
      <c r="H13" s="14">
        <v>12.2</v>
      </c>
      <c r="I13" s="2" t="s">
        <v>14</v>
      </c>
      <c r="J13" s="2"/>
      <c r="K13" s="2"/>
      <c r="L13" s="9"/>
      <c r="M13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0,41510--OK14</v>
      </c>
    </row>
    <row r="14" spans="1:22" x14ac:dyDescent="0.25">
      <c r="A14" s="109">
        <v>0.4</v>
      </c>
      <c r="B14" s="119">
        <f>Förutsättningar!M$20</f>
        <v>15</v>
      </c>
      <c r="C14" s="119">
        <f>Förutsättningar!N$20</f>
        <v>10</v>
      </c>
      <c r="D14" s="2" t="s">
        <v>13</v>
      </c>
      <c r="E14" s="24" t="s">
        <v>13</v>
      </c>
      <c r="F14" s="8">
        <v>10</v>
      </c>
      <c r="G14" s="9">
        <v>7</v>
      </c>
      <c r="H14" s="14">
        <v>12.6</v>
      </c>
      <c r="I14" s="2" t="s">
        <v>14</v>
      </c>
      <c r="J14" s="2"/>
      <c r="K14" s="2"/>
      <c r="L14" s="9"/>
      <c r="M14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0,41510--OK14</v>
      </c>
    </row>
    <row r="15" spans="1:22" x14ac:dyDescent="0.25">
      <c r="A15" s="109">
        <v>0.4</v>
      </c>
      <c r="B15" s="119">
        <f>Förutsättningar!M$20</f>
        <v>15</v>
      </c>
      <c r="C15" s="119">
        <f>Förutsättningar!N$20</f>
        <v>10</v>
      </c>
      <c r="D15" s="2" t="s">
        <v>13</v>
      </c>
      <c r="E15" s="24" t="s">
        <v>13</v>
      </c>
      <c r="F15" s="8">
        <v>10</v>
      </c>
      <c r="G15" s="9">
        <v>12</v>
      </c>
      <c r="H15" s="14">
        <v>12.7</v>
      </c>
      <c r="I15" s="2" t="s">
        <v>14</v>
      </c>
      <c r="J15" s="2"/>
      <c r="K15" s="2"/>
      <c r="L15" s="9"/>
      <c r="M15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0,41510--OK14</v>
      </c>
    </row>
    <row r="16" spans="1:22" ht="15.75" thickBot="1" x14ac:dyDescent="0.3">
      <c r="A16" s="110">
        <v>0.4</v>
      </c>
      <c r="B16" s="112">
        <f>Förutsättningar!M$20</f>
        <v>15</v>
      </c>
      <c r="C16" s="112">
        <f>Förutsättningar!N$20</f>
        <v>10</v>
      </c>
      <c r="D16" s="25" t="s">
        <v>13</v>
      </c>
      <c r="E16" s="26" t="s">
        <v>13</v>
      </c>
      <c r="F16" s="10">
        <v>10</v>
      </c>
      <c r="G16" s="12">
        <v>20</v>
      </c>
      <c r="H16" s="15">
        <v>12.8</v>
      </c>
      <c r="I16" s="25" t="s">
        <v>14</v>
      </c>
      <c r="J16" s="25"/>
      <c r="K16" s="25"/>
      <c r="L16" s="12"/>
      <c r="M16" s="20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0,41510--OK14</v>
      </c>
    </row>
    <row r="17" spans="1:13" x14ac:dyDescent="0.25">
      <c r="A17" s="108">
        <v>0.4</v>
      </c>
      <c r="B17" s="111">
        <f>Förutsättningar!M$21</f>
        <v>20</v>
      </c>
      <c r="C17" s="111">
        <f>Förutsättningar!N$21</f>
        <v>5</v>
      </c>
      <c r="D17" s="21">
        <v>0</v>
      </c>
      <c r="E17" s="23">
        <v>30</v>
      </c>
      <c r="F17" s="5">
        <v>5</v>
      </c>
      <c r="G17" s="7">
        <v>0</v>
      </c>
      <c r="H17" s="13">
        <v>14</v>
      </c>
      <c r="I17" s="21" t="s">
        <v>14</v>
      </c>
      <c r="J17" s="21"/>
      <c r="K17" s="21"/>
      <c r="L17" s="7"/>
      <c r="M17" s="18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0,4205030OK14</v>
      </c>
    </row>
    <row r="18" spans="1:13" x14ac:dyDescent="0.25">
      <c r="A18" s="109">
        <v>0.4</v>
      </c>
      <c r="B18" s="119">
        <f>Förutsättningar!M$21</f>
        <v>20</v>
      </c>
      <c r="C18" s="119">
        <f>Förutsättningar!N$21</f>
        <v>5</v>
      </c>
      <c r="D18" s="2">
        <v>0</v>
      </c>
      <c r="E18" s="24">
        <v>50</v>
      </c>
      <c r="F18" s="8">
        <v>5</v>
      </c>
      <c r="G18" s="9">
        <v>2</v>
      </c>
      <c r="H18" s="14">
        <v>13.5</v>
      </c>
      <c r="I18" s="2" t="s">
        <v>14</v>
      </c>
      <c r="J18" s="2"/>
      <c r="K18" s="2"/>
      <c r="L18" s="9"/>
      <c r="M18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0,4205050OK14</v>
      </c>
    </row>
    <row r="19" spans="1:13" x14ac:dyDescent="0.25">
      <c r="A19" s="109">
        <v>0.4</v>
      </c>
      <c r="B19" s="119">
        <f>Förutsättningar!M$21</f>
        <v>20</v>
      </c>
      <c r="C19" s="119">
        <f>Förutsättningar!N$21</f>
        <v>5</v>
      </c>
      <c r="D19" s="2">
        <v>0</v>
      </c>
      <c r="E19" s="24">
        <v>50</v>
      </c>
      <c r="F19" s="8">
        <v>5</v>
      </c>
      <c r="G19" s="9">
        <v>7</v>
      </c>
      <c r="H19" s="14">
        <v>13.7</v>
      </c>
      <c r="I19" s="2" t="s">
        <v>14</v>
      </c>
      <c r="J19" s="2"/>
      <c r="K19" s="2"/>
      <c r="L19" s="9"/>
      <c r="M19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0,4205050OK14</v>
      </c>
    </row>
    <row r="20" spans="1:13" x14ac:dyDescent="0.25">
      <c r="A20" s="109">
        <v>0.4</v>
      </c>
      <c r="B20" s="119">
        <f>Förutsättningar!M$21</f>
        <v>20</v>
      </c>
      <c r="C20" s="119">
        <f>Förutsättningar!N$21</f>
        <v>5</v>
      </c>
      <c r="D20" s="2">
        <v>0</v>
      </c>
      <c r="E20" s="24">
        <v>50</v>
      </c>
      <c r="F20" s="8">
        <v>5</v>
      </c>
      <c r="G20" s="9">
        <v>12</v>
      </c>
      <c r="H20" s="14">
        <v>13.8</v>
      </c>
      <c r="I20" s="2" t="s">
        <v>14</v>
      </c>
      <c r="J20" s="2"/>
      <c r="K20" s="2"/>
      <c r="L20" s="9"/>
      <c r="M20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0,4205050OK14</v>
      </c>
    </row>
    <row r="21" spans="1:13" ht="15.75" thickBot="1" x14ac:dyDescent="0.3">
      <c r="A21" s="110">
        <v>0.4</v>
      </c>
      <c r="B21" s="112">
        <f>Förutsättningar!M$21</f>
        <v>20</v>
      </c>
      <c r="C21" s="112">
        <f>Förutsättningar!N$21</f>
        <v>5</v>
      </c>
      <c r="D21" s="25">
        <v>0</v>
      </c>
      <c r="E21" s="26">
        <v>50</v>
      </c>
      <c r="F21" s="10">
        <v>5</v>
      </c>
      <c r="G21" s="12">
        <v>20</v>
      </c>
      <c r="H21" s="15">
        <v>13.8</v>
      </c>
      <c r="I21" s="25" t="s">
        <v>14</v>
      </c>
      <c r="J21" s="25"/>
      <c r="K21" s="25"/>
      <c r="L21" s="12"/>
      <c r="M21" s="20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0,4205050OK14</v>
      </c>
    </row>
    <row r="22" spans="1:13" x14ac:dyDescent="0.25">
      <c r="A22" s="108">
        <v>0.4</v>
      </c>
      <c r="B22" s="111">
        <f>Förutsättningar!M$22</f>
        <v>20</v>
      </c>
      <c r="C22" s="111">
        <f>Förutsättningar!N$22</f>
        <v>5</v>
      </c>
      <c r="D22" s="21">
        <v>20</v>
      </c>
      <c r="E22" s="23" t="s">
        <v>13</v>
      </c>
      <c r="F22" s="5">
        <v>0</v>
      </c>
      <c r="G22" s="7">
        <v>0</v>
      </c>
      <c r="H22" s="2">
        <v>11.7</v>
      </c>
      <c r="I22" s="21" t="s">
        <v>14</v>
      </c>
      <c r="J22" s="21"/>
      <c r="K22" s="21"/>
      <c r="L22" s="7"/>
      <c r="M22" s="18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0,420520-OK14</v>
      </c>
    </row>
    <row r="23" spans="1:13" x14ac:dyDescent="0.25">
      <c r="A23" s="109">
        <v>0.4</v>
      </c>
      <c r="B23" s="119">
        <f>Förutsättningar!M$22</f>
        <v>20</v>
      </c>
      <c r="C23" s="119">
        <f>Förutsättningar!N$22</f>
        <v>5</v>
      </c>
      <c r="D23" s="2">
        <v>20</v>
      </c>
      <c r="E23" s="24" t="s">
        <v>15</v>
      </c>
      <c r="F23" s="8">
        <v>0</v>
      </c>
      <c r="G23" s="9">
        <v>2</v>
      </c>
      <c r="H23" s="2">
        <v>14</v>
      </c>
      <c r="I23" s="2" t="s">
        <v>14</v>
      </c>
      <c r="J23" s="2"/>
      <c r="K23" s="2"/>
      <c r="L23" s="9"/>
      <c r="M23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0,420520PresenningOK14</v>
      </c>
    </row>
    <row r="24" spans="1:13" x14ac:dyDescent="0.25">
      <c r="A24" s="109">
        <v>0.4</v>
      </c>
      <c r="B24" s="119">
        <f>Förutsättningar!M$22</f>
        <v>20</v>
      </c>
      <c r="C24" s="119">
        <f>Förutsättningar!N$22</f>
        <v>5</v>
      </c>
      <c r="D24" s="2">
        <v>20</v>
      </c>
      <c r="E24" s="24">
        <v>10</v>
      </c>
      <c r="F24" s="8">
        <v>0</v>
      </c>
      <c r="G24" s="9">
        <v>7</v>
      </c>
      <c r="H24" s="2">
        <v>10.199999999999999</v>
      </c>
      <c r="I24" s="2" t="s">
        <v>14</v>
      </c>
      <c r="J24" s="2"/>
      <c r="K24" s="2"/>
      <c r="L24" s="9"/>
      <c r="M24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0,42052010OK14</v>
      </c>
    </row>
    <row r="25" spans="1:13" x14ac:dyDescent="0.25">
      <c r="A25" s="109">
        <v>0.4</v>
      </c>
      <c r="B25" s="119">
        <f>Förutsättningar!M$22</f>
        <v>20</v>
      </c>
      <c r="C25" s="119">
        <f>Förutsättningar!N$22</f>
        <v>5</v>
      </c>
      <c r="D25" s="2">
        <v>20</v>
      </c>
      <c r="E25" s="24">
        <v>10</v>
      </c>
      <c r="F25" s="8">
        <v>0</v>
      </c>
      <c r="G25" s="9">
        <v>12</v>
      </c>
      <c r="H25" s="2">
        <v>10.3</v>
      </c>
      <c r="I25" s="2" t="s">
        <v>14</v>
      </c>
      <c r="J25" s="2"/>
      <c r="K25" s="2"/>
      <c r="L25" s="9"/>
      <c r="M25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0,42052010OK14</v>
      </c>
    </row>
    <row r="26" spans="1:13" ht="15.75" thickBot="1" x14ac:dyDescent="0.3">
      <c r="A26" s="110">
        <v>0.4</v>
      </c>
      <c r="B26" s="112">
        <f>Förutsättningar!M$22</f>
        <v>20</v>
      </c>
      <c r="C26" s="112">
        <f>Förutsättningar!N$22</f>
        <v>5</v>
      </c>
      <c r="D26" s="25">
        <v>20</v>
      </c>
      <c r="E26" s="26">
        <v>10</v>
      </c>
      <c r="F26" s="10">
        <v>0</v>
      </c>
      <c r="G26" s="12">
        <v>20</v>
      </c>
      <c r="H26" s="2">
        <v>10.5</v>
      </c>
      <c r="I26" s="2" t="s">
        <v>14</v>
      </c>
      <c r="J26" s="2"/>
      <c r="K26" s="2"/>
      <c r="L26" s="9"/>
      <c r="M26" s="20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0,42052010OK14</v>
      </c>
    </row>
    <row r="27" spans="1:13" x14ac:dyDescent="0.25">
      <c r="A27" s="108">
        <v>0.4</v>
      </c>
      <c r="B27" s="111">
        <f>Förutsättningar!M$23</f>
        <v>20</v>
      </c>
      <c r="C27" s="111">
        <f>Förutsättningar!N$23</f>
        <v>5</v>
      </c>
      <c r="D27" s="21">
        <v>20</v>
      </c>
      <c r="E27" s="23">
        <v>10</v>
      </c>
      <c r="F27" s="5">
        <v>-5</v>
      </c>
      <c r="G27" s="7">
        <v>0</v>
      </c>
      <c r="H27" s="13">
        <v>12</v>
      </c>
      <c r="I27" s="21" t="s">
        <v>14</v>
      </c>
      <c r="J27" s="21"/>
      <c r="K27" s="21"/>
      <c r="L27" s="7"/>
      <c r="M27" s="18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0,42052010OK14</v>
      </c>
    </row>
    <row r="28" spans="1:13" x14ac:dyDescent="0.25">
      <c r="A28" s="109">
        <v>0.4</v>
      </c>
      <c r="B28" s="119">
        <f>Förutsättningar!M$23</f>
        <v>20</v>
      </c>
      <c r="C28" s="119">
        <f>Förutsättningar!N$23</f>
        <v>5</v>
      </c>
      <c r="D28" s="2">
        <v>20</v>
      </c>
      <c r="E28" s="24">
        <v>10</v>
      </c>
      <c r="F28" s="8">
        <v>-5</v>
      </c>
      <c r="G28" s="9">
        <v>2</v>
      </c>
      <c r="H28" s="14">
        <v>13.6</v>
      </c>
      <c r="I28" s="2" t="s">
        <v>14</v>
      </c>
      <c r="J28" s="2"/>
      <c r="K28" s="2"/>
      <c r="L28" s="9"/>
      <c r="M28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0,42052010OK14</v>
      </c>
    </row>
    <row r="29" spans="1:13" x14ac:dyDescent="0.25">
      <c r="A29" s="109">
        <v>0.4</v>
      </c>
      <c r="B29" s="119">
        <f>Förutsättningar!M$23</f>
        <v>20</v>
      </c>
      <c r="C29" s="119">
        <f>Förutsättningar!N$23</f>
        <v>5</v>
      </c>
      <c r="D29" s="2">
        <v>20</v>
      </c>
      <c r="E29" s="24">
        <v>20</v>
      </c>
      <c r="F29" s="8">
        <v>-5</v>
      </c>
      <c r="G29" s="9">
        <v>7</v>
      </c>
      <c r="H29" s="14">
        <v>11.3</v>
      </c>
      <c r="I29" s="2" t="s">
        <v>14</v>
      </c>
      <c r="J29" s="2"/>
      <c r="K29" s="2"/>
      <c r="L29" s="9"/>
      <c r="M29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0,42052020OK14</v>
      </c>
    </row>
    <row r="30" spans="1:13" x14ac:dyDescent="0.25">
      <c r="A30" s="109">
        <v>0.4</v>
      </c>
      <c r="B30" s="119">
        <f>Förutsättningar!M$23</f>
        <v>20</v>
      </c>
      <c r="C30" s="119">
        <f>Förutsättningar!N$23</f>
        <v>5</v>
      </c>
      <c r="D30" s="2">
        <v>20</v>
      </c>
      <c r="E30" s="24">
        <v>20</v>
      </c>
      <c r="F30" s="8">
        <v>-5</v>
      </c>
      <c r="G30" s="9">
        <v>12</v>
      </c>
      <c r="H30" s="14">
        <v>11.5</v>
      </c>
      <c r="I30" s="2" t="s">
        <v>14</v>
      </c>
      <c r="J30" s="2"/>
      <c r="K30" s="2"/>
      <c r="L30" s="9"/>
      <c r="M30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0,42052020OK14</v>
      </c>
    </row>
    <row r="31" spans="1:13" ht="15.75" thickBot="1" x14ac:dyDescent="0.3">
      <c r="A31" s="110">
        <v>0.4</v>
      </c>
      <c r="B31" s="112">
        <f>Förutsättningar!M$23</f>
        <v>20</v>
      </c>
      <c r="C31" s="112">
        <f>Förutsättningar!N$23</f>
        <v>5</v>
      </c>
      <c r="D31" s="25">
        <v>20</v>
      </c>
      <c r="E31" s="26">
        <v>20</v>
      </c>
      <c r="F31" s="10">
        <v>-5</v>
      </c>
      <c r="G31" s="12">
        <v>20</v>
      </c>
      <c r="H31" s="15">
        <v>11.6</v>
      </c>
      <c r="I31" s="25" t="s">
        <v>14</v>
      </c>
      <c r="J31" s="25"/>
      <c r="K31" s="25"/>
      <c r="L31" s="12"/>
      <c r="M31" s="20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0,42052020OK14</v>
      </c>
    </row>
    <row r="32" spans="1:13" x14ac:dyDescent="0.25">
      <c r="A32" s="108">
        <v>0.4</v>
      </c>
      <c r="B32" s="111">
        <f>Förutsättningar!M$24</f>
        <v>20</v>
      </c>
      <c r="C32" s="111">
        <f>Förutsättningar!N$24</f>
        <v>5</v>
      </c>
      <c r="D32" s="21">
        <v>20</v>
      </c>
      <c r="E32" s="23">
        <v>30</v>
      </c>
      <c r="F32" s="5">
        <v>-10</v>
      </c>
      <c r="G32" s="7">
        <v>0</v>
      </c>
      <c r="H32" s="13">
        <v>13.2</v>
      </c>
      <c r="I32" s="21" t="s">
        <v>14</v>
      </c>
      <c r="J32" s="21"/>
      <c r="K32" s="21"/>
      <c r="L32" s="7"/>
      <c r="M32" s="18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0,42052030OK14</v>
      </c>
    </row>
    <row r="33" spans="1:13" x14ac:dyDescent="0.25">
      <c r="A33" s="109">
        <v>0.4</v>
      </c>
      <c r="B33" s="119">
        <f>Förutsättningar!M$24</f>
        <v>20</v>
      </c>
      <c r="C33" s="119">
        <f>Förutsättningar!N$24</f>
        <v>5</v>
      </c>
      <c r="D33" s="2">
        <v>20</v>
      </c>
      <c r="E33" s="24">
        <v>30</v>
      </c>
      <c r="F33" s="8">
        <v>-10</v>
      </c>
      <c r="G33" s="9">
        <v>2</v>
      </c>
      <c r="H33" s="14">
        <v>14</v>
      </c>
      <c r="I33" s="2" t="s">
        <v>14</v>
      </c>
      <c r="J33" s="2"/>
      <c r="K33" s="2"/>
      <c r="L33" s="9"/>
      <c r="M33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0,42052030OK14</v>
      </c>
    </row>
    <row r="34" spans="1:13" x14ac:dyDescent="0.25">
      <c r="A34" s="109">
        <v>0.4</v>
      </c>
      <c r="B34" s="119">
        <f>Förutsättningar!M$24</f>
        <v>20</v>
      </c>
      <c r="C34" s="119">
        <f>Förutsättningar!N$24</f>
        <v>5</v>
      </c>
      <c r="D34" s="2">
        <v>20</v>
      </c>
      <c r="E34" s="24">
        <v>50</v>
      </c>
      <c r="F34" s="8">
        <v>-10</v>
      </c>
      <c r="G34" s="9">
        <v>7</v>
      </c>
      <c r="H34" s="14">
        <v>11.8</v>
      </c>
      <c r="I34" s="2" t="s">
        <v>14</v>
      </c>
      <c r="J34" s="2"/>
      <c r="K34" s="2"/>
      <c r="L34" s="9"/>
      <c r="M34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0,42052050OK14</v>
      </c>
    </row>
    <row r="35" spans="1:13" x14ac:dyDescent="0.25">
      <c r="A35" s="109" t="s">
        <v>13</v>
      </c>
      <c r="B35" s="119" t="s">
        <v>13</v>
      </c>
      <c r="C35" s="119" t="s">
        <v>13</v>
      </c>
      <c r="D35" s="2" t="s">
        <v>13</v>
      </c>
      <c r="E35" s="24" t="s">
        <v>13</v>
      </c>
      <c r="F35" s="8">
        <v>-10</v>
      </c>
      <c r="G35" s="9">
        <v>12</v>
      </c>
      <c r="H35" s="14"/>
      <c r="I35" s="2"/>
      <c r="J35" s="2"/>
      <c r="K35" s="2"/>
      <c r="L35" s="9" t="s">
        <v>16</v>
      </c>
      <c r="M35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-----Frys innan täck</v>
      </c>
    </row>
    <row r="36" spans="1:13" ht="15.75" thickBot="1" x14ac:dyDescent="0.3">
      <c r="A36" s="110" t="s">
        <v>13</v>
      </c>
      <c r="B36" s="112" t="s">
        <v>13</v>
      </c>
      <c r="C36" s="112" t="s">
        <v>13</v>
      </c>
      <c r="D36" s="25" t="s">
        <v>13</v>
      </c>
      <c r="E36" s="26" t="s">
        <v>13</v>
      </c>
      <c r="F36" s="10">
        <v>-10</v>
      </c>
      <c r="G36" s="12">
        <v>20</v>
      </c>
      <c r="H36" s="15"/>
      <c r="I36" s="25"/>
      <c r="J36" s="25"/>
      <c r="K36" s="25"/>
      <c r="L36" s="12" t="s">
        <v>16</v>
      </c>
      <c r="M36" s="20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-----Frys innan täck</v>
      </c>
    </row>
    <row r="37" spans="1:13" x14ac:dyDescent="0.25">
      <c r="A37" s="108">
        <v>0.2</v>
      </c>
      <c r="B37" s="111">
        <f>Förutsättningar!M$25</f>
        <v>15</v>
      </c>
      <c r="C37" s="111">
        <f>Förutsättningar!N$25</f>
        <v>5</v>
      </c>
      <c r="D37" s="21">
        <v>20</v>
      </c>
      <c r="E37" s="23">
        <v>50</v>
      </c>
      <c r="F37" s="5">
        <v>-15</v>
      </c>
      <c r="G37" s="7">
        <v>0</v>
      </c>
      <c r="H37" s="13">
        <v>12.1</v>
      </c>
      <c r="I37" s="21" t="s">
        <v>14</v>
      </c>
      <c r="J37" s="21"/>
      <c r="K37" s="21"/>
      <c r="L37" s="7"/>
      <c r="M37" s="18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0,21552050OK14</v>
      </c>
    </row>
    <row r="38" spans="1:13" x14ac:dyDescent="0.25">
      <c r="A38" s="109">
        <v>0.1</v>
      </c>
      <c r="B38" s="119">
        <f>Förutsättningar!M$25</f>
        <v>15</v>
      </c>
      <c r="C38" s="119">
        <f>Förutsättningar!N$25</f>
        <v>5</v>
      </c>
      <c r="D38" s="2">
        <v>20</v>
      </c>
      <c r="E38" s="24">
        <v>50</v>
      </c>
      <c r="F38" s="8">
        <v>-15</v>
      </c>
      <c r="G38" s="9">
        <v>2</v>
      </c>
      <c r="H38" s="14">
        <v>12.7</v>
      </c>
      <c r="I38" s="2" t="s">
        <v>14</v>
      </c>
      <c r="J38" s="2"/>
      <c r="K38" s="2"/>
      <c r="L38" s="9"/>
      <c r="M38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0,11552050OK14</v>
      </c>
    </row>
    <row r="39" spans="1:13" x14ac:dyDescent="0.25">
      <c r="A39" s="109" t="s">
        <v>13</v>
      </c>
      <c r="B39" s="119" t="s">
        <v>13</v>
      </c>
      <c r="C39" s="119" t="s">
        <v>13</v>
      </c>
      <c r="D39" s="2" t="s">
        <v>13</v>
      </c>
      <c r="E39" s="24" t="s">
        <v>13</v>
      </c>
      <c r="F39" s="8">
        <v>-15</v>
      </c>
      <c r="G39" s="9">
        <v>7</v>
      </c>
      <c r="H39" s="14"/>
      <c r="I39" s="2"/>
      <c r="J39" s="2"/>
      <c r="K39" s="2"/>
      <c r="L39" s="9" t="s">
        <v>16</v>
      </c>
      <c r="M39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-----Frys innan täck</v>
      </c>
    </row>
    <row r="40" spans="1:13" x14ac:dyDescent="0.25">
      <c r="A40" s="109" t="s">
        <v>13</v>
      </c>
      <c r="B40" s="119" t="s">
        <v>13</v>
      </c>
      <c r="C40" s="119" t="s">
        <v>13</v>
      </c>
      <c r="D40" s="2" t="s">
        <v>13</v>
      </c>
      <c r="E40" s="24" t="s">
        <v>13</v>
      </c>
      <c r="F40" s="8">
        <v>-15</v>
      </c>
      <c r="G40" s="9">
        <v>12</v>
      </c>
      <c r="H40" s="14"/>
      <c r="I40" s="2"/>
      <c r="J40" s="2"/>
      <c r="K40" s="2"/>
      <c r="L40" s="9" t="s">
        <v>16</v>
      </c>
      <c r="M40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-----Frys innan täck</v>
      </c>
    </row>
    <row r="41" spans="1:13" ht="15.75" thickBot="1" x14ac:dyDescent="0.3">
      <c r="A41" s="110" t="s">
        <v>13</v>
      </c>
      <c r="B41" s="112" t="s">
        <v>13</v>
      </c>
      <c r="C41" s="112" t="s">
        <v>13</v>
      </c>
      <c r="D41" s="25" t="s">
        <v>13</v>
      </c>
      <c r="E41" s="26" t="s">
        <v>13</v>
      </c>
      <c r="F41" s="10">
        <v>-15</v>
      </c>
      <c r="G41" s="12">
        <v>20</v>
      </c>
      <c r="H41" s="15"/>
      <c r="I41" s="25"/>
      <c r="J41" s="25"/>
      <c r="K41" s="25"/>
      <c r="L41" s="12" t="s">
        <v>16</v>
      </c>
      <c r="M41" s="20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-----Frys innan täck</v>
      </c>
    </row>
    <row r="42" spans="1:13" x14ac:dyDescent="0.25">
      <c r="A42" s="109" t="s">
        <v>13</v>
      </c>
      <c r="B42" s="111" t="s">
        <v>13</v>
      </c>
      <c r="C42" s="111" t="s">
        <v>13</v>
      </c>
      <c r="D42" s="2" t="s">
        <v>13</v>
      </c>
      <c r="E42" s="24" t="s">
        <v>13</v>
      </c>
      <c r="F42" s="8">
        <v>-20</v>
      </c>
      <c r="G42" s="9">
        <v>0</v>
      </c>
      <c r="H42" s="14"/>
      <c r="I42" s="2"/>
      <c r="J42" s="2"/>
      <c r="K42" s="2"/>
      <c r="L42" s="9" t="s">
        <v>23</v>
      </c>
      <c r="M42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-----Når ej 70%</v>
      </c>
    </row>
    <row r="43" spans="1:13" x14ac:dyDescent="0.25">
      <c r="A43" s="109" t="s">
        <v>13</v>
      </c>
      <c r="B43" s="119" t="s">
        <v>13</v>
      </c>
      <c r="C43" s="119" t="s">
        <v>13</v>
      </c>
      <c r="D43" s="2" t="s">
        <v>13</v>
      </c>
      <c r="E43" s="24" t="s">
        <v>13</v>
      </c>
      <c r="F43" s="8">
        <v>-20</v>
      </c>
      <c r="G43" s="9">
        <v>2</v>
      </c>
      <c r="H43" s="14"/>
      <c r="I43" s="2"/>
      <c r="J43" s="2"/>
      <c r="K43" s="2"/>
      <c r="L43" s="9" t="s">
        <v>23</v>
      </c>
      <c r="M43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-----Når ej 70%</v>
      </c>
    </row>
    <row r="44" spans="1:13" x14ac:dyDescent="0.25">
      <c r="A44" s="109" t="s">
        <v>13</v>
      </c>
      <c r="B44" s="119" t="s">
        <v>13</v>
      </c>
      <c r="C44" s="119" t="s">
        <v>13</v>
      </c>
      <c r="D44" s="2" t="s">
        <v>13</v>
      </c>
      <c r="E44" s="24" t="s">
        <v>13</v>
      </c>
      <c r="F44" s="8">
        <v>-20</v>
      </c>
      <c r="G44" s="9">
        <v>7</v>
      </c>
      <c r="H44" s="14"/>
      <c r="I44" s="2"/>
      <c r="J44" s="2"/>
      <c r="K44" s="2"/>
      <c r="L44" s="9" t="s">
        <v>16</v>
      </c>
      <c r="M44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-----Frys innan täck</v>
      </c>
    </row>
    <row r="45" spans="1:13" x14ac:dyDescent="0.25">
      <c r="A45" s="109" t="s">
        <v>13</v>
      </c>
      <c r="B45" s="119" t="s">
        <v>13</v>
      </c>
      <c r="C45" s="119" t="s">
        <v>13</v>
      </c>
      <c r="D45" s="2" t="s">
        <v>13</v>
      </c>
      <c r="E45" s="24" t="s">
        <v>13</v>
      </c>
      <c r="F45" s="8">
        <v>-20</v>
      </c>
      <c r="G45" s="9">
        <v>12</v>
      </c>
      <c r="H45" s="14"/>
      <c r="I45" s="2"/>
      <c r="J45" s="2"/>
      <c r="K45" s="2"/>
      <c r="L45" s="9" t="s">
        <v>16</v>
      </c>
      <c r="M45" s="1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-----Frys innan täck</v>
      </c>
    </row>
    <row r="46" spans="1:13" ht="15.75" thickBot="1" x14ac:dyDescent="0.3">
      <c r="A46" s="110" t="s">
        <v>13</v>
      </c>
      <c r="B46" s="112" t="s">
        <v>13</v>
      </c>
      <c r="C46" s="112" t="s">
        <v>13</v>
      </c>
      <c r="D46" s="25" t="s">
        <v>13</v>
      </c>
      <c r="E46" s="26" t="s">
        <v>13</v>
      </c>
      <c r="F46" s="10">
        <v>-20</v>
      </c>
      <c r="G46" s="12">
        <v>20</v>
      </c>
      <c r="H46" s="15"/>
      <c r="I46" s="25"/>
      <c r="J46" s="25"/>
      <c r="K46" s="25"/>
      <c r="L46" s="12" t="s">
        <v>16</v>
      </c>
      <c r="M46" s="20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-----Frys innan täck</v>
      </c>
    </row>
  </sheetData>
  <conditionalFormatting sqref="H2:H21 H23:H46">
    <cfRule type="cellIs" dxfId="5" priority="1" operator="greaterThan">
      <formula>14</formula>
    </cfRule>
  </conditionalFormatting>
  <dataValidations count="1">
    <dataValidation type="list" allowBlank="1" showInputMessage="1" showErrorMessage="1" sqref="N2:N46" xr:uid="{2E171ECA-04AC-451A-ACA2-537C03D0D53E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CDCE6FE-6183-4134-AAF8-AF56A3D03B74}">
          <x14:formula1>
            <xm:f>Förutsättningar!$G$2</xm:f>
          </x14:formula1>
          <xm:sqref>K2:K46</xm:sqref>
        </x14:dataValidation>
        <x14:dataValidation type="list" allowBlank="1" showInputMessage="1" showErrorMessage="1" xr:uid="{E62C5D47-19BD-43A3-B34E-AA64F357F69D}">
          <x14:formula1>
            <xm:f>Förutsättningar!$F$2</xm:f>
          </x14:formula1>
          <xm:sqref>I2:I46</xm:sqref>
        </x14:dataValidation>
        <x14:dataValidation type="list" allowBlank="1" showInputMessage="1" showErrorMessage="1" xr:uid="{88BD13D1-30BC-45A9-9101-1E4EACC8ECA8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33E511D0-525A-4B4F-BEDA-41FBCBDA6186}">
          <x14:formula1>
            <xm:f>Förutsättningar!$H$2:$H$6</xm:f>
          </x14:formula1>
          <xm:sqref>A2:A46</xm:sqref>
        </x14:dataValidation>
        <x14:dataValidation type="list" allowBlank="1" showInputMessage="1" showErrorMessage="1" xr:uid="{7B29F886-20FE-43FA-A06C-9C466318BC96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AED41B50-BD50-4C7A-BFC8-B90CA731E397}">
          <x14:formula1>
            <xm:f>Förutsättningar!$I$2:$I$3</xm:f>
          </x14:formula1>
          <xm:sqref>L2:L46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C31C-96CF-44F3-9F10-55747AED3E95}">
  <sheetPr codeName="Sheet7"/>
  <dimension ref="A1:V46"/>
  <sheetViews>
    <sheetView topLeftCell="A11" zoomScale="115" zoomScaleNormal="115" workbookViewId="0">
      <selection activeCell="E37" sqref="A37:E37"/>
    </sheetView>
  </sheetViews>
  <sheetFormatPr defaultRowHeight="15" x14ac:dyDescent="0.25"/>
  <cols>
    <col min="1" max="1" width="12.5703125" style="106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9" width="14.42578125" bestFit="1" customWidth="1"/>
    <col min="10" max="11" width="22.140625" bestFit="1" customWidth="1"/>
    <col min="12" max="12" width="14.425781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0.75" thickBot="1" x14ac:dyDescent="0.3">
      <c r="A1" s="120" t="s">
        <v>57</v>
      </c>
      <c r="B1" s="118" t="s">
        <v>0</v>
      </c>
      <c r="C1" s="118" t="s">
        <v>1</v>
      </c>
      <c r="D1" s="118" t="s">
        <v>2</v>
      </c>
      <c r="E1" s="118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7" t="s">
        <v>11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08">
        <v>0.4</v>
      </c>
      <c r="B2" s="111">
        <f>Förutsättningar!M$18</f>
        <v>15</v>
      </c>
      <c r="C2" s="111">
        <f>Förutsättningar!N$18</f>
        <v>20</v>
      </c>
      <c r="D2" s="22" t="s">
        <v>13</v>
      </c>
      <c r="E2" s="23" t="s">
        <v>13</v>
      </c>
      <c r="F2" s="6">
        <v>20</v>
      </c>
      <c r="G2" s="7">
        <v>0</v>
      </c>
      <c r="H2" s="13">
        <v>6</v>
      </c>
      <c r="I2" s="21" t="s">
        <v>14</v>
      </c>
      <c r="J2" s="21"/>
      <c r="K2" s="21"/>
      <c r="L2" s="7"/>
      <c r="M2" s="18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0,41520--OK14</v>
      </c>
      <c r="Q2" s="1"/>
    </row>
    <row r="3" spans="1:22" x14ac:dyDescent="0.25">
      <c r="A3" s="109">
        <v>0.4</v>
      </c>
      <c r="B3" s="119">
        <f>Förutsättningar!$M$18</f>
        <v>15</v>
      </c>
      <c r="C3" s="119">
        <f>Förutsättningar!N$18</f>
        <v>20</v>
      </c>
      <c r="D3" s="2" t="s">
        <v>13</v>
      </c>
      <c r="E3" s="24" t="s">
        <v>13</v>
      </c>
      <c r="F3">
        <v>20</v>
      </c>
      <c r="G3" s="9">
        <v>2</v>
      </c>
      <c r="H3" s="14">
        <v>6.5</v>
      </c>
      <c r="I3" s="2" t="s">
        <v>14</v>
      </c>
      <c r="J3" s="2"/>
      <c r="K3" s="2"/>
      <c r="L3" s="9"/>
      <c r="M3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0,41520--OK14</v>
      </c>
    </row>
    <row r="4" spans="1:22" x14ac:dyDescent="0.25">
      <c r="A4" s="109">
        <v>0.4</v>
      </c>
      <c r="B4" s="119">
        <f>Förutsättningar!$M$18</f>
        <v>15</v>
      </c>
      <c r="C4" s="119">
        <f>Förutsättningar!N$18</f>
        <v>20</v>
      </c>
      <c r="D4" s="2" t="s">
        <v>13</v>
      </c>
      <c r="E4" s="24" t="s">
        <v>13</v>
      </c>
      <c r="F4">
        <v>20</v>
      </c>
      <c r="G4" s="9">
        <v>7</v>
      </c>
      <c r="H4" s="14">
        <v>6.7</v>
      </c>
      <c r="I4" s="2" t="s">
        <v>14</v>
      </c>
      <c r="J4" s="2"/>
      <c r="K4" s="2"/>
      <c r="L4" s="9"/>
      <c r="M4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0,41520--OK14</v>
      </c>
    </row>
    <row r="5" spans="1:22" x14ac:dyDescent="0.25">
      <c r="A5" s="109">
        <v>0.4</v>
      </c>
      <c r="B5" s="119">
        <f>Förutsättningar!$M$18</f>
        <v>15</v>
      </c>
      <c r="C5" s="119">
        <f>Förutsättningar!N$18</f>
        <v>20</v>
      </c>
      <c r="D5" s="2" t="s">
        <v>13</v>
      </c>
      <c r="E5" s="24" t="s">
        <v>13</v>
      </c>
      <c r="F5">
        <v>20</v>
      </c>
      <c r="G5" s="9">
        <v>12</v>
      </c>
      <c r="H5" s="14">
        <v>6.8</v>
      </c>
      <c r="I5" s="2" t="s">
        <v>14</v>
      </c>
      <c r="J5" s="2"/>
      <c r="K5" s="2"/>
      <c r="L5" s="9"/>
      <c r="M5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0,41520--OK14</v>
      </c>
    </row>
    <row r="6" spans="1:22" ht="15.75" thickBot="1" x14ac:dyDescent="0.3">
      <c r="A6" s="110">
        <v>0.4</v>
      </c>
      <c r="B6" s="112">
        <f>Förutsättningar!$M$18</f>
        <v>15</v>
      </c>
      <c r="C6" s="112">
        <f>Förutsättningar!N$18</f>
        <v>20</v>
      </c>
      <c r="D6" s="25" t="s">
        <v>13</v>
      </c>
      <c r="E6" s="26" t="s">
        <v>13</v>
      </c>
      <c r="F6" s="11">
        <v>20</v>
      </c>
      <c r="G6" s="12">
        <v>20</v>
      </c>
      <c r="H6" s="15">
        <v>6.8</v>
      </c>
      <c r="I6" s="25" t="s">
        <v>14</v>
      </c>
      <c r="J6" s="25"/>
      <c r="K6" s="25"/>
      <c r="L6" s="12"/>
      <c r="M6" s="20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0,41520--OK14</v>
      </c>
    </row>
    <row r="7" spans="1:22" x14ac:dyDescent="0.25">
      <c r="A7" s="109">
        <v>0.4</v>
      </c>
      <c r="B7" s="119">
        <f>Förutsättningar!M$19</f>
        <v>15</v>
      </c>
      <c r="C7" s="119">
        <f>Förutsättningar!N$19</f>
        <v>15</v>
      </c>
      <c r="D7" s="2" t="s">
        <v>13</v>
      </c>
      <c r="E7" s="24" t="s">
        <v>13</v>
      </c>
      <c r="F7" s="5">
        <v>15</v>
      </c>
      <c r="G7" s="7">
        <v>0</v>
      </c>
      <c r="H7" s="13">
        <v>7.8</v>
      </c>
      <c r="I7" s="21" t="s">
        <v>14</v>
      </c>
      <c r="J7" s="21"/>
      <c r="K7" s="21"/>
      <c r="L7" s="7"/>
      <c r="M7" s="18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0,41515--OK14</v>
      </c>
    </row>
    <row r="8" spans="1:22" x14ac:dyDescent="0.25">
      <c r="A8" s="109">
        <v>0.4</v>
      </c>
      <c r="B8" s="119">
        <f>Förutsättningar!M$19</f>
        <v>15</v>
      </c>
      <c r="C8" s="119">
        <f>Förutsättningar!N$19</f>
        <v>15</v>
      </c>
      <c r="D8" s="2" t="s">
        <v>13</v>
      </c>
      <c r="E8" s="24" t="s">
        <v>13</v>
      </c>
      <c r="F8" s="8">
        <v>15</v>
      </c>
      <c r="G8" s="9">
        <v>2</v>
      </c>
      <c r="H8" s="14">
        <v>8.5</v>
      </c>
      <c r="I8" s="2" t="s">
        <v>14</v>
      </c>
      <c r="J8" s="2"/>
      <c r="K8" s="2"/>
      <c r="L8" s="9"/>
      <c r="M8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0,41515--OK14</v>
      </c>
    </row>
    <row r="9" spans="1:22" x14ac:dyDescent="0.25">
      <c r="A9" s="109">
        <v>0.4</v>
      </c>
      <c r="B9" s="119">
        <f>Förutsättningar!M$19</f>
        <v>15</v>
      </c>
      <c r="C9" s="119">
        <f>Förutsättningar!N$19</f>
        <v>15</v>
      </c>
      <c r="D9" s="2" t="s">
        <v>13</v>
      </c>
      <c r="E9" s="24" t="s">
        <v>13</v>
      </c>
      <c r="F9" s="8">
        <v>15</v>
      </c>
      <c r="G9" s="9">
        <v>7</v>
      </c>
      <c r="H9" s="14">
        <v>8.9</v>
      </c>
      <c r="I9" s="2" t="s">
        <v>14</v>
      </c>
      <c r="J9" s="2"/>
      <c r="K9" s="2"/>
      <c r="L9" s="9"/>
      <c r="M9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0,41515--OK14</v>
      </c>
    </row>
    <row r="10" spans="1:22" x14ac:dyDescent="0.25">
      <c r="A10" s="109">
        <v>0.4</v>
      </c>
      <c r="B10" s="119">
        <f>Förutsättningar!M$19</f>
        <v>15</v>
      </c>
      <c r="C10" s="119">
        <f>Förutsättningar!N$19</f>
        <v>15</v>
      </c>
      <c r="D10" s="2" t="s">
        <v>13</v>
      </c>
      <c r="E10" s="24" t="s">
        <v>13</v>
      </c>
      <c r="F10" s="8">
        <v>15</v>
      </c>
      <c r="G10" s="9">
        <v>12</v>
      </c>
      <c r="H10" s="14">
        <v>8.9</v>
      </c>
      <c r="I10" s="2" t="s">
        <v>14</v>
      </c>
      <c r="J10" s="2"/>
      <c r="K10" s="2"/>
      <c r="L10" s="9"/>
      <c r="M10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0,41515--OK14</v>
      </c>
    </row>
    <row r="11" spans="1:22" ht="15.75" thickBot="1" x14ac:dyDescent="0.3">
      <c r="A11" s="110">
        <v>0.4</v>
      </c>
      <c r="B11" s="112">
        <f>Förutsättningar!M$19</f>
        <v>15</v>
      </c>
      <c r="C11" s="112">
        <f>Förutsättningar!N$19</f>
        <v>15</v>
      </c>
      <c r="D11" s="25" t="s">
        <v>13</v>
      </c>
      <c r="E11" s="26" t="s">
        <v>13</v>
      </c>
      <c r="F11" s="10">
        <v>15</v>
      </c>
      <c r="G11" s="12">
        <v>20</v>
      </c>
      <c r="H11" s="15">
        <v>8.9</v>
      </c>
      <c r="I11" s="25" t="s">
        <v>14</v>
      </c>
      <c r="J11" s="25"/>
      <c r="K11" s="25"/>
      <c r="L11" s="12"/>
      <c r="M11" s="20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0,41515--OK14</v>
      </c>
    </row>
    <row r="12" spans="1:22" x14ac:dyDescent="0.25">
      <c r="A12" s="108">
        <v>0.4</v>
      </c>
      <c r="B12" s="111">
        <f>Förutsättningar!M$20</f>
        <v>15</v>
      </c>
      <c r="C12" s="111">
        <f>Förutsättningar!N$20</f>
        <v>10</v>
      </c>
      <c r="D12" s="21" t="s">
        <v>13</v>
      </c>
      <c r="E12" s="23" t="s">
        <v>13</v>
      </c>
      <c r="F12" s="5">
        <v>10</v>
      </c>
      <c r="G12" s="7">
        <v>0</v>
      </c>
      <c r="H12" s="13">
        <v>10.8</v>
      </c>
      <c r="I12" s="21" t="s">
        <v>14</v>
      </c>
      <c r="J12" s="21"/>
      <c r="K12" s="21"/>
      <c r="L12" s="7"/>
      <c r="M12" s="18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0,41510--OK14</v>
      </c>
    </row>
    <row r="13" spans="1:22" x14ac:dyDescent="0.25">
      <c r="A13" s="109">
        <v>0.4</v>
      </c>
      <c r="B13" s="119">
        <f>Förutsättningar!M$20</f>
        <v>15</v>
      </c>
      <c r="C13" s="119">
        <f>Förutsättningar!N$20</f>
        <v>10</v>
      </c>
      <c r="D13" s="2" t="s">
        <v>13</v>
      </c>
      <c r="E13" s="24" t="s">
        <v>13</v>
      </c>
      <c r="F13" s="8">
        <v>10</v>
      </c>
      <c r="G13" s="9">
        <v>2</v>
      </c>
      <c r="H13" s="14">
        <v>11.7</v>
      </c>
      <c r="I13" s="2" t="s">
        <v>14</v>
      </c>
      <c r="J13" s="2"/>
      <c r="K13" s="2"/>
      <c r="L13" s="9"/>
      <c r="M13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0,41510--OK14</v>
      </c>
    </row>
    <row r="14" spans="1:22" x14ac:dyDescent="0.25">
      <c r="A14" s="109">
        <v>0.4</v>
      </c>
      <c r="B14" s="119">
        <f>Förutsättningar!M$20</f>
        <v>15</v>
      </c>
      <c r="C14" s="119">
        <f>Förutsättningar!N$20</f>
        <v>10</v>
      </c>
      <c r="D14" s="2" t="s">
        <v>13</v>
      </c>
      <c r="E14" s="24" t="s">
        <v>13</v>
      </c>
      <c r="F14" s="8">
        <v>10</v>
      </c>
      <c r="G14" s="9">
        <v>7</v>
      </c>
      <c r="H14" s="14">
        <v>12.1</v>
      </c>
      <c r="I14" s="2" t="s">
        <v>14</v>
      </c>
      <c r="J14" s="2"/>
      <c r="K14" s="2"/>
      <c r="L14" s="9"/>
      <c r="M14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0,41510--OK14</v>
      </c>
    </row>
    <row r="15" spans="1:22" x14ac:dyDescent="0.25">
      <c r="A15" s="109">
        <v>0.4</v>
      </c>
      <c r="B15" s="119">
        <f>Förutsättningar!M$20</f>
        <v>15</v>
      </c>
      <c r="C15" s="119">
        <f>Förutsättningar!N$20</f>
        <v>10</v>
      </c>
      <c r="D15" s="2" t="s">
        <v>13</v>
      </c>
      <c r="E15" s="24" t="s">
        <v>13</v>
      </c>
      <c r="F15" s="8">
        <v>10</v>
      </c>
      <c r="G15" s="9">
        <v>12</v>
      </c>
      <c r="H15" s="14">
        <v>12.2</v>
      </c>
      <c r="I15" s="2" t="s">
        <v>14</v>
      </c>
      <c r="J15" s="2"/>
      <c r="K15" s="2"/>
      <c r="L15" s="9"/>
      <c r="M15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0,41510--OK14</v>
      </c>
    </row>
    <row r="16" spans="1:22" ht="15.75" thickBot="1" x14ac:dyDescent="0.3">
      <c r="A16" s="110">
        <v>0.4</v>
      </c>
      <c r="B16" s="112">
        <f>Förutsättningar!M$20</f>
        <v>15</v>
      </c>
      <c r="C16" s="112">
        <f>Förutsättningar!N$20</f>
        <v>10</v>
      </c>
      <c r="D16" s="25" t="s">
        <v>13</v>
      </c>
      <c r="E16" s="26" t="s">
        <v>13</v>
      </c>
      <c r="F16" s="10">
        <v>10</v>
      </c>
      <c r="G16" s="12">
        <v>20</v>
      </c>
      <c r="H16" s="15">
        <v>12.2</v>
      </c>
      <c r="I16" s="25" t="s">
        <v>14</v>
      </c>
      <c r="J16" s="25"/>
      <c r="K16" s="25"/>
      <c r="L16" s="12"/>
      <c r="M16" s="20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0,41510--OK14</v>
      </c>
    </row>
    <row r="17" spans="1:13" x14ac:dyDescent="0.25">
      <c r="A17" s="108">
        <v>0.4</v>
      </c>
      <c r="B17" s="111">
        <f>Förutsättningar!M$21</f>
        <v>20</v>
      </c>
      <c r="C17" s="111">
        <f>Förutsättningar!N$21</f>
        <v>5</v>
      </c>
      <c r="D17" s="21">
        <v>0</v>
      </c>
      <c r="E17" s="23">
        <v>20</v>
      </c>
      <c r="F17" s="5">
        <v>5</v>
      </c>
      <c r="G17" s="7">
        <v>0</v>
      </c>
      <c r="H17" s="13">
        <v>13.4</v>
      </c>
      <c r="I17" s="21" t="s">
        <v>14</v>
      </c>
      <c r="J17" s="21"/>
      <c r="K17" s="21"/>
      <c r="L17" s="7"/>
      <c r="M17" s="18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0,4205020OK14</v>
      </c>
    </row>
    <row r="18" spans="1:13" x14ac:dyDescent="0.25">
      <c r="A18" s="109">
        <v>0.4</v>
      </c>
      <c r="B18" s="119">
        <f>Förutsättningar!M$21</f>
        <v>20</v>
      </c>
      <c r="C18" s="119">
        <f>Förutsättningar!N$21</f>
        <v>5</v>
      </c>
      <c r="D18" s="2">
        <v>0</v>
      </c>
      <c r="E18" s="24">
        <v>20</v>
      </c>
      <c r="F18" s="8">
        <v>5</v>
      </c>
      <c r="G18" s="9">
        <v>2</v>
      </c>
      <c r="H18" s="14">
        <v>13.8</v>
      </c>
      <c r="I18" s="2" t="s">
        <v>14</v>
      </c>
      <c r="J18" s="2"/>
      <c r="K18" s="2"/>
      <c r="L18" s="9"/>
      <c r="M18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0,4205020OK14</v>
      </c>
    </row>
    <row r="19" spans="1:13" x14ac:dyDescent="0.25">
      <c r="A19" s="109">
        <v>0.4</v>
      </c>
      <c r="B19" s="119">
        <f>Förutsättningar!M$21</f>
        <v>20</v>
      </c>
      <c r="C19" s="119">
        <f>Förutsättningar!N$21</f>
        <v>5</v>
      </c>
      <c r="D19" s="2">
        <v>0</v>
      </c>
      <c r="E19" s="24">
        <v>20</v>
      </c>
      <c r="F19" s="8">
        <v>5</v>
      </c>
      <c r="G19" s="9">
        <v>7</v>
      </c>
      <c r="H19" s="14">
        <v>14</v>
      </c>
      <c r="I19" s="2" t="s">
        <v>14</v>
      </c>
      <c r="J19" s="2"/>
      <c r="K19" s="2"/>
      <c r="L19" s="9"/>
      <c r="M19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0,4205020OK14</v>
      </c>
    </row>
    <row r="20" spans="1:13" x14ac:dyDescent="0.25">
      <c r="A20" s="109">
        <v>0.4</v>
      </c>
      <c r="B20" s="119">
        <f>Förutsättningar!M$21</f>
        <v>20</v>
      </c>
      <c r="C20" s="119">
        <f>Förutsättningar!N$21</f>
        <v>5</v>
      </c>
      <c r="D20" s="2">
        <v>0</v>
      </c>
      <c r="E20" s="24">
        <v>30</v>
      </c>
      <c r="F20" s="8">
        <v>5</v>
      </c>
      <c r="G20" s="9">
        <v>12</v>
      </c>
      <c r="H20" s="14">
        <v>13.5</v>
      </c>
      <c r="I20" s="2" t="s">
        <v>14</v>
      </c>
      <c r="J20" s="2"/>
      <c r="K20" s="2"/>
      <c r="L20" s="9"/>
      <c r="M20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0,4205030OK14</v>
      </c>
    </row>
    <row r="21" spans="1:13" ht="15.75" thickBot="1" x14ac:dyDescent="0.3">
      <c r="A21" s="110">
        <v>0.4</v>
      </c>
      <c r="B21" s="112">
        <f>Förutsättningar!M$21</f>
        <v>20</v>
      </c>
      <c r="C21" s="112">
        <f>Förutsättningar!N$21</f>
        <v>5</v>
      </c>
      <c r="D21" s="25">
        <v>0</v>
      </c>
      <c r="E21" s="26">
        <v>30</v>
      </c>
      <c r="F21" s="10">
        <v>5</v>
      </c>
      <c r="G21" s="12">
        <v>20</v>
      </c>
      <c r="H21" s="15">
        <v>13.6</v>
      </c>
      <c r="I21" s="25" t="s">
        <v>14</v>
      </c>
      <c r="J21" s="25"/>
      <c r="K21" s="25"/>
      <c r="L21" s="12"/>
      <c r="M21" s="20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0,4205030OK14</v>
      </c>
    </row>
    <row r="22" spans="1:13" x14ac:dyDescent="0.25">
      <c r="A22" s="108">
        <v>0.4</v>
      </c>
      <c r="B22" s="111">
        <f>Förutsättningar!M$22</f>
        <v>20</v>
      </c>
      <c r="C22" s="111">
        <f>Förutsättningar!N$22</f>
        <v>5</v>
      </c>
      <c r="D22" s="21">
        <v>20</v>
      </c>
      <c r="E22" s="23" t="s">
        <v>13</v>
      </c>
      <c r="F22" s="5">
        <v>0</v>
      </c>
      <c r="G22" s="7">
        <v>0</v>
      </c>
      <c r="H22" s="13">
        <v>11</v>
      </c>
      <c r="I22" s="21" t="s">
        <v>14</v>
      </c>
      <c r="J22" s="21"/>
      <c r="K22" s="21"/>
      <c r="L22" s="7"/>
      <c r="M22" s="18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0,420520-OK14</v>
      </c>
    </row>
    <row r="23" spans="1:13" x14ac:dyDescent="0.25">
      <c r="A23" s="109">
        <v>0.4</v>
      </c>
      <c r="B23" s="119">
        <f>Förutsättningar!M$22</f>
        <v>20</v>
      </c>
      <c r="C23" s="119">
        <f>Förutsättningar!N$22</f>
        <v>5</v>
      </c>
      <c r="D23" s="2">
        <v>20</v>
      </c>
      <c r="E23" s="24" t="s">
        <v>15</v>
      </c>
      <c r="F23" s="8">
        <v>0</v>
      </c>
      <c r="G23" s="9">
        <v>2</v>
      </c>
      <c r="H23" s="14">
        <v>13.3</v>
      </c>
      <c r="I23" s="2" t="s">
        <v>14</v>
      </c>
      <c r="J23" s="2"/>
      <c r="K23" s="2"/>
      <c r="L23" s="9"/>
      <c r="M23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0,420520PresenningOK14</v>
      </c>
    </row>
    <row r="24" spans="1:13" x14ac:dyDescent="0.25">
      <c r="A24" s="109">
        <v>0.4</v>
      </c>
      <c r="B24" s="119">
        <f>Förutsättningar!M$22</f>
        <v>20</v>
      </c>
      <c r="C24" s="119">
        <f>Förutsättningar!N$22</f>
        <v>5</v>
      </c>
      <c r="D24" s="2">
        <v>20</v>
      </c>
      <c r="E24" s="24">
        <v>10</v>
      </c>
      <c r="F24" s="8">
        <v>0</v>
      </c>
      <c r="G24" s="9">
        <v>7</v>
      </c>
      <c r="H24" s="14">
        <v>9.6</v>
      </c>
      <c r="I24" s="2" t="s">
        <v>14</v>
      </c>
      <c r="J24" s="2"/>
      <c r="K24" s="2"/>
      <c r="L24" s="9"/>
      <c r="M24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0,42052010OK14</v>
      </c>
    </row>
    <row r="25" spans="1:13" x14ac:dyDescent="0.25">
      <c r="A25" s="109">
        <v>0.4</v>
      </c>
      <c r="B25" s="119">
        <f>Förutsättningar!M$22</f>
        <v>20</v>
      </c>
      <c r="C25" s="119">
        <f>Förutsättningar!N$22</f>
        <v>5</v>
      </c>
      <c r="D25" s="2">
        <v>20</v>
      </c>
      <c r="E25" s="24">
        <v>10</v>
      </c>
      <c r="F25" s="8">
        <v>0</v>
      </c>
      <c r="G25" s="9">
        <v>12</v>
      </c>
      <c r="H25" s="14">
        <v>9.8000000000000007</v>
      </c>
      <c r="I25" s="2" t="s">
        <v>14</v>
      </c>
      <c r="J25" s="2"/>
      <c r="K25" s="2"/>
      <c r="L25" s="9"/>
      <c r="M25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0,42052010OK14</v>
      </c>
    </row>
    <row r="26" spans="1:13" ht="15.75" thickBot="1" x14ac:dyDescent="0.3">
      <c r="A26" s="110">
        <v>0.4</v>
      </c>
      <c r="B26" s="112">
        <f>Förutsättningar!M$22</f>
        <v>20</v>
      </c>
      <c r="C26" s="112">
        <f>Förutsättningar!N$22</f>
        <v>5</v>
      </c>
      <c r="D26" s="25">
        <v>20</v>
      </c>
      <c r="E26" s="26">
        <v>10</v>
      </c>
      <c r="F26" s="10">
        <v>0</v>
      </c>
      <c r="G26" s="12">
        <v>20</v>
      </c>
      <c r="H26" s="15">
        <v>9.9</v>
      </c>
      <c r="I26" s="25" t="s">
        <v>14</v>
      </c>
      <c r="J26" s="25"/>
      <c r="K26" s="25"/>
      <c r="L26" s="12"/>
      <c r="M26" s="20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0,42052010OK14</v>
      </c>
    </row>
    <row r="27" spans="1:13" x14ac:dyDescent="0.25">
      <c r="A27" s="108">
        <v>0.4</v>
      </c>
      <c r="B27" s="111">
        <f>Förutsättningar!M$23</f>
        <v>20</v>
      </c>
      <c r="C27" s="111">
        <f>Förutsättningar!N$23</f>
        <v>5</v>
      </c>
      <c r="D27" s="21">
        <v>20</v>
      </c>
      <c r="E27" s="23">
        <v>10</v>
      </c>
      <c r="F27" s="5">
        <v>-5</v>
      </c>
      <c r="G27" s="7">
        <v>0</v>
      </c>
      <c r="H27" s="13">
        <v>11.2</v>
      </c>
      <c r="I27" s="21" t="s">
        <v>14</v>
      </c>
      <c r="J27" s="21"/>
      <c r="K27" s="21"/>
      <c r="L27" s="7"/>
      <c r="M27" s="18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0,42052010OK14</v>
      </c>
    </row>
    <row r="28" spans="1:13" x14ac:dyDescent="0.25">
      <c r="A28" s="109">
        <v>0.4</v>
      </c>
      <c r="B28" s="119">
        <f>Förutsättningar!M$23</f>
        <v>20</v>
      </c>
      <c r="C28" s="119">
        <f>Förutsättningar!N$23</f>
        <v>5</v>
      </c>
      <c r="D28" s="2">
        <v>20</v>
      </c>
      <c r="E28" s="24">
        <v>10</v>
      </c>
      <c r="F28" s="8">
        <v>-5</v>
      </c>
      <c r="G28" s="9">
        <v>2</v>
      </c>
      <c r="H28" s="14">
        <v>12.9</v>
      </c>
      <c r="I28" s="2" t="s">
        <v>14</v>
      </c>
      <c r="J28" s="2"/>
      <c r="K28" s="2"/>
      <c r="L28" s="9"/>
      <c r="M28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0,42052010OK14</v>
      </c>
    </row>
    <row r="29" spans="1:13" x14ac:dyDescent="0.25">
      <c r="A29" s="109">
        <v>0.4</v>
      </c>
      <c r="B29" s="119">
        <f>Förutsättningar!M$23</f>
        <v>20</v>
      </c>
      <c r="C29" s="119">
        <f>Förutsättningar!N$23</f>
        <v>5</v>
      </c>
      <c r="D29" s="2">
        <v>20</v>
      </c>
      <c r="E29" s="24">
        <v>10</v>
      </c>
      <c r="F29" s="8">
        <v>-5</v>
      </c>
      <c r="G29" s="9">
        <v>7</v>
      </c>
      <c r="H29" s="14">
        <v>14</v>
      </c>
      <c r="I29" s="2" t="s">
        <v>14</v>
      </c>
      <c r="J29" s="2"/>
      <c r="K29" s="2"/>
      <c r="L29" s="9"/>
      <c r="M29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0,42052010OK14</v>
      </c>
    </row>
    <row r="30" spans="1:13" x14ac:dyDescent="0.25">
      <c r="A30" s="109">
        <v>0.4</v>
      </c>
      <c r="B30" s="119">
        <f>Förutsättningar!M$23</f>
        <v>20</v>
      </c>
      <c r="C30" s="119">
        <f>Förutsättningar!N$23</f>
        <v>5</v>
      </c>
      <c r="D30" s="2">
        <v>20</v>
      </c>
      <c r="E30" s="24">
        <v>20</v>
      </c>
      <c r="F30" s="8">
        <v>-5</v>
      </c>
      <c r="G30" s="9">
        <v>12</v>
      </c>
      <c r="H30" s="14">
        <v>10.8</v>
      </c>
      <c r="I30" s="2" t="s">
        <v>14</v>
      </c>
      <c r="J30" s="2"/>
      <c r="K30" s="2"/>
      <c r="L30" s="9"/>
      <c r="M30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0,42052020OK14</v>
      </c>
    </row>
    <row r="31" spans="1:13" ht="15.75" thickBot="1" x14ac:dyDescent="0.3">
      <c r="A31" s="110">
        <v>0.4</v>
      </c>
      <c r="B31" s="112">
        <f>Förutsättningar!M$23</f>
        <v>20</v>
      </c>
      <c r="C31" s="112">
        <f>Förutsättningar!N$23</f>
        <v>5</v>
      </c>
      <c r="D31" s="25">
        <v>20</v>
      </c>
      <c r="E31" s="26">
        <v>20</v>
      </c>
      <c r="F31" s="10">
        <v>-5</v>
      </c>
      <c r="G31" s="12">
        <v>20</v>
      </c>
      <c r="H31" s="15">
        <v>10.9</v>
      </c>
      <c r="I31" s="25" t="s">
        <v>14</v>
      </c>
      <c r="J31" s="25"/>
      <c r="K31" s="25"/>
      <c r="L31" s="12"/>
      <c r="M31" s="20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0,42052020OK14</v>
      </c>
    </row>
    <row r="32" spans="1:13" x14ac:dyDescent="0.25">
      <c r="A32" s="108">
        <v>0.4</v>
      </c>
      <c r="B32" s="111">
        <f>Förutsättningar!M$24</f>
        <v>20</v>
      </c>
      <c r="C32" s="111">
        <f>Förutsättningar!N$24</f>
        <v>5</v>
      </c>
      <c r="D32" s="21">
        <v>20</v>
      </c>
      <c r="E32" s="23">
        <v>20</v>
      </c>
      <c r="F32" s="5">
        <v>-10</v>
      </c>
      <c r="G32" s="7">
        <v>0</v>
      </c>
      <c r="H32" s="13">
        <v>13.9</v>
      </c>
      <c r="I32" s="21" t="s">
        <v>14</v>
      </c>
      <c r="J32" s="21"/>
      <c r="K32" s="21"/>
      <c r="L32" s="7"/>
      <c r="M32" s="18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0,42052020OK14</v>
      </c>
    </row>
    <row r="33" spans="1:13" x14ac:dyDescent="0.25">
      <c r="A33" s="109">
        <v>0.4</v>
      </c>
      <c r="B33" s="119">
        <f>Förutsättningar!M$24</f>
        <v>20</v>
      </c>
      <c r="C33" s="119">
        <f>Förutsättningar!N$24</f>
        <v>5</v>
      </c>
      <c r="D33" s="2">
        <v>20</v>
      </c>
      <c r="E33" s="24">
        <v>30</v>
      </c>
      <c r="F33" s="8">
        <v>-10</v>
      </c>
      <c r="G33" s="9">
        <v>2</v>
      </c>
      <c r="H33" s="14">
        <v>13.2</v>
      </c>
      <c r="I33" s="2" t="s">
        <v>14</v>
      </c>
      <c r="J33" s="2"/>
      <c r="K33" s="2"/>
      <c r="L33" s="9"/>
      <c r="M33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0,42052030OK14</v>
      </c>
    </row>
    <row r="34" spans="1:13" x14ac:dyDescent="0.25">
      <c r="A34" s="109">
        <v>0.4</v>
      </c>
      <c r="B34" s="119">
        <f>Förutsättningar!M$24</f>
        <v>20</v>
      </c>
      <c r="C34" s="119">
        <f>Förutsättningar!N$24</f>
        <v>5</v>
      </c>
      <c r="D34" s="2">
        <v>20</v>
      </c>
      <c r="E34" s="24">
        <v>30</v>
      </c>
      <c r="F34" s="8">
        <v>-10</v>
      </c>
      <c r="G34" s="9">
        <v>7</v>
      </c>
      <c r="H34" s="14">
        <v>13.4</v>
      </c>
      <c r="I34" s="2" t="s">
        <v>14</v>
      </c>
      <c r="J34" s="2"/>
      <c r="K34" s="2"/>
      <c r="L34" s="9"/>
      <c r="M34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0,42052030OK14</v>
      </c>
    </row>
    <row r="35" spans="1:13" x14ac:dyDescent="0.25">
      <c r="A35" s="109" t="s">
        <v>13</v>
      </c>
      <c r="B35" s="119" t="s">
        <v>13</v>
      </c>
      <c r="C35" s="119" t="s">
        <v>13</v>
      </c>
      <c r="D35" s="2" t="s">
        <v>13</v>
      </c>
      <c r="E35" s="24" t="s">
        <v>13</v>
      </c>
      <c r="F35" s="8">
        <v>-10</v>
      </c>
      <c r="G35" s="9">
        <v>12</v>
      </c>
      <c r="H35" s="14"/>
      <c r="I35" s="2"/>
      <c r="J35" s="2"/>
      <c r="K35" s="2"/>
      <c r="L35" s="9" t="s">
        <v>16</v>
      </c>
      <c r="M35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-----Frys innan täck</v>
      </c>
    </row>
    <row r="36" spans="1:13" ht="15.75" thickBot="1" x14ac:dyDescent="0.3">
      <c r="A36" s="110" t="s">
        <v>13</v>
      </c>
      <c r="B36" s="112" t="s">
        <v>13</v>
      </c>
      <c r="C36" s="112" t="s">
        <v>13</v>
      </c>
      <c r="D36" s="25" t="s">
        <v>13</v>
      </c>
      <c r="E36" s="26" t="s">
        <v>13</v>
      </c>
      <c r="F36" s="10">
        <v>-10</v>
      </c>
      <c r="G36" s="12">
        <v>20</v>
      </c>
      <c r="H36" s="15"/>
      <c r="I36" s="25"/>
      <c r="J36" s="25"/>
      <c r="K36" s="25"/>
      <c r="L36" s="12" t="s">
        <v>16</v>
      </c>
      <c r="M36" s="20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-----Frys innan täck</v>
      </c>
    </row>
    <row r="37" spans="1:13" x14ac:dyDescent="0.25">
      <c r="A37" s="108">
        <v>0.3</v>
      </c>
      <c r="B37" s="111">
        <f>Förutsättningar!M$25</f>
        <v>15</v>
      </c>
      <c r="C37" s="111">
        <f>Förutsättningar!N$25</f>
        <v>5</v>
      </c>
      <c r="D37" s="21">
        <v>20</v>
      </c>
      <c r="E37" s="23">
        <v>50</v>
      </c>
      <c r="F37" s="5">
        <v>-15</v>
      </c>
      <c r="G37" s="7">
        <v>0</v>
      </c>
      <c r="H37" s="13">
        <v>13.9</v>
      </c>
      <c r="I37" s="21" t="s">
        <v>14</v>
      </c>
      <c r="J37" s="21"/>
      <c r="K37" s="21"/>
      <c r="L37" s="7"/>
      <c r="M37" s="18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0,31552050OK14</v>
      </c>
    </row>
    <row r="38" spans="1:13" x14ac:dyDescent="0.25">
      <c r="A38" s="109">
        <v>0.2</v>
      </c>
      <c r="B38" s="119">
        <f>Förutsättningar!M$25</f>
        <v>15</v>
      </c>
      <c r="C38" s="119">
        <f>Förutsättningar!N$25</f>
        <v>5</v>
      </c>
      <c r="D38" s="2">
        <v>20</v>
      </c>
      <c r="E38" s="24">
        <v>50</v>
      </c>
      <c r="F38" s="8">
        <v>-15</v>
      </c>
      <c r="G38" s="9">
        <v>2</v>
      </c>
      <c r="H38" s="14">
        <v>13</v>
      </c>
      <c r="I38" s="2" t="s">
        <v>14</v>
      </c>
      <c r="J38" s="2"/>
      <c r="K38" s="2"/>
      <c r="L38" s="9"/>
      <c r="M38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0,21552050OK14</v>
      </c>
    </row>
    <row r="39" spans="1:13" x14ac:dyDescent="0.25">
      <c r="A39" s="109" t="s">
        <v>13</v>
      </c>
      <c r="B39" s="119" t="s">
        <v>13</v>
      </c>
      <c r="C39" s="119" t="s">
        <v>13</v>
      </c>
      <c r="D39" s="2" t="s">
        <v>13</v>
      </c>
      <c r="E39" s="24" t="s">
        <v>13</v>
      </c>
      <c r="F39" s="8">
        <v>-15</v>
      </c>
      <c r="G39" s="9">
        <v>7</v>
      </c>
      <c r="H39" s="14"/>
      <c r="I39" s="2"/>
      <c r="J39" s="2"/>
      <c r="K39" s="2"/>
      <c r="L39" s="9" t="s">
        <v>16</v>
      </c>
      <c r="M39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-----Frys innan täck</v>
      </c>
    </row>
    <row r="40" spans="1:13" x14ac:dyDescent="0.25">
      <c r="A40" s="109" t="s">
        <v>13</v>
      </c>
      <c r="B40" s="119" t="s">
        <v>13</v>
      </c>
      <c r="C40" s="119" t="s">
        <v>13</v>
      </c>
      <c r="D40" s="2" t="s">
        <v>13</v>
      </c>
      <c r="E40" s="24" t="s">
        <v>13</v>
      </c>
      <c r="F40" s="8">
        <v>-15</v>
      </c>
      <c r="G40" s="9">
        <v>12</v>
      </c>
      <c r="H40" s="14"/>
      <c r="I40" s="2"/>
      <c r="J40" s="2"/>
      <c r="K40" s="2"/>
      <c r="L40" s="9" t="s">
        <v>16</v>
      </c>
      <c r="M40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-----Frys innan täck</v>
      </c>
    </row>
    <row r="41" spans="1:13" ht="15.75" thickBot="1" x14ac:dyDescent="0.3">
      <c r="A41" s="110" t="s">
        <v>13</v>
      </c>
      <c r="B41" s="112" t="s">
        <v>13</v>
      </c>
      <c r="C41" s="112" t="s">
        <v>13</v>
      </c>
      <c r="D41" s="25" t="s">
        <v>13</v>
      </c>
      <c r="E41" s="26" t="s">
        <v>13</v>
      </c>
      <c r="F41" s="10">
        <v>-15</v>
      </c>
      <c r="G41" s="12">
        <v>20</v>
      </c>
      <c r="H41" s="15"/>
      <c r="I41" s="25"/>
      <c r="J41" s="25"/>
      <c r="K41" s="25"/>
      <c r="L41" s="12" t="s">
        <v>16</v>
      </c>
      <c r="M41" s="20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-----Frys innan täck</v>
      </c>
    </row>
    <row r="42" spans="1:13" x14ac:dyDescent="0.25">
      <c r="A42" s="109" t="s">
        <v>13</v>
      </c>
      <c r="B42" s="111" t="s">
        <v>13</v>
      </c>
      <c r="C42" s="111" t="s">
        <v>13</v>
      </c>
      <c r="D42" s="2" t="s">
        <v>13</v>
      </c>
      <c r="E42" s="24" t="s">
        <v>13</v>
      </c>
      <c r="F42" s="8">
        <v>-20</v>
      </c>
      <c r="G42" s="9">
        <v>0</v>
      </c>
      <c r="H42" s="14"/>
      <c r="I42" s="2"/>
      <c r="J42" s="2"/>
      <c r="K42" s="2"/>
      <c r="L42" s="9" t="s">
        <v>23</v>
      </c>
      <c r="M42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-----Når ej 70%</v>
      </c>
    </row>
    <row r="43" spans="1:13" x14ac:dyDescent="0.25">
      <c r="A43" s="109" t="s">
        <v>13</v>
      </c>
      <c r="B43" s="119" t="s">
        <v>13</v>
      </c>
      <c r="C43" s="119" t="s">
        <v>13</v>
      </c>
      <c r="D43" s="2" t="s">
        <v>13</v>
      </c>
      <c r="E43" s="24" t="s">
        <v>13</v>
      </c>
      <c r="F43" s="8">
        <v>-20</v>
      </c>
      <c r="G43" s="9">
        <v>2</v>
      </c>
      <c r="H43" s="14"/>
      <c r="I43" s="2"/>
      <c r="J43" s="2"/>
      <c r="K43" s="2"/>
      <c r="L43" s="9" t="s">
        <v>23</v>
      </c>
      <c r="M43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-----Når ej 70%</v>
      </c>
    </row>
    <row r="44" spans="1:13" x14ac:dyDescent="0.25">
      <c r="A44" s="109" t="s">
        <v>13</v>
      </c>
      <c r="B44" s="119" t="s">
        <v>13</v>
      </c>
      <c r="C44" s="119" t="s">
        <v>13</v>
      </c>
      <c r="D44" s="2" t="s">
        <v>13</v>
      </c>
      <c r="E44" s="24" t="s">
        <v>13</v>
      </c>
      <c r="F44" s="8">
        <v>-20</v>
      </c>
      <c r="G44" s="9">
        <v>7</v>
      </c>
      <c r="H44" s="14"/>
      <c r="I44" s="2"/>
      <c r="J44" s="2"/>
      <c r="K44" s="2"/>
      <c r="L44" s="9" t="s">
        <v>16</v>
      </c>
      <c r="M44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-----Frys innan täck</v>
      </c>
    </row>
    <row r="45" spans="1:13" x14ac:dyDescent="0.25">
      <c r="A45" s="109" t="s">
        <v>13</v>
      </c>
      <c r="B45" s="119" t="s">
        <v>13</v>
      </c>
      <c r="C45" s="119" t="s">
        <v>13</v>
      </c>
      <c r="D45" s="2" t="s">
        <v>13</v>
      </c>
      <c r="E45" s="24" t="s">
        <v>13</v>
      </c>
      <c r="F45" s="8">
        <v>-20</v>
      </c>
      <c r="G45" s="9">
        <v>12</v>
      </c>
      <c r="H45" s="14"/>
      <c r="I45" s="2"/>
      <c r="J45" s="2"/>
      <c r="K45" s="2"/>
      <c r="L45" s="9" t="s">
        <v>16</v>
      </c>
      <c r="M45" s="1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-----Frys innan täck</v>
      </c>
    </row>
    <row r="46" spans="1:13" ht="15.75" thickBot="1" x14ac:dyDescent="0.3">
      <c r="A46" s="110" t="s">
        <v>13</v>
      </c>
      <c r="B46" s="112" t="s">
        <v>13</v>
      </c>
      <c r="C46" s="112" t="s">
        <v>13</v>
      </c>
      <c r="D46" s="25" t="s">
        <v>13</v>
      </c>
      <c r="E46" s="26" t="s">
        <v>13</v>
      </c>
      <c r="F46" s="10">
        <v>-20</v>
      </c>
      <c r="G46" s="12">
        <v>20</v>
      </c>
      <c r="H46" s="15"/>
      <c r="I46" s="25"/>
      <c r="J46" s="25"/>
      <c r="K46" s="25"/>
      <c r="L46" s="12" t="s">
        <v>16</v>
      </c>
      <c r="M46" s="20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-----Frys innan täck</v>
      </c>
    </row>
  </sheetData>
  <conditionalFormatting sqref="H2:H46">
    <cfRule type="cellIs" dxfId="4" priority="1" operator="greaterThan">
      <formula>14</formula>
    </cfRule>
  </conditionalFormatting>
  <dataValidations count="1">
    <dataValidation type="list" allowBlank="1" showInputMessage="1" showErrorMessage="1" sqref="N2:N46" xr:uid="{CF5E1F7C-9D9B-4D94-AA62-8FD5CD4B4471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65E69E9-F063-43D8-876A-26C831DCE224}">
          <x14:formula1>
            <xm:f>Förutsättningar!$I$2:$I$3</xm:f>
          </x14:formula1>
          <xm:sqref>L2:L46</xm:sqref>
        </x14:dataValidation>
        <x14:dataValidation type="list" allowBlank="1" showInputMessage="1" showErrorMessage="1" xr:uid="{A4FCE850-AB24-462B-88CC-95CF326B996A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05276E0D-2ECE-4B7B-B5EF-E258F1BFD139}">
          <x14:formula1>
            <xm:f>Förutsättningar!$H$2:$H$6</xm:f>
          </x14:formula1>
          <xm:sqref>A2:A46</xm:sqref>
        </x14:dataValidation>
        <x14:dataValidation type="list" allowBlank="1" showInputMessage="1" showErrorMessage="1" xr:uid="{ED3B5101-CA5F-46D4-83E7-66A5709A0495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3290C5B6-B87B-4B87-A246-410162FC2F76}">
          <x14:formula1>
            <xm:f>Förutsättningar!$F$2</xm:f>
          </x14:formula1>
          <xm:sqref>I2:I46</xm:sqref>
        </x14:dataValidation>
        <x14:dataValidation type="list" allowBlank="1" showInputMessage="1" showErrorMessage="1" xr:uid="{C4B41672-8109-4912-B1B7-21EF5A233F17}">
          <x14:formula1>
            <xm:f>Förutsättningar!$G$2</xm:f>
          </x14:formula1>
          <xm:sqref>K2:K46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468B-9A33-40A2-89C0-19A38CB2E8FA}">
  <sheetPr codeName="Sheet12"/>
  <dimension ref="A1:V46"/>
  <sheetViews>
    <sheetView tabSelected="1" topLeftCell="A14" zoomScale="115" zoomScaleNormal="115" workbookViewId="0">
      <selection activeCell="A42" sqref="A42:E42"/>
    </sheetView>
  </sheetViews>
  <sheetFormatPr defaultRowHeight="15" x14ac:dyDescent="0.25"/>
  <cols>
    <col min="1" max="1" width="12.5703125" style="106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9" width="14.42578125" bestFit="1" customWidth="1"/>
    <col min="10" max="11" width="22.140625" bestFit="1" customWidth="1"/>
    <col min="12" max="12" width="14.425781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0.75" thickBot="1" x14ac:dyDescent="0.3">
      <c r="A1" s="120" t="s">
        <v>57</v>
      </c>
      <c r="B1" s="118" t="s">
        <v>0</v>
      </c>
      <c r="C1" s="118" t="s">
        <v>1</v>
      </c>
      <c r="D1" s="118" t="s">
        <v>2</v>
      </c>
      <c r="E1" s="118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7" t="s">
        <v>11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08">
        <v>0.4</v>
      </c>
      <c r="B2" s="111">
        <f>Förutsättningar!M$18</f>
        <v>15</v>
      </c>
      <c r="C2" s="111">
        <f>Förutsättningar!N$18</f>
        <v>20</v>
      </c>
      <c r="D2" s="22" t="s">
        <v>13</v>
      </c>
      <c r="E2" s="23" t="s">
        <v>13</v>
      </c>
      <c r="F2" s="6">
        <v>20</v>
      </c>
      <c r="G2" s="7">
        <v>0</v>
      </c>
      <c r="H2" s="13"/>
      <c r="I2" s="21" t="s">
        <v>14</v>
      </c>
      <c r="J2" s="21"/>
      <c r="K2" s="21"/>
      <c r="L2" s="7"/>
      <c r="M2" s="18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0,41520--OK14</v>
      </c>
      <c r="Q2" s="1"/>
    </row>
    <row r="3" spans="1:22" x14ac:dyDescent="0.25">
      <c r="A3" s="109">
        <v>0.4</v>
      </c>
      <c r="B3" s="119">
        <f>Förutsättningar!$M$18</f>
        <v>15</v>
      </c>
      <c r="C3" s="119">
        <f>Förutsättningar!N$18</f>
        <v>20</v>
      </c>
      <c r="D3" s="2" t="s">
        <v>13</v>
      </c>
      <c r="E3" s="24" t="s">
        <v>13</v>
      </c>
      <c r="F3">
        <v>20</v>
      </c>
      <c r="G3" s="9">
        <v>2</v>
      </c>
      <c r="H3" s="14"/>
      <c r="I3" s="2" t="s">
        <v>14</v>
      </c>
      <c r="J3" s="2"/>
      <c r="K3" s="2"/>
      <c r="L3" s="9"/>
      <c r="M3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0,41520--OK14</v>
      </c>
    </row>
    <row r="4" spans="1:22" x14ac:dyDescent="0.25">
      <c r="A4" s="109">
        <v>0.4</v>
      </c>
      <c r="B4" s="119">
        <f>Förutsättningar!$M$18</f>
        <v>15</v>
      </c>
      <c r="C4" s="119">
        <f>Förutsättningar!N$18</f>
        <v>20</v>
      </c>
      <c r="D4" s="2" t="s">
        <v>13</v>
      </c>
      <c r="E4" s="24" t="s">
        <v>13</v>
      </c>
      <c r="F4">
        <v>20</v>
      </c>
      <c r="G4" s="9">
        <v>7</v>
      </c>
      <c r="H4" s="14"/>
      <c r="I4" s="2" t="s">
        <v>14</v>
      </c>
      <c r="J4" s="2"/>
      <c r="K4" s="2"/>
      <c r="L4" s="9"/>
      <c r="M4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0,41520--OK14</v>
      </c>
    </row>
    <row r="5" spans="1:22" x14ac:dyDescent="0.25">
      <c r="A5" s="109">
        <v>0.4</v>
      </c>
      <c r="B5" s="119">
        <f>Förutsättningar!$M$18</f>
        <v>15</v>
      </c>
      <c r="C5" s="119">
        <f>Förutsättningar!N$18</f>
        <v>20</v>
      </c>
      <c r="D5" s="2" t="s">
        <v>13</v>
      </c>
      <c r="E5" s="24" t="s">
        <v>13</v>
      </c>
      <c r="F5">
        <v>20</v>
      </c>
      <c r="G5" s="9">
        <v>12</v>
      </c>
      <c r="H5" s="14"/>
      <c r="I5" s="2" t="s">
        <v>14</v>
      </c>
      <c r="J5" s="2"/>
      <c r="K5" s="2"/>
      <c r="L5" s="9"/>
      <c r="M5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0,41520--OK14</v>
      </c>
    </row>
    <row r="6" spans="1:22" ht="15.75" thickBot="1" x14ac:dyDescent="0.3">
      <c r="A6" s="110">
        <v>0.4</v>
      </c>
      <c r="B6" s="112">
        <f>Förutsättningar!$M$18</f>
        <v>15</v>
      </c>
      <c r="C6" s="112">
        <f>Förutsättningar!N$18</f>
        <v>20</v>
      </c>
      <c r="D6" s="25" t="s">
        <v>13</v>
      </c>
      <c r="E6" s="26" t="s">
        <v>13</v>
      </c>
      <c r="F6" s="11">
        <v>20</v>
      </c>
      <c r="G6" s="12">
        <v>20</v>
      </c>
      <c r="H6" s="15"/>
      <c r="I6" s="25" t="s">
        <v>14</v>
      </c>
      <c r="J6" s="25"/>
      <c r="K6" s="25"/>
      <c r="L6" s="12"/>
      <c r="M6" s="20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0,41520--OK14</v>
      </c>
    </row>
    <row r="7" spans="1:22" x14ac:dyDescent="0.25">
      <c r="A7" s="109">
        <v>0.4</v>
      </c>
      <c r="B7" s="119">
        <f>Förutsättningar!M$19</f>
        <v>15</v>
      </c>
      <c r="C7" s="119">
        <f>Förutsättningar!N$19</f>
        <v>15</v>
      </c>
      <c r="D7" s="2" t="s">
        <v>13</v>
      </c>
      <c r="E7" s="24" t="s">
        <v>13</v>
      </c>
      <c r="F7" s="5">
        <v>15</v>
      </c>
      <c r="G7" s="7">
        <v>0</v>
      </c>
      <c r="H7" s="13"/>
      <c r="I7" s="21" t="s">
        <v>14</v>
      </c>
      <c r="J7" s="21"/>
      <c r="K7" s="21"/>
      <c r="L7" s="7"/>
      <c r="M7" s="18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0,41515--OK14</v>
      </c>
    </row>
    <row r="8" spans="1:22" x14ac:dyDescent="0.25">
      <c r="A8" s="109">
        <v>0.4</v>
      </c>
      <c r="B8" s="119">
        <f>Förutsättningar!M$19</f>
        <v>15</v>
      </c>
      <c r="C8" s="119">
        <f>Förutsättningar!N$19</f>
        <v>15</v>
      </c>
      <c r="D8" s="2" t="s">
        <v>13</v>
      </c>
      <c r="E8" s="24" t="s">
        <v>13</v>
      </c>
      <c r="F8" s="8">
        <v>15</v>
      </c>
      <c r="G8" s="9">
        <v>2</v>
      </c>
      <c r="H8" s="14"/>
      <c r="I8" s="2" t="s">
        <v>14</v>
      </c>
      <c r="J8" s="2"/>
      <c r="K8" s="2"/>
      <c r="L8" s="9"/>
      <c r="M8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0,41515--OK14</v>
      </c>
    </row>
    <row r="9" spans="1:22" x14ac:dyDescent="0.25">
      <c r="A9" s="109">
        <v>0.4</v>
      </c>
      <c r="B9" s="119">
        <f>Förutsättningar!M$19</f>
        <v>15</v>
      </c>
      <c r="C9" s="119">
        <f>Förutsättningar!N$19</f>
        <v>15</v>
      </c>
      <c r="D9" s="2" t="s">
        <v>13</v>
      </c>
      <c r="E9" s="24" t="s">
        <v>13</v>
      </c>
      <c r="F9" s="8">
        <v>15</v>
      </c>
      <c r="G9" s="9">
        <v>7</v>
      </c>
      <c r="H9" s="14"/>
      <c r="I9" s="2" t="s">
        <v>14</v>
      </c>
      <c r="J9" s="2"/>
      <c r="K9" s="2"/>
      <c r="L9" s="9"/>
      <c r="M9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0,41515--OK14</v>
      </c>
    </row>
    <row r="10" spans="1:22" x14ac:dyDescent="0.25">
      <c r="A10" s="109">
        <v>0.4</v>
      </c>
      <c r="B10" s="119">
        <f>Förutsättningar!M$19</f>
        <v>15</v>
      </c>
      <c r="C10" s="119">
        <f>Förutsättningar!N$19</f>
        <v>15</v>
      </c>
      <c r="D10" s="2" t="s">
        <v>13</v>
      </c>
      <c r="E10" s="24" t="s">
        <v>13</v>
      </c>
      <c r="F10" s="8">
        <v>15</v>
      </c>
      <c r="G10" s="9">
        <v>12</v>
      </c>
      <c r="H10" s="14">
        <v>8.6</v>
      </c>
      <c r="I10" s="2" t="s">
        <v>14</v>
      </c>
      <c r="J10" s="2"/>
      <c r="K10" s="2"/>
      <c r="L10" s="9"/>
      <c r="M10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0,41515--OK14</v>
      </c>
    </row>
    <row r="11" spans="1:22" ht="15.75" thickBot="1" x14ac:dyDescent="0.3">
      <c r="A11" s="110">
        <v>0.4</v>
      </c>
      <c r="B11" s="112">
        <f>Förutsättningar!M$19</f>
        <v>15</v>
      </c>
      <c r="C11" s="112">
        <f>Förutsättningar!N$19</f>
        <v>15</v>
      </c>
      <c r="D11" s="25" t="s">
        <v>13</v>
      </c>
      <c r="E11" s="26" t="s">
        <v>13</v>
      </c>
      <c r="F11" s="10">
        <v>15</v>
      </c>
      <c r="G11" s="12">
        <v>20</v>
      </c>
      <c r="H11" s="15">
        <v>8.6</v>
      </c>
      <c r="I11" s="25" t="s">
        <v>14</v>
      </c>
      <c r="J11" s="25"/>
      <c r="K11" s="25"/>
      <c r="L11" s="12"/>
      <c r="M11" s="20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0,41515--OK14</v>
      </c>
    </row>
    <row r="12" spans="1:22" x14ac:dyDescent="0.25">
      <c r="A12" s="108">
        <v>0.4</v>
      </c>
      <c r="B12" s="111">
        <f>Förutsättningar!M$20</f>
        <v>15</v>
      </c>
      <c r="C12" s="111">
        <f>Förutsättningar!N$20</f>
        <v>10</v>
      </c>
      <c r="D12" s="21" t="s">
        <v>13</v>
      </c>
      <c r="E12" s="23" t="s">
        <v>13</v>
      </c>
      <c r="F12" s="5">
        <v>10</v>
      </c>
      <c r="G12" s="7">
        <v>0</v>
      </c>
      <c r="H12" s="13">
        <v>10.3</v>
      </c>
      <c r="I12" s="21" t="s">
        <v>14</v>
      </c>
      <c r="J12" s="21"/>
      <c r="K12" s="21"/>
      <c r="L12" s="7"/>
      <c r="M12" s="18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0,41510--OK14</v>
      </c>
    </row>
    <row r="13" spans="1:22" x14ac:dyDescent="0.25">
      <c r="A13" s="109">
        <v>0.4</v>
      </c>
      <c r="B13" s="119">
        <f>Förutsättningar!M$20</f>
        <v>15</v>
      </c>
      <c r="C13" s="119">
        <f>Förutsättningar!N$20</f>
        <v>10</v>
      </c>
      <c r="D13" s="2" t="s">
        <v>13</v>
      </c>
      <c r="E13" s="24" t="s">
        <v>13</v>
      </c>
      <c r="F13" s="8">
        <v>10</v>
      </c>
      <c r="G13" s="9">
        <v>2</v>
      </c>
      <c r="H13" s="14">
        <v>11.3</v>
      </c>
      <c r="I13" s="2" t="s">
        <v>14</v>
      </c>
      <c r="J13" s="2"/>
      <c r="K13" s="2"/>
      <c r="L13" s="9"/>
      <c r="M13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0,41510--OK14</v>
      </c>
    </row>
    <row r="14" spans="1:22" x14ac:dyDescent="0.25">
      <c r="A14" s="109">
        <v>0.4</v>
      </c>
      <c r="B14" s="119">
        <f>Förutsättningar!M$20</f>
        <v>15</v>
      </c>
      <c r="C14" s="119">
        <f>Förutsättningar!N$20</f>
        <v>10</v>
      </c>
      <c r="D14" s="2" t="s">
        <v>13</v>
      </c>
      <c r="E14" s="24" t="s">
        <v>13</v>
      </c>
      <c r="F14" s="8">
        <v>10</v>
      </c>
      <c r="G14" s="9">
        <v>7</v>
      </c>
      <c r="H14" s="14">
        <v>11.7</v>
      </c>
      <c r="I14" s="2" t="s">
        <v>14</v>
      </c>
      <c r="J14" s="2"/>
      <c r="K14" s="2"/>
      <c r="L14" s="9"/>
      <c r="M14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0,41510--OK14</v>
      </c>
    </row>
    <row r="15" spans="1:22" x14ac:dyDescent="0.25">
      <c r="A15" s="109">
        <v>0.4</v>
      </c>
      <c r="B15" s="119">
        <f>Förutsättningar!M$20</f>
        <v>15</v>
      </c>
      <c r="C15" s="119">
        <f>Förutsättningar!N$20</f>
        <v>10</v>
      </c>
      <c r="D15" s="2" t="s">
        <v>13</v>
      </c>
      <c r="E15" s="24" t="s">
        <v>13</v>
      </c>
      <c r="F15" s="8">
        <v>10</v>
      </c>
      <c r="G15" s="9">
        <v>12</v>
      </c>
      <c r="H15" s="14">
        <v>11.8</v>
      </c>
      <c r="I15" s="2" t="s">
        <v>14</v>
      </c>
      <c r="J15" s="2"/>
      <c r="K15" s="2"/>
      <c r="L15" s="9"/>
      <c r="M15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0,41510--OK14</v>
      </c>
    </row>
    <row r="16" spans="1:22" ht="15.75" thickBot="1" x14ac:dyDescent="0.3">
      <c r="A16" s="110">
        <v>0.4</v>
      </c>
      <c r="B16" s="112">
        <f>Förutsättningar!M$20</f>
        <v>15</v>
      </c>
      <c r="C16" s="112">
        <f>Förutsättningar!N$20</f>
        <v>10</v>
      </c>
      <c r="D16" s="25" t="s">
        <v>13</v>
      </c>
      <c r="E16" s="26" t="s">
        <v>13</v>
      </c>
      <c r="F16" s="10">
        <v>10</v>
      </c>
      <c r="G16" s="12">
        <v>20</v>
      </c>
      <c r="H16" s="15">
        <v>11.9</v>
      </c>
      <c r="I16" s="25" t="s">
        <v>14</v>
      </c>
      <c r="J16" s="25"/>
      <c r="K16" s="25"/>
      <c r="L16" s="12"/>
      <c r="M16" s="20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0,41510--OK14</v>
      </c>
    </row>
    <row r="17" spans="1:13" x14ac:dyDescent="0.25">
      <c r="A17" s="108">
        <v>0.4</v>
      </c>
      <c r="B17" s="111">
        <f>Förutsättningar!M$21</f>
        <v>20</v>
      </c>
      <c r="C17" s="111">
        <f>Förutsättningar!N$21</f>
        <v>5</v>
      </c>
      <c r="D17" s="21">
        <v>0</v>
      </c>
      <c r="E17" s="23">
        <v>10</v>
      </c>
      <c r="F17" s="5">
        <v>5</v>
      </c>
      <c r="G17" s="7">
        <v>0</v>
      </c>
      <c r="H17" s="13">
        <v>13.4</v>
      </c>
      <c r="I17" s="21" t="s">
        <v>14</v>
      </c>
      <c r="J17" s="21"/>
      <c r="K17" s="21"/>
      <c r="L17" s="7"/>
      <c r="M17" s="18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0,4205010OK14</v>
      </c>
    </row>
    <row r="18" spans="1:13" x14ac:dyDescent="0.25">
      <c r="A18" s="109">
        <v>0.4</v>
      </c>
      <c r="B18" s="119">
        <f>Förutsättningar!M$21</f>
        <v>20</v>
      </c>
      <c r="C18" s="119">
        <f>Förutsättningar!N$21</f>
        <v>5</v>
      </c>
      <c r="D18" s="2">
        <v>0</v>
      </c>
      <c r="E18" s="24">
        <v>10</v>
      </c>
      <c r="F18" s="8">
        <v>5</v>
      </c>
      <c r="G18" s="9">
        <v>2</v>
      </c>
      <c r="H18" s="14">
        <v>14</v>
      </c>
      <c r="I18" s="2" t="s">
        <v>14</v>
      </c>
      <c r="J18" s="2"/>
      <c r="K18" s="2"/>
      <c r="L18" s="9"/>
      <c r="M18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0,4205010OK14</v>
      </c>
    </row>
    <row r="19" spans="1:13" x14ac:dyDescent="0.25">
      <c r="A19" s="109">
        <v>0.4</v>
      </c>
      <c r="B19" s="119">
        <f>Förutsättningar!M$21</f>
        <v>20</v>
      </c>
      <c r="C19" s="119">
        <f>Förutsättningar!N$21</f>
        <v>5</v>
      </c>
      <c r="D19" s="2">
        <v>0</v>
      </c>
      <c r="E19" s="24">
        <v>20</v>
      </c>
      <c r="F19" s="8">
        <v>5</v>
      </c>
      <c r="G19" s="9">
        <v>7</v>
      </c>
      <c r="H19" s="14">
        <v>13.3</v>
      </c>
      <c r="I19" s="2" t="s">
        <v>14</v>
      </c>
      <c r="J19" s="2"/>
      <c r="K19" s="2"/>
      <c r="L19" s="9"/>
      <c r="M19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0,4205020OK14</v>
      </c>
    </row>
    <row r="20" spans="1:13" x14ac:dyDescent="0.25">
      <c r="A20" s="109">
        <v>0.4</v>
      </c>
      <c r="B20" s="119">
        <f>Förutsättningar!M$21</f>
        <v>20</v>
      </c>
      <c r="C20" s="119">
        <f>Förutsättningar!N$21</f>
        <v>5</v>
      </c>
      <c r="D20" s="2">
        <v>0</v>
      </c>
      <c r="E20" s="24">
        <v>10</v>
      </c>
      <c r="F20" s="8">
        <v>5</v>
      </c>
      <c r="G20" s="9">
        <v>12</v>
      </c>
      <c r="H20" s="14">
        <v>13.4</v>
      </c>
      <c r="I20" s="2" t="s">
        <v>14</v>
      </c>
      <c r="J20" s="2"/>
      <c r="K20" s="2"/>
      <c r="L20" s="9"/>
      <c r="M20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0,4205010OK14</v>
      </c>
    </row>
    <row r="21" spans="1:13" ht="15.75" thickBot="1" x14ac:dyDescent="0.3">
      <c r="A21" s="110">
        <v>0.4</v>
      </c>
      <c r="B21" s="112">
        <f>Förutsättningar!M$21</f>
        <v>20</v>
      </c>
      <c r="C21" s="112">
        <f>Förutsättningar!N$21</f>
        <v>5</v>
      </c>
      <c r="D21" s="25">
        <v>0</v>
      </c>
      <c r="E21" s="26">
        <v>20</v>
      </c>
      <c r="F21" s="10">
        <v>5</v>
      </c>
      <c r="G21" s="12">
        <v>20</v>
      </c>
      <c r="H21" s="15">
        <v>13.4</v>
      </c>
      <c r="I21" s="25" t="s">
        <v>14</v>
      </c>
      <c r="J21" s="25"/>
      <c r="K21" s="25"/>
      <c r="L21" s="12"/>
      <c r="M21" s="20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0,4205020OK14</v>
      </c>
    </row>
    <row r="22" spans="1:13" x14ac:dyDescent="0.25">
      <c r="A22" s="108">
        <v>0.4</v>
      </c>
      <c r="B22" s="111">
        <f>Förutsättningar!M$22</f>
        <v>20</v>
      </c>
      <c r="C22" s="111">
        <f>Förutsättningar!N$22</f>
        <v>5</v>
      </c>
      <c r="D22" s="21">
        <v>20</v>
      </c>
      <c r="E22" s="23" t="s">
        <v>15</v>
      </c>
      <c r="F22" s="5">
        <v>0</v>
      </c>
      <c r="G22" s="7">
        <v>0</v>
      </c>
      <c r="H22" s="13">
        <v>9.9</v>
      </c>
      <c r="I22" s="21" t="s">
        <v>14</v>
      </c>
      <c r="J22" s="21"/>
      <c r="K22" s="21"/>
      <c r="L22" s="7"/>
      <c r="M22" s="18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0,420520PresenningOK14</v>
      </c>
    </row>
    <row r="23" spans="1:13" x14ac:dyDescent="0.25">
      <c r="A23" s="109">
        <v>0.4</v>
      </c>
      <c r="B23" s="119">
        <f>Förutsättningar!M$22</f>
        <v>20</v>
      </c>
      <c r="C23" s="119">
        <f>Förutsättningar!N$22</f>
        <v>5</v>
      </c>
      <c r="D23" s="2">
        <v>20</v>
      </c>
      <c r="E23" s="24" t="s">
        <v>15</v>
      </c>
      <c r="F23" s="8">
        <v>0</v>
      </c>
      <c r="G23" s="9">
        <v>2</v>
      </c>
      <c r="H23" s="14">
        <v>12.8</v>
      </c>
      <c r="I23" s="2" t="s">
        <v>14</v>
      </c>
      <c r="J23" s="2"/>
      <c r="K23" s="2"/>
      <c r="L23" s="9"/>
      <c r="M23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0,420520PresenningOK14</v>
      </c>
    </row>
    <row r="24" spans="1:13" x14ac:dyDescent="0.25">
      <c r="A24" s="109">
        <v>0.4</v>
      </c>
      <c r="B24" s="119">
        <f>Förutsättningar!M$22</f>
        <v>20</v>
      </c>
      <c r="C24" s="119">
        <f>Förutsättningar!N$22</f>
        <v>5</v>
      </c>
      <c r="D24" s="2">
        <v>20</v>
      </c>
      <c r="E24" s="24">
        <v>10</v>
      </c>
      <c r="F24" s="8">
        <v>0</v>
      </c>
      <c r="G24" s="9">
        <v>7</v>
      </c>
      <c r="H24" s="14">
        <v>9.1</v>
      </c>
      <c r="I24" s="2" t="s">
        <v>14</v>
      </c>
      <c r="J24" s="2"/>
      <c r="K24" s="2"/>
      <c r="L24" s="9"/>
      <c r="M24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0,42052010OK14</v>
      </c>
    </row>
    <row r="25" spans="1:13" x14ac:dyDescent="0.25">
      <c r="A25" s="109">
        <v>0.4</v>
      </c>
      <c r="B25" s="119">
        <f>Förutsättningar!M$22</f>
        <v>20</v>
      </c>
      <c r="C25" s="119">
        <f>Förutsättningar!N$22</f>
        <v>5</v>
      </c>
      <c r="D25" s="2">
        <v>20</v>
      </c>
      <c r="E25" s="24">
        <v>10</v>
      </c>
      <c r="F25" s="8">
        <v>0</v>
      </c>
      <c r="G25" s="9">
        <v>12</v>
      </c>
      <c r="H25" s="14">
        <v>9.3000000000000007</v>
      </c>
      <c r="I25" s="2" t="s">
        <v>14</v>
      </c>
      <c r="J25" s="2"/>
      <c r="K25" s="2"/>
      <c r="L25" s="9"/>
      <c r="M25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0,42052010OK14</v>
      </c>
    </row>
    <row r="26" spans="1:13" ht="15.75" thickBot="1" x14ac:dyDescent="0.3">
      <c r="A26" s="110">
        <v>0.4</v>
      </c>
      <c r="B26" s="112">
        <f>Förutsättningar!M$22</f>
        <v>20</v>
      </c>
      <c r="C26" s="112">
        <f>Förutsättningar!N$22</f>
        <v>5</v>
      </c>
      <c r="D26" s="25">
        <v>20</v>
      </c>
      <c r="E26" s="26">
        <v>10</v>
      </c>
      <c r="F26" s="10">
        <v>0</v>
      </c>
      <c r="G26" s="12">
        <v>20</v>
      </c>
      <c r="H26" s="15">
        <v>9.4</v>
      </c>
      <c r="I26" s="25" t="s">
        <v>14</v>
      </c>
      <c r="J26" s="25"/>
      <c r="K26" s="25"/>
      <c r="L26" s="12"/>
      <c r="M26" s="20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0,42052010OK14</v>
      </c>
    </row>
    <row r="27" spans="1:13" x14ac:dyDescent="0.25">
      <c r="A27" s="108">
        <v>0.4</v>
      </c>
      <c r="B27" s="111">
        <f>Förutsättningar!M$23</f>
        <v>20</v>
      </c>
      <c r="C27" s="111">
        <f>Förutsättningar!N$23</f>
        <v>5</v>
      </c>
      <c r="D27" s="21">
        <v>20</v>
      </c>
      <c r="E27" s="23">
        <v>10</v>
      </c>
      <c r="F27" s="5">
        <v>-5</v>
      </c>
      <c r="G27" s="7">
        <v>0</v>
      </c>
      <c r="H27" s="13">
        <v>10.6</v>
      </c>
      <c r="I27" s="21" t="s">
        <v>14</v>
      </c>
      <c r="J27" s="21"/>
      <c r="K27" s="21"/>
      <c r="L27" s="7"/>
      <c r="M27" s="18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0,42052010OK14</v>
      </c>
    </row>
    <row r="28" spans="1:13" x14ac:dyDescent="0.25">
      <c r="A28" s="109">
        <v>0.4</v>
      </c>
      <c r="B28" s="119">
        <f>Förutsättningar!M$23</f>
        <v>20</v>
      </c>
      <c r="C28" s="119">
        <f>Förutsättningar!N$23</f>
        <v>5</v>
      </c>
      <c r="D28" s="2">
        <v>20</v>
      </c>
      <c r="E28" s="24">
        <v>10</v>
      </c>
      <c r="F28" s="8">
        <v>-5</v>
      </c>
      <c r="G28" s="9">
        <v>2</v>
      </c>
      <c r="H28" s="14">
        <v>12.2</v>
      </c>
      <c r="I28" s="2" t="s">
        <v>14</v>
      </c>
      <c r="J28" s="2"/>
      <c r="K28" s="2"/>
      <c r="L28" s="9"/>
      <c r="M28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0,42052010OK14</v>
      </c>
    </row>
    <row r="29" spans="1:13" x14ac:dyDescent="0.25">
      <c r="A29" s="109">
        <v>0.4</v>
      </c>
      <c r="B29" s="119">
        <f>Förutsättningar!M$23</f>
        <v>20</v>
      </c>
      <c r="C29" s="119">
        <f>Förutsättningar!N$23</f>
        <v>5</v>
      </c>
      <c r="D29" s="2">
        <v>20</v>
      </c>
      <c r="E29" s="24">
        <v>10</v>
      </c>
      <c r="F29" s="8">
        <v>-5</v>
      </c>
      <c r="G29" s="9">
        <v>7</v>
      </c>
      <c r="H29" s="14">
        <v>13.3</v>
      </c>
      <c r="I29" s="2" t="s">
        <v>14</v>
      </c>
      <c r="J29" s="2"/>
      <c r="K29" s="2"/>
      <c r="L29" s="9"/>
      <c r="M29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0,42052010OK14</v>
      </c>
    </row>
    <row r="30" spans="1:13" x14ac:dyDescent="0.25">
      <c r="A30" s="109">
        <v>0.4</v>
      </c>
      <c r="B30" s="119">
        <f>Förutsättningar!M$23</f>
        <v>20</v>
      </c>
      <c r="C30" s="119">
        <f>Förutsättningar!N$23</f>
        <v>5</v>
      </c>
      <c r="D30" s="2">
        <v>20</v>
      </c>
      <c r="E30" s="24">
        <v>10</v>
      </c>
      <c r="F30" s="8">
        <v>-5</v>
      </c>
      <c r="G30" s="9">
        <v>12</v>
      </c>
      <c r="H30" s="14">
        <v>13.6</v>
      </c>
      <c r="I30" s="2" t="s">
        <v>14</v>
      </c>
      <c r="J30" s="2"/>
      <c r="K30" s="2"/>
      <c r="L30" s="9"/>
      <c r="M30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0,42052010OK14</v>
      </c>
    </row>
    <row r="31" spans="1:13" ht="15.75" thickBot="1" x14ac:dyDescent="0.3">
      <c r="A31" s="110">
        <v>0.4</v>
      </c>
      <c r="B31" s="112">
        <f>Förutsättningar!M$23</f>
        <v>20</v>
      </c>
      <c r="C31" s="112">
        <f>Förutsättningar!N$23</f>
        <v>5</v>
      </c>
      <c r="D31" s="25">
        <v>20</v>
      </c>
      <c r="E31" s="26">
        <v>10</v>
      </c>
      <c r="F31" s="10">
        <v>-5</v>
      </c>
      <c r="G31" s="12">
        <v>20</v>
      </c>
      <c r="H31" s="15">
        <v>13.8</v>
      </c>
      <c r="I31" s="25" t="s">
        <v>14</v>
      </c>
      <c r="J31" s="25"/>
      <c r="K31" s="25"/>
      <c r="L31" s="12"/>
      <c r="M31" s="20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0,42052010OK14</v>
      </c>
    </row>
    <row r="32" spans="1:13" x14ac:dyDescent="0.25">
      <c r="A32" s="108">
        <v>0.4</v>
      </c>
      <c r="B32" s="111">
        <f>Förutsättningar!M$24</f>
        <v>20</v>
      </c>
      <c r="C32" s="111">
        <f>Förutsättningar!N$24</f>
        <v>5</v>
      </c>
      <c r="D32" s="21">
        <v>20</v>
      </c>
      <c r="E32" s="23">
        <v>20</v>
      </c>
      <c r="F32" s="5">
        <v>-10</v>
      </c>
      <c r="G32" s="7">
        <v>0</v>
      </c>
      <c r="H32" s="13">
        <v>13.1</v>
      </c>
      <c r="I32" s="21" t="s">
        <v>14</v>
      </c>
      <c r="J32" s="21"/>
      <c r="K32" s="21"/>
      <c r="L32" s="7"/>
      <c r="M32" s="18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0,42052020OK14</v>
      </c>
    </row>
    <row r="33" spans="1:13" x14ac:dyDescent="0.25">
      <c r="A33" s="109">
        <v>0.4</v>
      </c>
      <c r="B33" s="119">
        <f>Förutsättningar!M$24</f>
        <v>20</v>
      </c>
      <c r="C33" s="119">
        <f>Förutsättningar!N$24</f>
        <v>5</v>
      </c>
      <c r="D33" s="2">
        <v>20</v>
      </c>
      <c r="E33" s="24">
        <v>30</v>
      </c>
      <c r="F33" s="8">
        <v>-10</v>
      </c>
      <c r="G33" s="9">
        <v>2</v>
      </c>
      <c r="H33" s="14">
        <v>12.3</v>
      </c>
      <c r="I33" s="2" t="s">
        <v>14</v>
      </c>
      <c r="J33" s="2"/>
      <c r="K33" s="2"/>
      <c r="L33" s="9"/>
      <c r="M33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0,42052030OK14</v>
      </c>
    </row>
    <row r="34" spans="1:13" x14ac:dyDescent="0.25">
      <c r="A34" s="109">
        <v>0.4</v>
      </c>
      <c r="B34" s="119">
        <f>Förutsättningar!M$24</f>
        <v>20</v>
      </c>
      <c r="C34" s="119">
        <f>Förutsättningar!N$24</f>
        <v>5</v>
      </c>
      <c r="D34" s="2">
        <v>20</v>
      </c>
      <c r="E34" s="24">
        <v>30</v>
      </c>
      <c r="F34" s="8">
        <v>-10</v>
      </c>
      <c r="G34" s="9">
        <v>7</v>
      </c>
      <c r="H34" s="14">
        <v>12.9</v>
      </c>
      <c r="I34" s="2" t="s">
        <v>14</v>
      </c>
      <c r="J34" s="2"/>
      <c r="K34" s="2"/>
      <c r="L34" s="9"/>
      <c r="M34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0,42052030OK14</v>
      </c>
    </row>
    <row r="35" spans="1:13" x14ac:dyDescent="0.25">
      <c r="A35" s="109" t="s">
        <v>13</v>
      </c>
      <c r="B35" s="119" t="s">
        <v>13</v>
      </c>
      <c r="C35" s="119" t="s">
        <v>13</v>
      </c>
      <c r="D35" s="2" t="s">
        <v>13</v>
      </c>
      <c r="E35" s="24" t="s">
        <v>13</v>
      </c>
      <c r="F35" s="8">
        <v>-10</v>
      </c>
      <c r="G35" s="9">
        <v>12</v>
      </c>
      <c r="H35" s="14"/>
      <c r="I35" s="2"/>
      <c r="J35" s="2"/>
      <c r="K35" s="2"/>
      <c r="L35" s="9" t="s">
        <v>16</v>
      </c>
      <c r="M35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-----Frys innan täck</v>
      </c>
    </row>
    <row r="36" spans="1:13" ht="15.75" thickBot="1" x14ac:dyDescent="0.3">
      <c r="A36" s="110" t="s">
        <v>13</v>
      </c>
      <c r="B36" s="112" t="s">
        <v>13</v>
      </c>
      <c r="C36" s="112" t="s">
        <v>13</v>
      </c>
      <c r="D36" s="25" t="s">
        <v>13</v>
      </c>
      <c r="E36" s="26" t="s">
        <v>13</v>
      </c>
      <c r="F36" s="10">
        <v>-10</v>
      </c>
      <c r="G36" s="12">
        <v>20</v>
      </c>
      <c r="H36" s="15"/>
      <c r="I36" s="25"/>
      <c r="J36" s="25"/>
      <c r="K36" s="25"/>
      <c r="L36" s="12" t="s">
        <v>16</v>
      </c>
      <c r="M36" s="20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-----Frys innan täck</v>
      </c>
    </row>
    <row r="37" spans="1:13" x14ac:dyDescent="0.25">
      <c r="A37" s="108">
        <v>0.3</v>
      </c>
      <c r="B37" s="111">
        <f>Förutsättningar!M$25</f>
        <v>15</v>
      </c>
      <c r="C37" s="111">
        <f>Förutsättningar!N$25</f>
        <v>5</v>
      </c>
      <c r="D37" s="21">
        <v>20</v>
      </c>
      <c r="E37" s="23">
        <v>50</v>
      </c>
      <c r="F37" s="5">
        <v>-15</v>
      </c>
      <c r="G37" s="7">
        <v>0</v>
      </c>
      <c r="H37" s="13">
        <v>12.3</v>
      </c>
      <c r="I37" s="21" t="s">
        <v>14</v>
      </c>
      <c r="J37" s="21"/>
      <c r="K37" s="21"/>
      <c r="L37" s="7"/>
      <c r="M37" s="18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0,31552050OK14</v>
      </c>
    </row>
    <row r="38" spans="1:13" x14ac:dyDescent="0.25">
      <c r="A38" s="109">
        <v>0.3</v>
      </c>
      <c r="B38" s="119">
        <f>Förutsättningar!M$25</f>
        <v>15</v>
      </c>
      <c r="C38" s="119">
        <f>Förutsättningar!N$25</f>
        <v>5</v>
      </c>
      <c r="D38" s="2">
        <v>20</v>
      </c>
      <c r="E38" s="24">
        <v>50</v>
      </c>
      <c r="F38" s="8">
        <v>-15</v>
      </c>
      <c r="G38" s="9">
        <v>2</v>
      </c>
      <c r="H38" s="14">
        <v>12.8</v>
      </c>
      <c r="I38" s="2" t="s">
        <v>14</v>
      </c>
      <c r="J38" s="2"/>
      <c r="K38" s="2"/>
      <c r="L38" s="9"/>
      <c r="M38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0,31552050OK14</v>
      </c>
    </row>
    <row r="39" spans="1:13" x14ac:dyDescent="0.25">
      <c r="A39" s="109" t="s">
        <v>13</v>
      </c>
      <c r="B39" s="119" t="s">
        <v>13</v>
      </c>
      <c r="C39" s="119" t="s">
        <v>13</v>
      </c>
      <c r="D39" s="2" t="s">
        <v>13</v>
      </c>
      <c r="E39" s="24" t="s">
        <v>13</v>
      </c>
      <c r="F39" s="8">
        <v>-15</v>
      </c>
      <c r="G39" s="9">
        <v>7</v>
      </c>
      <c r="H39" s="14"/>
      <c r="I39" s="2"/>
      <c r="J39" s="2"/>
      <c r="K39" s="2"/>
      <c r="L39" s="9" t="s">
        <v>16</v>
      </c>
      <c r="M39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-----Frys innan täck</v>
      </c>
    </row>
    <row r="40" spans="1:13" x14ac:dyDescent="0.25">
      <c r="A40" s="109" t="s">
        <v>13</v>
      </c>
      <c r="B40" s="119" t="s">
        <v>13</v>
      </c>
      <c r="C40" s="119" t="s">
        <v>13</v>
      </c>
      <c r="D40" s="2" t="s">
        <v>13</v>
      </c>
      <c r="E40" s="24" t="s">
        <v>13</v>
      </c>
      <c r="F40" s="8">
        <v>-15</v>
      </c>
      <c r="G40" s="9">
        <v>12</v>
      </c>
      <c r="H40" s="14"/>
      <c r="I40" s="2"/>
      <c r="J40" s="2"/>
      <c r="K40" s="2"/>
      <c r="L40" s="9" t="s">
        <v>16</v>
      </c>
      <c r="M40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-----Frys innan täck</v>
      </c>
    </row>
    <row r="41" spans="1:13" ht="15.75" thickBot="1" x14ac:dyDescent="0.3">
      <c r="A41" s="110" t="s">
        <v>13</v>
      </c>
      <c r="B41" s="112" t="s">
        <v>13</v>
      </c>
      <c r="C41" s="112" t="s">
        <v>13</v>
      </c>
      <c r="D41" s="25" t="s">
        <v>13</v>
      </c>
      <c r="E41" s="26" t="s">
        <v>13</v>
      </c>
      <c r="F41" s="10">
        <v>-15</v>
      </c>
      <c r="G41" s="12">
        <v>20</v>
      </c>
      <c r="H41" s="15"/>
      <c r="I41" s="25"/>
      <c r="J41" s="25"/>
      <c r="K41" s="25"/>
      <c r="L41" s="12" t="s">
        <v>16</v>
      </c>
      <c r="M41" s="20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-----Frys innan täck</v>
      </c>
    </row>
    <row r="42" spans="1:13" x14ac:dyDescent="0.25">
      <c r="A42" s="109">
        <v>0.1</v>
      </c>
      <c r="B42" s="111">
        <v>10</v>
      </c>
      <c r="C42" s="111">
        <v>5</v>
      </c>
      <c r="D42" s="2">
        <v>20</v>
      </c>
      <c r="E42" s="24">
        <v>50</v>
      </c>
      <c r="F42" s="8">
        <v>-20</v>
      </c>
      <c r="G42" s="9">
        <v>0</v>
      </c>
      <c r="H42" s="14">
        <v>12.8</v>
      </c>
      <c r="I42" s="2" t="s">
        <v>14</v>
      </c>
      <c r="J42" s="2"/>
      <c r="K42" s="2"/>
      <c r="L42" s="9"/>
      <c r="M42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0,11052050OK14</v>
      </c>
    </row>
    <row r="43" spans="1:13" x14ac:dyDescent="0.25">
      <c r="A43" s="109">
        <v>0.1</v>
      </c>
      <c r="B43" s="119">
        <f>Förutsättningar!M$26</f>
        <v>10</v>
      </c>
      <c r="C43" s="119">
        <f>Förutsättningar!N$26</f>
        <v>5</v>
      </c>
      <c r="D43" s="2">
        <v>20</v>
      </c>
      <c r="E43" s="24">
        <v>50</v>
      </c>
      <c r="F43" s="8">
        <v>-20</v>
      </c>
      <c r="G43" s="9">
        <v>2</v>
      </c>
      <c r="H43" s="14">
        <v>13.8</v>
      </c>
      <c r="I43" s="2" t="s">
        <v>14</v>
      </c>
      <c r="J43" s="2"/>
      <c r="K43" s="2"/>
      <c r="L43" s="9"/>
      <c r="M43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0,11052050OK14</v>
      </c>
    </row>
    <row r="44" spans="1:13" x14ac:dyDescent="0.25">
      <c r="A44" s="109" t="s">
        <v>13</v>
      </c>
      <c r="B44" s="119" t="s">
        <v>13</v>
      </c>
      <c r="C44" s="119" t="s">
        <v>13</v>
      </c>
      <c r="D44" s="2" t="s">
        <v>13</v>
      </c>
      <c r="E44" s="24" t="s">
        <v>13</v>
      </c>
      <c r="F44" s="8">
        <v>-20</v>
      </c>
      <c r="G44" s="9">
        <v>7</v>
      </c>
      <c r="H44" s="14"/>
      <c r="I44" s="2"/>
      <c r="J44" s="2"/>
      <c r="K44" s="2"/>
      <c r="L44" s="9" t="s">
        <v>16</v>
      </c>
      <c r="M44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-----Frys innan täck</v>
      </c>
    </row>
    <row r="45" spans="1:13" x14ac:dyDescent="0.25">
      <c r="A45" s="109" t="s">
        <v>13</v>
      </c>
      <c r="B45" s="119" t="s">
        <v>13</v>
      </c>
      <c r="C45" s="119" t="s">
        <v>13</v>
      </c>
      <c r="D45" s="2" t="s">
        <v>13</v>
      </c>
      <c r="E45" s="24" t="s">
        <v>13</v>
      </c>
      <c r="F45" s="8">
        <v>-20</v>
      </c>
      <c r="G45" s="9">
        <v>12</v>
      </c>
      <c r="H45" s="14"/>
      <c r="I45" s="2"/>
      <c r="J45" s="2"/>
      <c r="K45" s="2"/>
      <c r="L45" s="9" t="s">
        <v>16</v>
      </c>
      <c r="M45" s="1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-----Frys innan täck</v>
      </c>
    </row>
    <row r="46" spans="1:13" ht="15.75" thickBot="1" x14ac:dyDescent="0.3">
      <c r="A46" s="110" t="s">
        <v>13</v>
      </c>
      <c r="B46" s="112" t="s">
        <v>13</v>
      </c>
      <c r="C46" s="112" t="s">
        <v>13</v>
      </c>
      <c r="D46" s="25" t="s">
        <v>13</v>
      </c>
      <c r="E46" s="26" t="s">
        <v>13</v>
      </c>
      <c r="F46" s="10">
        <v>-20</v>
      </c>
      <c r="G46" s="12">
        <v>20</v>
      </c>
      <c r="H46" s="15"/>
      <c r="I46" s="25"/>
      <c r="J46" s="25"/>
      <c r="K46" s="25"/>
      <c r="L46" s="12" t="s">
        <v>16</v>
      </c>
      <c r="M46" s="20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-----Frys innan täck</v>
      </c>
    </row>
  </sheetData>
  <conditionalFormatting sqref="H2:H46">
    <cfRule type="cellIs" dxfId="3" priority="1" operator="greaterThan">
      <formula>14</formula>
    </cfRule>
  </conditionalFormatting>
  <dataValidations count="1">
    <dataValidation type="list" allowBlank="1" showInputMessage="1" showErrorMessage="1" sqref="N2:N46" xr:uid="{4C3F61B5-BA77-4203-B225-C5AF4A20B408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E1097A4-C776-47E1-AF97-2A1FF540E7E8}">
          <x14:formula1>
            <xm:f>Förutsättningar!$I$2:$I$3</xm:f>
          </x14:formula1>
          <xm:sqref>L2:L46</xm:sqref>
        </x14:dataValidation>
        <x14:dataValidation type="list" allowBlank="1" showInputMessage="1" showErrorMessage="1" xr:uid="{CFB25B09-4E27-4C20-A626-076A4793D165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2C047A39-8318-4AA5-BC6C-BCAF68BE557C}">
          <x14:formula1>
            <xm:f>Förutsättningar!$H$2:$H$6</xm:f>
          </x14:formula1>
          <xm:sqref>A2:A46</xm:sqref>
        </x14:dataValidation>
        <x14:dataValidation type="list" allowBlank="1" showInputMessage="1" showErrorMessage="1" xr:uid="{DFCCD4CF-7703-4BD6-AA4E-4D2B8E7C36D0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2C3A7268-6276-4BB4-9C97-B78D7AF98530}">
          <x14:formula1>
            <xm:f>Förutsättningar!$F$2</xm:f>
          </x14:formula1>
          <xm:sqref>I2:I46</xm:sqref>
        </x14:dataValidation>
        <x14:dataValidation type="list" allowBlank="1" showInputMessage="1" showErrorMessage="1" xr:uid="{590A39BA-6F50-4593-851D-79BC933F4185}">
          <x14:formula1>
            <xm:f>Förutsättningar!$G$2</xm:f>
          </x14:formula1>
          <xm:sqref>K2:K46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A564-89DD-421A-A239-A1F7CB34BEA3}">
  <sheetPr codeName="Sheet2"/>
  <dimension ref="A1:V46"/>
  <sheetViews>
    <sheetView zoomScale="115" zoomScaleNormal="115" workbookViewId="0">
      <selection activeCell="D1" sqref="D1"/>
    </sheetView>
  </sheetViews>
  <sheetFormatPr defaultRowHeight="15" x14ac:dyDescent="0.25"/>
  <cols>
    <col min="1" max="1" width="12.5703125" style="106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9" width="14.42578125" bestFit="1" customWidth="1"/>
    <col min="10" max="11" width="22.140625" bestFit="1" customWidth="1"/>
    <col min="12" max="12" width="14.425781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0.75" thickBot="1" x14ac:dyDescent="0.3">
      <c r="A1" s="120" t="s">
        <v>57</v>
      </c>
      <c r="B1" s="118" t="s">
        <v>0</v>
      </c>
      <c r="C1" s="118" t="s">
        <v>1</v>
      </c>
      <c r="D1" s="118" t="s">
        <v>2</v>
      </c>
      <c r="E1" s="118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7" t="s">
        <v>11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08">
        <v>0.4</v>
      </c>
      <c r="B2" s="111">
        <f>Förutsättningar!M$18</f>
        <v>15</v>
      </c>
      <c r="C2" s="111">
        <f>Förutsättningar!N$18</f>
        <v>20</v>
      </c>
      <c r="D2" s="22" t="s">
        <v>13</v>
      </c>
      <c r="E2" s="23" t="s">
        <v>13</v>
      </c>
      <c r="F2" s="6">
        <v>20</v>
      </c>
      <c r="G2" s="7">
        <v>0</v>
      </c>
      <c r="H2" s="13">
        <v>5.4</v>
      </c>
      <c r="I2" s="21" t="s">
        <v>14</v>
      </c>
      <c r="J2" s="21"/>
      <c r="K2" s="21"/>
      <c r="L2" s="7"/>
      <c r="M2" s="18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0,41520--OK14</v>
      </c>
      <c r="Q2" s="1"/>
    </row>
    <row r="3" spans="1:22" x14ac:dyDescent="0.25">
      <c r="A3" s="109">
        <v>0.4</v>
      </c>
      <c r="B3" s="119">
        <f>Förutsättningar!$M$18</f>
        <v>15</v>
      </c>
      <c r="C3" s="119">
        <f>Förutsättningar!N$18</f>
        <v>20</v>
      </c>
      <c r="D3" s="2" t="s">
        <v>13</v>
      </c>
      <c r="E3" s="24" t="s">
        <v>13</v>
      </c>
      <c r="F3">
        <v>20</v>
      </c>
      <c r="G3" s="9">
        <v>2</v>
      </c>
      <c r="H3" s="14">
        <v>6</v>
      </c>
      <c r="I3" s="2" t="s">
        <v>14</v>
      </c>
      <c r="J3" s="2"/>
      <c r="K3" s="2"/>
      <c r="L3" s="9"/>
      <c r="M3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0,41520--OK14</v>
      </c>
    </row>
    <row r="4" spans="1:22" x14ac:dyDescent="0.25">
      <c r="A4" s="109">
        <v>0.4</v>
      </c>
      <c r="B4" s="119">
        <f>Förutsättningar!$M$18</f>
        <v>15</v>
      </c>
      <c r="C4" s="119">
        <f>Förutsättningar!N$18</f>
        <v>20</v>
      </c>
      <c r="D4" s="2" t="s">
        <v>13</v>
      </c>
      <c r="E4" s="24" t="s">
        <v>13</v>
      </c>
      <c r="F4">
        <v>20</v>
      </c>
      <c r="G4" s="9">
        <v>7</v>
      </c>
      <c r="H4" s="14">
        <v>6.3</v>
      </c>
      <c r="I4" s="2" t="s">
        <v>14</v>
      </c>
      <c r="J4" s="2"/>
      <c r="K4" s="2"/>
      <c r="L4" s="9"/>
      <c r="M4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0,41520--OK14</v>
      </c>
    </row>
    <row r="5" spans="1:22" x14ac:dyDescent="0.25">
      <c r="A5" s="109">
        <v>0.4</v>
      </c>
      <c r="B5" s="119">
        <f>Förutsättningar!$M$18</f>
        <v>15</v>
      </c>
      <c r="C5" s="119">
        <f>Förutsättningar!N$18</f>
        <v>20</v>
      </c>
      <c r="D5" s="2" t="s">
        <v>13</v>
      </c>
      <c r="E5" s="24" t="s">
        <v>13</v>
      </c>
      <c r="F5">
        <v>20</v>
      </c>
      <c r="G5" s="9">
        <v>12</v>
      </c>
      <c r="H5" s="14">
        <v>6.4</v>
      </c>
      <c r="I5" s="2" t="s">
        <v>14</v>
      </c>
      <c r="J5" s="2"/>
      <c r="K5" s="2"/>
      <c r="L5" s="9"/>
      <c r="M5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0,41520--OK14</v>
      </c>
    </row>
    <row r="6" spans="1:22" ht="15.75" thickBot="1" x14ac:dyDescent="0.3">
      <c r="A6" s="110">
        <v>0.4</v>
      </c>
      <c r="B6" s="112">
        <f>Förutsättningar!$M$18</f>
        <v>15</v>
      </c>
      <c r="C6" s="112">
        <f>Förutsättningar!N$18</f>
        <v>20</v>
      </c>
      <c r="D6" s="25" t="s">
        <v>13</v>
      </c>
      <c r="E6" s="26" t="s">
        <v>13</v>
      </c>
      <c r="F6" s="11">
        <v>20</v>
      </c>
      <c r="G6" s="12">
        <v>20</v>
      </c>
      <c r="H6" s="15">
        <v>6.4</v>
      </c>
      <c r="I6" s="25" t="s">
        <v>14</v>
      </c>
      <c r="J6" s="25"/>
      <c r="K6" s="25"/>
      <c r="L6" s="12"/>
      <c r="M6" s="20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0,41520--OK14</v>
      </c>
    </row>
    <row r="7" spans="1:22" x14ac:dyDescent="0.25">
      <c r="A7" s="109">
        <v>0.4</v>
      </c>
      <c r="B7" s="119">
        <f>Förutsättningar!M$19</f>
        <v>15</v>
      </c>
      <c r="C7" s="119">
        <f>Förutsättningar!N$19</f>
        <v>15</v>
      </c>
      <c r="D7" s="2" t="s">
        <v>13</v>
      </c>
      <c r="E7" s="24" t="s">
        <v>13</v>
      </c>
      <c r="F7" s="5">
        <v>15</v>
      </c>
      <c r="G7" s="7">
        <v>0</v>
      </c>
      <c r="H7" s="13">
        <v>7.1</v>
      </c>
      <c r="I7" s="21" t="s">
        <v>14</v>
      </c>
      <c r="J7" s="21"/>
      <c r="K7" s="21"/>
      <c r="L7" s="7"/>
      <c r="M7" s="18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0,41515--OK14</v>
      </c>
    </row>
    <row r="8" spans="1:22" x14ac:dyDescent="0.25">
      <c r="A8" s="109">
        <v>0.4</v>
      </c>
      <c r="B8" s="119">
        <f>Förutsättningar!M$19</f>
        <v>15</v>
      </c>
      <c r="C8" s="119">
        <f>Förutsättningar!N$19</f>
        <v>15</v>
      </c>
      <c r="D8" s="2" t="s">
        <v>13</v>
      </c>
      <c r="E8" s="24" t="s">
        <v>13</v>
      </c>
      <c r="F8" s="8">
        <v>15</v>
      </c>
      <c r="G8" s="9">
        <v>2</v>
      </c>
      <c r="H8" s="14">
        <v>8</v>
      </c>
      <c r="I8" s="2" t="s">
        <v>14</v>
      </c>
      <c r="J8" s="2"/>
      <c r="K8" s="2"/>
      <c r="L8" s="9"/>
      <c r="M8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0,41515--OK14</v>
      </c>
    </row>
    <row r="9" spans="1:22" x14ac:dyDescent="0.25">
      <c r="A9" s="109">
        <v>0.4</v>
      </c>
      <c r="B9" s="119">
        <f>Förutsättningar!M$19</f>
        <v>15</v>
      </c>
      <c r="C9" s="119">
        <f>Förutsättningar!N$19</f>
        <v>15</v>
      </c>
      <c r="D9" s="2" t="s">
        <v>13</v>
      </c>
      <c r="E9" s="24" t="s">
        <v>13</v>
      </c>
      <c r="F9" s="8">
        <v>15</v>
      </c>
      <c r="G9" s="9">
        <v>7</v>
      </c>
      <c r="H9" s="14">
        <v>8.3000000000000007</v>
      </c>
      <c r="I9" s="2" t="s">
        <v>14</v>
      </c>
      <c r="J9" s="2"/>
      <c r="K9" s="2"/>
      <c r="L9" s="9"/>
      <c r="M9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0,41515--OK14</v>
      </c>
    </row>
    <row r="10" spans="1:22" x14ac:dyDescent="0.25">
      <c r="A10" s="109">
        <v>0.4</v>
      </c>
      <c r="B10" s="119">
        <f>Förutsättningar!M$19</f>
        <v>15</v>
      </c>
      <c r="C10" s="119">
        <f>Förutsättningar!N$19</f>
        <v>15</v>
      </c>
      <c r="D10" s="2" t="s">
        <v>13</v>
      </c>
      <c r="E10" s="24" t="s">
        <v>13</v>
      </c>
      <c r="F10" s="8">
        <v>15</v>
      </c>
      <c r="G10" s="9">
        <v>12</v>
      </c>
      <c r="H10" s="14">
        <v>8.4</v>
      </c>
      <c r="I10" s="2" t="s">
        <v>14</v>
      </c>
      <c r="J10" s="2"/>
      <c r="K10" s="2"/>
      <c r="L10" s="9"/>
      <c r="M10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0,41515--OK14</v>
      </c>
    </row>
    <row r="11" spans="1:22" ht="15.75" thickBot="1" x14ac:dyDescent="0.3">
      <c r="A11" s="110">
        <v>0.4</v>
      </c>
      <c r="B11" s="112">
        <f>Förutsättningar!M$19</f>
        <v>15</v>
      </c>
      <c r="C11" s="112">
        <f>Förutsättningar!N$19</f>
        <v>15</v>
      </c>
      <c r="D11" s="25" t="s">
        <v>13</v>
      </c>
      <c r="E11" s="26" t="s">
        <v>13</v>
      </c>
      <c r="F11" s="10">
        <v>15</v>
      </c>
      <c r="G11" s="12">
        <v>20</v>
      </c>
      <c r="H11" s="15">
        <v>8.4</v>
      </c>
      <c r="I11" s="25" t="s">
        <v>14</v>
      </c>
      <c r="J11" s="25"/>
      <c r="K11" s="25"/>
      <c r="L11" s="12"/>
      <c r="M11" s="20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0,41515--OK14</v>
      </c>
    </row>
    <row r="12" spans="1:22" x14ac:dyDescent="0.25">
      <c r="A12" s="108">
        <v>0.4</v>
      </c>
      <c r="B12" s="111">
        <f>Förutsättningar!M$20</f>
        <v>15</v>
      </c>
      <c r="C12" s="111">
        <f>Förutsättningar!N$20</f>
        <v>10</v>
      </c>
      <c r="D12" s="21" t="s">
        <v>13</v>
      </c>
      <c r="E12" s="23" t="s">
        <v>13</v>
      </c>
      <c r="F12" s="5">
        <v>10</v>
      </c>
      <c r="G12" s="7">
        <v>0</v>
      </c>
      <c r="H12" s="13">
        <v>9.9</v>
      </c>
      <c r="I12" s="21" t="s">
        <v>14</v>
      </c>
      <c r="J12" s="21"/>
      <c r="K12" s="21"/>
      <c r="L12" s="7"/>
      <c r="M12" s="18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0,41510--OK14</v>
      </c>
    </row>
    <row r="13" spans="1:22" x14ac:dyDescent="0.25">
      <c r="A13" s="109">
        <v>0.4</v>
      </c>
      <c r="B13" s="119">
        <f>Förutsättningar!M$20</f>
        <v>15</v>
      </c>
      <c r="C13" s="119">
        <f>Förutsättningar!N$20</f>
        <v>10</v>
      </c>
      <c r="D13" s="2" t="s">
        <v>13</v>
      </c>
      <c r="E13" s="24" t="s">
        <v>13</v>
      </c>
      <c r="F13" s="8">
        <v>10</v>
      </c>
      <c r="G13" s="9">
        <v>2</v>
      </c>
      <c r="H13" s="14">
        <v>11</v>
      </c>
      <c r="I13" s="2" t="s">
        <v>14</v>
      </c>
      <c r="J13" s="2"/>
      <c r="K13" s="2"/>
      <c r="L13" s="9"/>
      <c r="M13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0,41510--OK14</v>
      </c>
    </row>
    <row r="14" spans="1:22" x14ac:dyDescent="0.25">
      <c r="A14" s="109">
        <v>0.4</v>
      </c>
      <c r="B14" s="119">
        <f>Förutsättningar!M$20</f>
        <v>15</v>
      </c>
      <c r="C14" s="119">
        <f>Förutsättningar!N$20</f>
        <v>10</v>
      </c>
      <c r="D14" s="2" t="s">
        <v>13</v>
      </c>
      <c r="E14" s="24" t="s">
        <v>13</v>
      </c>
      <c r="F14" s="8">
        <v>10</v>
      </c>
      <c r="G14" s="9">
        <v>7</v>
      </c>
      <c r="H14" s="14">
        <v>11.4</v>
      </c>
      <c r="I14" s="2" t="s">
        <v>14</v>
      </c>
      <c r="J14" s="2"/>
      <c r="K14" s="2"/>
      <c r="L14" s="9"/>
      <c r="M14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0,41510--OK14</v>
      </c>
    </row>
    <row r="15" spans="1:22" x14ac:dyDescent="0.25">
      <c r="A15" s="109">
        <v>0.4</v>
      </c>
      <c r="B15" s="119">
        <f>Förutsättningar!M$20</f>
        <v>15</v>
      </c>
      <c r="C15" s="119">
        <f>Förutsättningar!N$20</f>
        <v>10</v>
      </c>
      <c r="D15" s="2" t="s">
        <v>13</v>
      </c>
      <c r="E15" s="24" t="s">
        <v>13</v>
      </c>
      <c r="F15" s="8">
        <v>10</v>
      </c>
      <c r="G15" s="9">
        <v>12</v>
      </c>
      <c r="H15" s="14">
        <v>11.5</v>
      </c>
      <c r="I15" s="2" t="s">
        <v>14</v>
      </c>
      <c r="J15" s="2"/>
      <c r="K15" s="2"/>
      <c r="L15" s="9"/>
      <c r="M15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0,41510--OK14</v>
      </c>
    </row>
    <row r="16" spans="1:22" ht="15.75" thickBot="1" x14ac:dyDescent="0.3">
      <c r="A16" s="110">
        <v>0.4</v>
      </c>
      <c r="B16" s="112">
        <f>Förutsättningar!M$20</f>
        <v>15</v>
      </c>
      <c r="C16" s="112">
        <f>Förutsättningar!N$20</f>
        <v>10</v>
      </c>
      <c r="D16" s="25" t="s">
        <v>13</v>
      </c>
      <c r="E16" s="26" t="s">
        <v>13</v>
      </c>
      <c r="F16" s="10">
        <v>10</v>
      </c>
      <c r="G16" s="12">
        <v>20</v>
      </c>
      <c r="H16" s="15">
        <v>11.6</v>
      </c>
      <c r="I16" s="25" t="s">
        <v>14</v>
      </c>
      <c r="J16" s="25"/>
      <c r="K16" s="25"/>
      <c r="L16" s="12"/>
      <c r="M16" s="20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0,41510--OK14</v>
      </c>
    </row>
    <row r="17" spans="1:13" x14ac:dyDescent="0.25">
      <c r="A17" s="108">
        <v>0.4</v>
      </c>
      <c r="B17" s="111">
        <f>Förutsättningar!M$21</f>
        <v>20</v>
      </c>
      <c r="C17" s="111">
        <f>Förutsättningar!N$21</f>
        <v>5</v>
      </c>
      <c r="D17" s="21">
        <v>0</v>
      </c>
      <c r="E17" s="23" t="s">
        <v>15</v>
      </c>
      <c r="F17" s="5">
        <v>5</v>
      </c>
      <c r="G17" s="7">
        <v>0</v>
      </c>
      <c r="H17" s="13">
        <v>14</v>
      </c>
      <c r="I17" s="21" t="s">
        <v>14</v>
      </c>
      <c r="J17" s="21"/>
      <c r="K17" s="21"/>
      <c r="L17" s="7"/>
      <c r="M17" s="18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0,42050PresenningOK14</v>
      </c>
    </row>
    <row r="18" spans="1:13" x14ac:dyDescent="0.25">
      <c r="A18" s="109">
        <v>0.4</v>
      </c>
      <c r="B18" s="119">
        <f>Förutsättningar!M$21</f>
        <v>20</v>
      </c>
      <c r="C18" s="119">
        <f>Förutsättningar!N$21</f>
        <v>5</v>
      </c>
      <c r="D18" s="2">
        <v>0</v>
      </c>
      <c r="E18" s="24">
        <v>10</v>
      </c>
      <c r="F18" s="8">
        <v>5</v>
      </c>
      <c r="G18" s="9">
        <v>2</v>
      </c>
      <c r="H18" s="14">
        <v>13.4</v>
      </c>
      <c r="I18" s="2" t="s">
        <v>14</v>
      </c>
      <c r="J18" s="2"/>
      <c r="K18" s="2"/>
      <c r="L18" s="9"/>
      <c r="M18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0,4205010OK14</v>
      </c>
    </row>
    <row r="19" spans="1:13" x14ac:dyDescent="0.25">
      <c r="A19" s="109">
        <v>0.4</v>
      </c>
      <c r="B19" s="119">
        <f>Förutsättningar!M$21</f>
        <v>20</v>
      </c>
      <c r="C19" s="119">
        <f>Förutsättningar!N$21</f>
        <v>5</v>
      </c>
      <c r="D19" s="2">
        <v>0</v>
      </c>
      <c r="E19" s="24">
        <v>10</v>
      </c>
      <c r="F19" s="8">
        <v>5</v>
      </c>
      <c r="G19" s="9">
        <v>7</v>
      </c>
      <c r="H19" s="14">
        <v>13.8</v>
      </c>
      <c r="I19" s="2" t="s">
        <v>14</v>
      </c>
      <c r="J19" s="2"/>
      <c r="K19" s="2"/>
      <c r="L19" s="9"/>
      <c r="M19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0,4205010OK14</v>
      </c>
    </row>
    <row r="20" spans="1:13" x14ac:dyDescent="0.25">
      <c r="A20" s="109">
        <v>0.4</v>
      </c>
      <c r="B20" s="119">
        <f>Förutsättningar!M$21</f>
        <v>20</v>
      </c>
      <c r="C20" s="119">
        <f>Förutsättningar!N$21</f>
        <v>5</v>
      </c>
      <c r="D20" s="2">
        <v>0</v>
      </c>
      <c r="E20" s="24">
        <v>10</v>
      </c>
      <c r="F20" s="8">
        <v>5</v>
      </c>
      <c r="G20" s="9">
        <v>12</v>
      </c>
      <c r="H20" s="14">
        <v>13.9</v>
      </c>
      <c r="I20" s="2" t="s">
        <v>14</v>
      </c>
      <c r="J20" s="2"/>
      <c r="K20" s="2"/>
      <c r="L20" s="9"/>
      <c r="M20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0,4205010OK14</v>
      </c>
    </row>
    <row r="21" spans="1:13" ht="15.75" thickBot="1" x14ac:dyDescent="0.3">
      <c r="A21" s="110">
        <v>0.4</v>
      </c>
      <c r="B21" s="112">
        <f>Förutsättningar!M$21</f>
        <v>20</v>
      </c>
      <c r="C21" s="112">
        <f>Förutsättningar!N$21</f>
        <v>5</v>
      </c>
      <c r="D21" s="25">
        <v>0</v>
      </c>
      <c r="E21" s="26">
        <v>10</v>
      </c>
      <c r="F21" s="10">
        <v>5</v>
      </c>
      <c r="G21" s="12">
        <v>20</v>
      </c>
      <c r="H21" s="15">
        <v>14</v>
      </c>
      <c r="I21" s="25" t="s">
        <v>14</v>
      </c>
      <c r="J21" s="25"/>
      <c r="K21" s="25"/>
      <c r="L21" s="12"/>
      <c r="M21" s="20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0,4205010OK14</v>
      </c>
    </row>
    <row r="22" spans="1:13" x14ac:dyDescent="0.25">
      <c r="A22" s="108">
        <v>0.4</v>
      </c>
      <c r="B22" s="111">
        <f>Förutsättningar!M$22</f>
        <v>20</v>
      </c>
      <c r="C22" s="111">
        <f>Förutsättningar!N$22</f>
        <v>5</v>
      </c>
      <c r="D22" s="21">
        <v>20</v>
      </c>
      <c r="E22" s="23" t="s">
        <v>15</v>
      </c>
      <c r="F22" s="5">
        <v>0</v>
      </c>
      <c r="G22" s="7">
        <v>0</v>
      </c>
      <c r="H22" s="13">
        <v>9.5</v>
      </c>
      <c r="I22" s="21" t="s">
        <v>14</v>
      </c>
      <c r="J22" s="21"/>
      <c r="K22" s="21"/>
      <c r="L22" s="7"/>
      <c r="M22" s="18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0,420520PresenningOK14</v>
      </c>
    </row>
    <row r="23" spans="1:13" x14ac:dyDescent="0.25">
      <c r="A23" s="109">
        <v>0.4</v>
      </c>
      <c r="B23" s="119">
        <f>Förutsättningar!M$22</f>
        <v>20</v>
      </c>
      <c r="C23" s="119">
        <f>Förutsättningar!N$22</f>
        <v>5</v>
      </c>
      <c r="D23" s="2">
        <v>20</v>
      </c>
      <c r="E23" s="24" t="s">
        <v>15</v>
      </c>
      <c r="F23" s="8">
        <v>0</v>
      </c>
      <c r="G23" s="9">
        <v>2</v>
      </c>
      <c r="H23" s="14">
        <v>12.4</v>
      </c>
      <c r="I23" s="2" t="s">
        <v>14</v>
      </c>
      <c r="J23" s="2"/>
      <c r="K23" s="2"/>
      <c r="L23" s="9"/>
      <c r="M23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0,420520PresenningOK14</v>
      </c>
    </row>
    <row r="24" spans="1:13" x14ac:dyDescent="0.25">
      <c r="A24" s="109">
        <v>0.4</v>
      </c>
      <c r="B24" s="119">
        <f>Förutsättningar!M$22</f>
        <v>20</v>
      </c>
      <c r="C24" s="119">
        <f>Förutsättningar!N$22</f>
        <v>5</v>
      </c>
      <c r="D24" s="2">
        <v>20</v>
      </c>
      <c r="E24" s="24">
        <v>10</v>
      </c>
      <c r="F24" s="8">
        <v>0</v>
      </c>
      <c r="G24" s="9">
        <v>7</v>
      </c>
      <c r="H24" s="14">
        <v>8.6999999999999993</v>
      </c>
      <c r="I24" s="2" t="s">
        <v>14</v>
      </c>
      <c r="J24" s="2"/>
      <c r="K24" s="2"/>
      <c r="L24" s="9"/>
      <c r="M24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0,42052010OK14</v>
      </c>
    </row>
    <row r="25" spans="1:13" x14ac:dyDescent="0.25">
      <c r="A25" s="109">
        <v>0.4</v>
      </c>
      <c r="B25" s="119">
        <f>Förutsättningar!M$22</f>
        <v>20</v>
      </c>
      <c r="C25" s="119">
        <f>Förutsättningar!N$22</f>
        <v>5</v>
      </c>
      <c r="D25" s="2">
        <v>20</v>
      </c>
      <c r="E25" s="24">
        <v>10</v>
      </c>
      <c r="F25" s="8">
        <v>0</v>
      </c>
      <c r="G25" s="9">
        <v>12</v>
      </c>
      <c r="H25" s="14">
        <v>9</v>
      </c>
      <c r="I25" s="2" t="s">
        <v>14</v>
      </c>
      <c r="J25" s="2"/>
      <c r="K25" s="2"/>
      <c r="L25" s="9"/>
      <c r="M25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0,42052010OK14</v>
      </c>
    </row>
    <row r="26" spans="1:13" ht="15.75" thickBot="1" x14ac:dyDescent="0.3">
      <c r="A26" s="110">
        <v>0.4</v>
      </c>
      <c r="B26" s="112">
        <f>Förutsättningar!M$22</f>
        <v>20</v>
      </c>
      <c r="C26" s="112">
        <f>Förutsättningar!N$22</f>
        <v>5</v>
      </c>
      <c r="D26" s="25">
        <v>20</v>
      </c>
      <c r="E26" s="26">
        <v>10</v>
      </c>
      <c r="F26" s="10">
        <v>0</v>
      </c>
      <c r="G26" s="12">
        <v>20</v>
      </c>
      <c r="H26" s="15">
        <v>9.1</v>
      </c>
      <c r="I26" s="25" t="s">
        <v>14</v>
      </c>
      <c r="J26" s="25"/>
      <c r="K26" s="25"/>
      <c r="L26" s="12"/>
      <c r="M26" s="20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0,42052010OK14</v>
      </c>
    </row>
    <row r="27" spans="1:13" x14ac:dyDescent="0.25">
      <c r="A27" s="108">
        <v>0.4</v>
      </c>
      <c r="B27" s="111">
        <f>Förutsättningar!M$23</f>
        <v>20</v>
      </c>
      <c r="C27" s="111">
        <f>Förutsättningar!N$23</f>
        <v>5</v>
      </c>
      <c r="D27" s="21">
        <v>20</v>
      </c>
      <c r="E27" s="23" t="s">
        <v>15</v>
      </c>
      <c r="F27" s="5">
        <v>-5</v>
      </c>
      <c r="G27" s="7">
        <v>0</v>
      </c>
      <c r="H27" s="13">
        <v>14</v>
      </c>
      <c r="I27" s="21" t="s">
        <v>14</v>
      </c>
      <c r="J27" s="21"/>
      <c r="K27" s="21"/>
      <c r="L27" s="7"/>
      <c r="M27" s="18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0,420520PresenningOK14</v>
      </c>
    </row>
    <row r="28" spans="1:13" x14ac:dyDescent="0.25">
      <c r="A28" s="109">
        <v>0.4</v>
      </c>
      <c r="B28" s="119">
        <f>Förutsättningar!M$23</f>
        <v>20</v>
      </c>
      <c r="C28" s="119">
        <f>Förutsättningar!N$23</f>
        <v>5</v>
      </c>
      <c r="D28" s="2">
        <v>20</v>
      </c>
      <c r="E28" s="24">
        <v>10</v>
      </c>
      <c r="F28" s="8">
        <v>-5</v>
      </c>
      <c r="G28" s="9">
        <v>2</v>
      </c>
      <c r="H28" s="14">
        <v>12</v>
      </c>
      <c r="I28" s="2" t="s">
        <v>14</v>
      </c>
      <c r="J28" s="2"/>
      <c r="K28" s="2"/>
      <c r="L28" s="9"/>
      <c r="M28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0,42052010OK14</v>
      </c>
    </row>
    <row r="29" spans="1:13" x14ac:dyDescent="0.25">
      <c r="A29" s="109">
        <v>0.4</v>
      </c>
      <c r="B29" s="119">
        <f>Förutsättningar!M$23</f>
        <v>20</v>
      </c>
      <c r="C29" s="119">
        <f>Förutsättningar!N$23</f>
        <v>5</v>
      </c>
      <c r="D29" s="2">
        <v>20</v>
      </c>
      <c r="E29" s="24">
        <v>10</v>
      </c>
      <c r="F29" s="8">
        <v>-5</v>
      </c>
      <c r="G29" s="9">
        <v>7</v>
      </c>
      <c r="H29" s="14">
        <v>12.8</v>
      </c>
      <c r="I29" s="2" t="s">
        <v>14</v>
      </c>
      <c r="J29" s="2"/>
      <c r="K29" s="2"/>
      <c r="L29" s="9"/>
      <c r="M29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0,42052010OK14</v>
      </c>
    </row>
    <row r="30" spans="1:13" x14ac:dyDescent="0.25">
      <c r="A30" s="109">
        <v>0.4</v>
      </c>
      <c r="B30" s="119">
        <f>Förutsättningar!M$23</f>
        <v>20</v>
      </c>
      <c r="C30" s="119">
        <f>Förutsättningar!N$23</f>
        <v>5</v>
      </c>
      <c r="D30" s="2">
        <v>20</v>
      </c>
      <c r="E30" s="24">
        <v>10</v>
      </c>
      <c r="F30" s="8">
        <v>-5</v>
      </c>
      <c r="G30" s="9">
        <v>12</v>
      </c>
      <c r="H30" s="14">
        <v>13.1</v>
      </c>
      <c r="I30" s="2" t="s">
        <v>14</v>
      </c>
      <c r="J30" s="2"/>
      <c r="K30" s="2"/>
      <c r="L30" s="9"/>
      <c r="M30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0,42052010OK14</v>
      </c>
    </row>
    <row r="31" spans="1:13" ht="15.75" thickBot="1" x14ac:dyDescent="0.3">
      <c r="A31" s="110">
        <v>0.4</v>
      </c>
      <c r="B31" s="112">
        <f>Förutsättningar!M$23</f>
        <v>20</v>
      </c>
      <c r="C31" s="112">
        <f>Förutsättningar!N$23</f>
        <v>5</v>
      </c>
      <c r="D31" s="25">
        <v>20</v>
      </c>
      <c r="E31" s="26">
        <v>10</v>
      </c>
      <c r="F31" s="10">
        <v>-5</v>
      </c>
      <c r="G31" s="12">
        <v>20</v>
      </c>
      <c r="H31" s="15">
        <v>13.3</v>
      </c>
      <c r="I31" s="25" t="s">
        <v>14</v>
      </c>
      <c r="J31" s="25"/>
      <c r="K31" s="25"/>
      <c r="L31" s="12"/>
      <c r="M31" s="20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0,42052010OK14</v>
      </c>
    </row>
    <row r="32" spans="1:13" x14ac:dyDescent="0.25">
      <c r="A32" s="108">
        <v>0.4</v>
      </c>
      <c r="B32" s="111">
        <f>Förutsättningar!M$24</f>
        <v>20</v>
      </c>
      <c r="C32" s="111">
        <f>Förutsättningar!N$24</f>
        <v>5</v>
      </c>
      <c r="D32" s="21">
        <v>20</v>
      </c>
      <c r="E32" s="23">
        <v>20</v>
      </c>
      <c r="F32" s="5">
        <v>-10</v>
      </c>
      <c r="G32" s="7">
        <v>0</v>
      </c>
      <c r="H32" s="13">
        <v>12.4</v>
      </c>
      <c r="I32" s="21" t="s">
        <v>14</v>
      </c>
      <c r="J32" s="21"/>
      <c r="K32" s="21"/>
      <c r="L32" s="7"/>
      <c r="M32" s="18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0,42052020OK14</v>
      </c>
    </row>
    <row r="33" spans="1:13" x14ac:dyDescent="0.25">
      <c r="A33" s="109">
        <v>0.4</v>
      </c>
      <c r="B33" s="119">
        <f>Förutsättningar!M$24</f>
        <v>20</v>
      </c>
      <c r="C33" s="119">
        <f>Förutsättningar!N$24</f>
        <v>5</v>
      </c>
      <c r="D33" s="2">
        <v>20</v>
      </c>
      <c r="E33" s="24">
        <v>20</v>
      </c>
      <c r="F33" s="8">
        <v>-10</v>
      </c>
      <c r="G33" s="9">
        <v>2</v>
      </c>
      <c r="H33" s="14">
        <v>13.7</v>
      </c>
      <c r="I33" s="2" t="s">
        <v>14</v>
      </c>
      <c r="J33" s="2"/>
      <c r="K33" s="2"/>
      <c r="L33" s="9"/>
      <c r="M33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0,42052020OK14</v>
      </c>
    </row>
    <row r="34" spans="1:13" x14ac:dyDescent="0.25">
      <c r="A34" s="109">
        <v>0.4</v>
      </c>
      <c r="B34" s="119">
        <f>Förutsättningar!M$24</f>
        <v>20</v>
      </c>
      <c r="C34" s="119">
        <f>Förutsättningar!N$24</f>
        <v>5</v>
      </c>
      <c r="D34" s="2">
        <v>20</v>
      </c>
      <c r="E34" s="24">
        <v>30</v>
      </c>
      <c r="F34" s="8">
        <v>-10</v>
      </c>
      <c r="G34" s="9">
        <v>7</v>
      </c>
      <c r="H34" s="14">
        <v>12.3</v>
      </c>
      <c r="I34" s="2" t="s">
        <v>14</v>
      </c>
      <c r="J34" s="2"/>
      <c r="K34" s="2"/>
      <c r="L34" s="9"/>
      <c r="M34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0,42052030OK14</v>
      </c>
    </row>
    <row r="35" spans="1:13" x14ac:dyDescent="0.25">
      <c r="A35" s="109" t="s">
        <v>13</v>
      </c>
      <c r="B35" s="119" t="s">
        <v>13</v>
      </c>
      <c r="C35" s="119" t="s">
        <v>13</v>
      </c>
      <c r="D35" s="2" t="s">
        <v>13</v>
      </c>
      <c r="E35" s="24" t="s">
        <v>13</v>
      </c>
      <c r="F35" s="8">
        <v>-10</v>
      </c>
      <c r="G35" s="9">
        <v>12</v>
      </c>
      <c r="H35" s="14"/>
      <c r="I35" s="2"/>
      <c r="J35" s="2"/>
      <c r="K35" s="2"/>
      <c r="L35" s="9" t="s">
        <v>16</v>
      </c>
      <c r="M35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-----Frys innan täck</v>
      </c>
    </row>
    <row r="36" spans="1:13" ht="15.75" thickBot="1" x14ac:dyDescent="0.3">
      <c r="A36" s="110" t="s">
        <v>13</v>
      </c>
      <c r="B36" s="112" t="s">
        <v>13</v>
      </c>
      <c r="C36" s="112" t="s">
        <v>13</v>
      </c>
      <c r="D36" s="25" t="s">
        <v>13</v>
      </c>
      <c r="E36" s="26" t="s">
        <v>13</v>
      </c>
      <c r="F36" s="10">
        <v>-10</v>
      </c>
      <c r="G36" s="12">
        <v>20</v>
      </c>
      <c r="H36" s="15"/>
      <c r="I36" s="25"/>
      <c r="J36" s="25"/>
      <c r="K36" s="25"/>
      <c r="L36" s="12" t="s">
        <v>16</v>
      </c>
      <c r="M36" s="20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-----Frys innan täck</v>
      </c>
    </row>
    <row r="37" spans="1:13" x14ac:dyDescent="0.25">
      <c r="A37" s="108">
        <v>0.3</v>
      </c>
      <c r="B37" s="111">
        <f>Förutsättningar!M$25</f>
        <v>15</v>
      </c>
      <c r="C37" s="111">
        <f>Förutsättningar!N$25</f>
        <v>5</v>
      </c>
      <c r="D37" s="21">
        <v>20</v>
      </c>
      <c r="E37" s="23">
        <v>50</v>
      </c>
      <c r="F37" s="5">
        <v>-15</v>
      </c>
      <c r="G37" s="7">
        <v>0</v>
      </c>
      <c r="H37" s="13">
        <v>11</v>
      </c>
      <c r="I37" s="21" t="s">
        <v>14</v>
      </c>
      <c r="J37" s="21"/>
      <c r="K37" s="21"/>
      <c r="L37" s="7"/>
      <c r="M37" s="18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0,31552050OK14</v>
      </c>
    </row>
    <row r="38" spans="1:13" x14ac:dyDescent="0.25">
      <c r="A38" s="109">
        <v>0.3</v>
      </c>
      <c r="B38" s="119">
        <f>Förutsättningar!M$25</f>
        <v>15</v>
      </c>
      <c r="C38" s="119">
        <f>Förutsättningar!N$25</f>
        <v>5</v>
      </c>
      <c r="D38" s="2">
        <v>20</v>
      </c>
      <c r="E38" s="24">
        <v>50</v>
      </c>
      <c r="F38" s="8">
        <v>-15</v>
      </c>
      <c r="G38" s="9">
        <v>2</v>
      </c>
      <c r="H38" s="14">
        <v>11.5</v>
      </c>
      <c r="I38" s="2" t="s">
        <v>14</v>
      </c>
      <c r="J38" s="2"/>
      <c r="K38" s="2"/>
      <c r="L38" s="9"/>
      <c r="M38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0,31552050OK14</v>
      </c>
    </row>
    <row r="39" spans="1:13" x14ac:dyDescent="0.25">
      <c r="A39" s="109" t="s">
        <v>13</v>
      </c>
      <c r="B39" s="119" t="s">
        <v>13</v>
      </c>
      <c r="C39" s="119" t="s">
        <v>13</v>
      </c>
      <c r="D39" s="2" t="s">
        <v>13</v>
      </c>
      <c r="E39" s="24" t="s">
        <v>13</v>
      </c>
      <c r="F39" s="8">
        <v>-15</v>
      </c>
      <c r="G39" s="9">
        <v>7</v>
      </c>
      <c r="H39" s="14"/>
      <c r="I39" s="2"/>
      <c r="J39" s="2"/>
      <c r="K39" s="2"/>
      <c r="L39" s="9" t="s">
        <v>16</v>
      </c>
      <c r="M39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-----Frys innan täck</v>
      </c>
    </row>
    <row r="40" spans="1:13" x14ac:dyDescent="0.25">
      <c r="A40" s="109" t="s">
        <v>13</v>
      </c>
      <c r="B40" s="119" t="s">
        <v>13</v>
      </c>
      <c r="C40" s="119" t="s">
        <v>13</v>
      </c>
      <c r="D40" s="2" t="s">
        <v>13</v>
      </c>
      <c r="E40" s="24" t="s">
        <v>13</v>
      </c>
      <c r="F40" s="8">
        <v>-15</v>
      </c>
      <c r="G40" s="9">
        <v>12</v>
      </c>
      <c r="H40" s="14"/>
      <c r="I40" s="2"/>
      <c r="J40" s="2"/>
      <c r="K40" s="2"/>
      <c r="L40" s="9" t="s">
        <v>16</v>
      </c>
      <c r="M40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-----Frys innan täck</v>
      </c>
    </row>
    <row r="41" spans="1:13" ht="15.75" thickBot="1" x14ac:dyDescent="0.3">
      <c r="A41" s="110" t="s">
        <v>13</v>
      </c>
      <c r="B41" s="112" t="s">
        <v>13</v>
      </c>
      <c r="C41" s="112" t="s">
        <v>13</v>
      </c>
      <c r="D41" s="25" t="s">
        <v>13</v>
      </c>
      <c r="E41" s="26" t="s">
        <v>13</v>
      </c>
      <c r="F41" s="10">
        <v>-15</v>
      </c>
      <c r="G41" s="12">
        <v>20</v>
      </c>
      <c r="H41" s="15"/>
      <c r="I41" s="25"/>
      <c r="J41" s="25"/>
      <c r="K41" s="25"/>
      <c r="L41" s="12" t="s">
        <v>16</v>
      </c>
      <c r="M41" s="20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-----Frys innan täck</v>
      </c>
    </row>
    <row r="42" spans="1:13" x14ac:dyDescent="0.25">
      <c r="A42" s="109">
        <v>0.1</v>
      </c>
      <c r="B42" s="111">
        <f>Förutsättningar!M$26</f>
        <v>10</v>
      </c>
      <c r="C42" s="111">
        <f>Förutsättningar!N$26</f>
        <v>5</v>
      </c>
      <c r="D42" s="2">
        <v>20</v>
      </c>
      <c r="E42" s="24">
        <v>50</v>
      </c>
      <c r="F42" s="8">
        <v>-20</v>
      </c>
      <c r="G42" s="9">
        <v>0</v>
      </c>
      <c r="H42" s="14">
        <v>9.8000000000000007</v>
      </c>
      <c r="I42" s="2" t="s">
        <v>14</v>
      </c>
      <c r="J42" s="2"/>
      <c r="K42" s="2"/>
      <c r="L42" s="9"/>
      <c r="M42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0,11052050OK14</v>
      </c>
    </row>
    <row r="43" spans="1:13" x14ac:dyDescent="0.25">
      <c r="A43" s="109">
        <v>0.1</v>
      </c>
      <c r="B43" s="119">
        <f>Förutsättningar!M$26</f>
        <v>10</v>
      </c>
      <c r="C43" s="119">
        <f>Förutsättningar!N$26</f>
        <v>5</v>
      </c>
      <c r="D43" s="2">
        <v>20</v>
      </c>
      <c r="E43" s="24">
        <v>50</v>
      </c>
      <c r="F43" s="8">
        <v>-20</v>
      </c>
      <c r="G43" s="9">
        <v>2</v>
      </c>
      <c r="H43" s="14">
        <v>10.8</v>
      </c>
      <c r="I43" s="2" t="s">
        <v>14</v>
      </c>
      <c r="J43" s="2"/>
      <c r="K43" s="2"/>
      <c r="L43" s="9"/>
      <c r="M43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0,11052050OK14</v>
      </c>
    </row>
    <row r="44" spans="1:13" x14ac:dyDescent="0.25">
      <c r="A44" s="109" t="s">
        <v>13</v>
      </c>
      <c r="B44" s="119" t="s">
        <v>13</v>
      </c>
      <c r="C44" s="119" t="s">
        <v>13</v>
      </c>
      <c r="D44" s="2" t="s">
        <v>13</v>
      </c>
      <c r="E44" s="24" t="s">
        <v>13</v>
      </c>
      <c r="F44" s="8">
        <v>-20</v>
      </c>
      <c r="G44" s="9">
        <v>7</v>
      </c>
      <c r="H44" s="14"/>
      <c r="I44" s="2"/>
      <c r="J44" s="2"/>
      <c r="K44" s="2"/>
      <c r="L44" s="9" t="s">
        <v>16</v>
      </c>
      <c r="M44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-----Frys innan täck</v>
      </c>
    </row>
    <row r="45" spans="1:13" x14ac:dyDescent="0.25">
      <c r="A45" s="109" t="s">
        <v>13</v>
      </c>
      <c r="B45" s="119" t="s">
        <v>13</v>
      </c>
      <c r="C45" s="119" t="s">
        <v>13</v>
      </c>
      <c r="D45" s="2" t="s">
        <v>13</v>
      </c>
      <c r="E45" s="24" t="s">
        <v>13</v>
      </c>
      <c r="F45" s="8">
        <v>-20</v>
      </c>
      <c r="G45" s="9">
        <v>12</v>
      </c>
      <c r="H45" s="14"/>
      <c r="I45" s="2"/>
      <c r="J45" s="2"/>
      <c r="K45" s="2"/>
      <c r="L45" s="9" t="s">
        <v>16</v>
      </c>
      <c r="M45" s="1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-----Frys innan täck</v>
      </c>
    </row>
    <row r="46" spans="1:13" ht="15.75" thickBot="1" x14ac:dyDescent="0.3">
      <c r="A46" s="110" t="s">
        <v>13</v>
      </c>
      <c r="B46" s="112" t="s">
        <v>13</v>
      </c>
      <c r="C46" s="112" t="s">
        <v>13</v>
      </c>
      <c r="D46" s="25" t="s">
        <v>13</v>
      </c>
      <c r="E46" s="26" t="s">
        <v>13</v>
      </c>
      <c r="F46" s="10">
        <v>-20</v>
      </c>
      <c r="G46" s="12">
        <v>20</v>
      </c>
      <c r="H46" s="15"/>
      <c r="I46" s="25"/>
      <c r="J46" s="25"/>
      <c r="K46" s="25"/>
      <c r="L46" s="12" t="s">
        <v>16</v>
      </c>
      <c r="M46" s="20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-----Frys innan täck</v>
      </c>
    </row>
  </sheetData>
  <phoneticPr fontId="3" type="noConversion"/>
  <conditionalFormatting sqref="H2:H46">
    <cfRule type="cellIs" dxfId="2" priority="1" operator="greaterThan">
      <formula>14</formula>
    </cfRule>
  </conditionalFormatting>
  <dataValidations count="1">
    <dataValidation type="list" allowBlank="1" showInputMessage="1" showErrorMessage="1" sqref="N2:N46" xr:uid="{8857E8CD-2ADE-4F66-B265-939C3D9290C6}">
      <formula1>"C20/25,C25/28,C28/35,C35/40,C40/50"</formula1>
    </dataValidation>
  </dataValidations>
  <pageMargins left="0.7" right="0.7" top="0.75" bottom="0.75" header="0.3" footer="0.3"/>
  <pageSetup paperSize="9" orientation="portrait" r:id="rId1"/>
  <ignoredErrors>
    <ignoredError sqref="C3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9332F33-B815-4DC2-AB65-9F3BFD90F46F}">
          <x14:formula1>
            <xm:f>Förutsättningar!$G$2</xm:f>
          </x14:formula1>
          <xm:sqref>K2:K46</xm:sqref>
        </x14:dataValidation>
        <x14:dataValidation type="list" allowBlank="1" showInputMessage="1" showErrorMessage="1" xr:uid="{27C97F0C-6CBF-4D80-89E0-04FF220E5B55}">
          <x14:formula1>
            <xm:f>Förutsättningar!$F$2</xm:f>
          </x14:formula1>
          <xm:sqref>I2:I46</xm:sqref>
        </x14:dataValidation>
        <x14:dataValidation type="list" allowBlank="1" showInputMessage="1" showErrorMessage="1" xr:uid="{B0BCCBEB-2550-4FBD-9C18-700D7091C441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9EEAAB34-5CFA-4D35-8076-9FE0C6ABCD56}">
          <x14:formula1>
            <xm:f>Förutsättningar!$H$2:$H$6</xm:f>
          </x14:formula1>
          <xm:sqref>A2:A46</xm:sqref>
        </x14:dataValidation>
        <x14:dataValidation type="list" allowBlank="1" showInputMessage="1" showErrorMessage="1" xr:uid="{E420BE8F-1741-4520-ADA4-DC7FCDA8320B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CB99C8D1-B7A4-4AC9-B88A-0D96F6FFBDE6}">
          <x14:formula1>
            <xm:f>Förutsättningar!$I$2:$I$3</xm:f>
          </x14:formula1>
          <xm:sqref>L2:L46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4FC3-E46C-4518-8416-9EDDE0FE7650}">
  <sheetPr codeName="Sheet3"/>
  <dimension ref="A1:S340"/>
  <sheetViews>
    <sheetView topLeftCell="E1" zoomScale="85" zoomScaleNormal="85" workbookViewId="0">
      <selection activeCell="O15" sqref="O15"/>
    </sheetView>
  </sheetViews>
  <sheetFormatPr defaultRowHeight="15" x14ac:dyDescent="0.25"/>
  <cols>
    <col min="1" max="1" width="13.7109375" bestFit="1" customWidth="1"/>
    <col min="2" max="2" width="7.28515625" bestFit="1" customWidth="1"/>
    <col min="3" max="4" width="22.140625" bestFit="1" customWidth="1"/>
    <col min="5" max="5" width="22.140625" customWidth="1"/>
    <col min="6" max="6" width="22.140625" bestFit="1" customWidth="1"/>
    <col min="7" max="9" width="26.5703125" customWidth="1"/>
    <col min="10" max="11" width="22.140625" bestFit="1" customWidth="1"/>
    <col min="12" max="12" width="12.5703125" bestFit="1" customWidth="1"/>
    <col min="13" max="13" width="12.5703125" customWidth="1"/>
    <col min="14" max="14" width="26.85546875" bestFit="1" customWidth="1"/>
    <col min="15" max="15" width="22.140625" customWidth="1"/>
    <col min="16" max="16" width="11.28515625" style="41" customWidth="1"/>
  </cols>
  <sheetData>
    <row r="1" spans="1:19" ht="15.75" thickBot="1" x14ac:dyDescent="0.3">
      <c r="A1" s="5" t="s">
        <v>4</v>
      </c>
      <c r="B1" s="6" t="s">
        <v>5</v>
      </c>
      <c r="C1" s="121" t="s">
        <v>12</v>
      </c>
      <c r="D1" s="121" t="s">
        <v>22</v>
      </c>
      <c r="E1" s="121" t="s">
        <v>71</v>
      </c>
      <c r="F1" s="121" t="s">
        <v>49</v>
      </c>
      <c r="G1" s="122" t="s">
        <v>52</v>
      </c>
      <c r="H1" s="106" t="s">
        <v>18</v>
      </c>
      <c r="I1" s="106" t="s">
        <v>20</v>
      </c>
      <c r="K1" s="27" t="s">
        <v>4</v>
      </c>
      <c r="L1" s="28" t="s">
        <v>5</v>
      </c>
      <c r="M1" s="39" t="s">
        <v>24</v>
      </c>
      <c r="N1" t="s">
        <v>11</v>
      </c>
      <c r="O1" t="s">
        <v>25</v>
      </c>
      <c r="P1" s="41" t="s">
        <v>26</v>
      </c>
    </row>
    <row r="2" spans="1:19" x14ac:dyDescent="0.25">
      <c r="A2" s="5">
        <v>20</v>
      </c>
      <c r="B2" s="7">
        <v>0</v>
      </c>
      <c r="C2" s="123" t="str">
        <f>Table141719202122[[#This Row],[Åtgärdskåd]]</f>
        <v>0,41520--OK14</v>
      </c>
      <c r="D2" s="6" t="str">
        <f>Table1417192021[[#This Row],[Åtgärdskåd]]</f>
        <v>0,41520--OK14</v>
      </c>
      <c r="E2" s="126" t="str">
        <f>Table14171920[[#This Row],[Åtgärdskåd]]</f>
        <v>0,41520--OK14</v>
      </c>
      <c r="F2" s="6" t="str">
        <f>Table141719[[#This Row],[Åtgärdskåd]]</f>
        <v>0,41520--OK14</v>
      </c>
      <c r="G2" s="126" t="str">
        <f>Table1417[[#This Row],[Åtgärdskåd]]</f>
        <v>0,41520--OK14</v>
      </c>
      <c r="H2" s="6" t="str">
        <f>Table1423[[#This Row],[Åtgärdskåd]]</f>
        <v>0,41520--OK14</v>
      </c>
      <c r="I2" s="129" t="str">
        <f>Table14[[#This Row],[Åtgärdskåd]]</f>
        <v>0,41520--OK14</v>
      </c>
      <c r="N2" t="str">
        <f>Table8[[#This Row],[Column1]]</f>
        <v>0,41520--OK14</v>
      </c>
      <c r="P2" s="41">
        <f>MATCH(N2, _xlfn.UNIQUE($N$2:$N$339), 0)</f>
        <v>1</v>
      </c>
      <c r="R2">
        <v>1</v>
      </c>
      <c r="S2" t="s">
        <v>72</v>
      </c>
    </row>
    <row r="3" spans="1:19" x14ac:dyDescent="0.25">
      <c r="A3" s="8">
        <v>20</v>
      </c>
      <c r="B3" s="9">
        <v>2</v>
      </c>
      <c r="C3" s="124" t="str">
        <f>Table141719202122[[#This Row],[Åtgärdskåd]]</f>
        <v>0,41520--OK14</v>
      </c>
      <c r="D3" t="str">
        <f>Table1417192021[[#This Row],[Åtgärdskåd]]</f>
        <v>0,41520--OK14</v>
      </c>
      <c r="E3" s="127" t="str">
        <f>Table14171920[[#This Row],[Åtgärdskåd]]</f>
        <v>0,41520--OK14</v>
      </c>
      <c r="F3" t="str">
        <f>Table141719[[#This Row],[Åtgärdskåd]]</f>
        <v>0,41520--OK14</v>
      </c>
      <c r="G3" s="127" t="str">
        <f>Table1417[[#This Row],[Åtgärdskåd]]</f>
        <v>0,41520--OK14</v>
      </c>
      <c r="H3" t="str">
        <f>Table1423[[#This Row],[Åtgärdskåd]]</f>
        <v>0,41520--OK14</v>
      </c>
      <c r="I3" s="130" t="str">
        <f>Table14[[#This Row],[Åtgärdskåd]]</f>
        <v>0,41520--OK14</v>
      </c>
      <c r="N3" t="str">
        <f>Table8[[#This Row],[Column1]]</f>
        <v>0,41515--OK14</v>
      </c>
      <c r="P3" s="41">
        <f t="shared" ref="P3:P66" si="0">MATCH(N3, _xlfn.UNIQUE($N$2:$N$339), 0)</f>
        <v>2</v>
      </c>
      <c r="R3">
        <v>2</v>
      </c>
      <c r="S3" t="s">
        <v>73</v>
      </c>
    </row>
    <row r="4" spans="1:19" x14ac:dyDescent="0.25">
      <c r="A4" s="8">
        <v>20</v>
      </c>
      <c r="B4" s="9">
        <v>7</v>
      </c>
      <c r="C4" s="124" t="str">
        <f>Table141719202122[[#This Row],[Åtgärdskåd]]</f>
        <v>0,41520--OK14</v>
      </c>
      <c r="D4" t="str">
        <f>Table1417192021[[#This Row],[Åtgärdskåd]]</f>
        <v>0,41520--OK14</v>
      </c>
      <c r="E4" s="127" t="str">
        <f>Table14171920[[#This Row],[Åtgärdskåd]]</f>
        <v>0,41520--OK14</v>
      </c>
      <c r="F4" t="str">
        <f>Table141719[[#This Row],[Åtgärdskåd]]</f>
        <v>0,41520--OK14</v>
      </c>
      <c r="G4" s="127" t="str">
        <f>Table1417[[#This Row],[Åtgärdskåd]]</f>
        <v>0,41520--OK14</v>
      </c>
      <c r="H4" t="str">
        <f>Table1423[[#This Row],[Åtgärdskåd]]</f>
        <v>0,41520--OK14</v>
      </c>
      <c r="I4" s="130" t="str">
        <f>Table14[[#This Row],[Åtgärdskåd]]</f>
        <v>0,41520--OK14</v>
      </c>
      <c r="N4" t="str">
        <f>Table8[[#This Row],[Column1]]</f>
        <v>0,41510--OK14</v>
      </c>
      <c r="P4" s="41">
        <f t="shared" si="0"/>
        <v>3</v>
      </c>
      <c r="R4">
        <v>3</v>
      </c>
      <c r="S4" t="s">
        <v>74</v>
      </c>
    </row>
    <row r="5" spans="1:19" x14ac:dyDescent="0.25">
      <c r="A5" s="8">
        <v>20</v>
      </c>
      <c r="B5" s="9">
        <v>12</v>
      </c>
      <c r="C5" s="124" t="str">
        <f>Table141719202122[[#This Row],[Åtgärdskåd]]</f>
        <v>0,41520--OK14</v>
      </c>
      <c r="D5" t="str">
        <f>Table1417192021[[#This Row],[Åtgärdskåd]]</f>
        <v>0,41520--OK14</v>
      </c>
      <c r="E5" s="127" t="str">
        <f>Table14171920[[#This Row],[Åtgärdskåd]]</f>
        <v>0,41520--OK14</v>
      </c>
      <c r="F5" t="str">
        <f>Table141719[[#This Row],[Åtgärdskåd]]</f>
        <v>0,41520--OK14</v>
      </c>
      <c r="G5" s="127" t="str">
        <f>Table1417[[#This Row],[Åtgärdskåd]]</f>
        <v>0,41520--OK14</v>
      </c>
      <c r="H5" t="str">
        <f>Table1423[[#This Row],[Åtgärdskåd]]</f>
        <v>0,41520--OK14</v>
      </c>
      <c r="I5" s="130" t="str">
        <f>Table14[[#This Row],[Åtgärdskåd]]</f>
        <v>0,41520--OK14</v>
      </c>
      <c r="N5" t="str">
        <f>Table8[[#This Row],[Column1]]</f>
        <v>0,415100-OK14</v>
      </c>
      <c r="P5" s="41">
        <f t="shared" si="0"/>
        <v>4</v>
      </c>
      <c r="R5">
        <v>4</v>
      </c>
      <c r="S5" t="s">
        <v>75</v>
      </c>
    </row>
    <row r="6" spans="1:19" ht="15.75" thickBot="1" x14ac:dyDescent="0.3">
      <c r="A6" s="10">
        <v>20</v>
      </c>
      <c r="B6" s="12">
        <v>20</v>
      </c>
      <c r="C6" s="125" t="str">
        <f>Table141719202122[[#This Row],[Åtgärdskåd]]</f>
        <v>0,41520--OK14</v>
      </c>
      <c r="D6" s="11" t="str">
        <f>Table1417192021[[#This Row],[Åtgärdskåd]]</f>
        <v>0,41520--OK14</v>
      </c>
      <c r="E6" s="128" t="str">
        <f>Table14171920[[#This Row],[Åtgärdskåd]]</f>
        <v>0,41520--OK14</v>
      </c>
      <c r="F6" s="11" t="str">
        <f>Table141719[[#This Row],[Åtgärdskåd]]</f>
        <v>0,41520--OK14</v>
      </c>
      <c r="G6" s="128" t="str">
        <f>Table1417[[#This Row],[Åtgärdskåd]]</f>
        <v>0,41520--OK14</v>
      </c>
      <c r="H6" s="11" t="str">
        <f>Table1423[[#This Row],[Åtgärdskåd]]</f>
        <v>0,41520--OK14</v>
      </c>
      <c r="I6" s="131" t="str">
        <f>Table14[[#This Row],[Åtgärdskåd]]</f>
        <v>0,41520--OK14</v>
      </c>
      <c r="N6" t="str">
        <f>Table8[[#This Row],[Column1]]</f>
        <v>0,42050PresenningOK14</v>
      </c>
      <c r="P6" s="41">
        <f t="shared" si="0"/>
        <v>5</v>
      </c>
      <c r="R6">
        <v>5</v>
      </c>
      <c r="S6" t="s">
        <v>76</v>
      </c>
    </row>
    <row r="7" spans="1:19" x14ac:dyDescent="0.25">
      <c r="A7" s="5">
        <v>15</v>
      </c>
      <c r="B7" s="7">
        <v>0</v>
      </c>
      <c r="C7" s="123" t="str">
        <f>Table141719202122[[#This Row],[Åtgärdskåd]]</f>
        <v>0,41515--OK14</v>
      </c>
      <c r="D7" s="6" t="str">
        <f>Table1417192021[[#This Row],[Åtgärdskåd]]</f>
        <v>0,41515--OK14</v>
      </c>
      <c r="E7" s="126" t="str">
        <f>Table14171920[[#This Row],[Åtgärdskåd]]</f>
        <v>0,41515--OK14</v>
      </c>
      <c r="F7" s="6" t="str">
        <f>Table141719[[#This Row],[Åtgärdskåd]]</f>
        <v>0,41515--OK14</v>
      </c>
      <c r="G7" s="126" t="str">
        <f>Table1417[[#This Row],[Åtgärdskåd]]</f>
        <v>0,41515--OK14</v>
      </c>
      <c r="H7" s="6" t="str">
        <f>Table1423[[#This Row],[Åtgärdskåd]]</f>
        <v>0,41515--OK14</v>
      </c>
      <c r="I7" s="129" t="str">
        <f>Table14[[#This Row],[Åtgärdskåd]]</f>
        <v>0,41515--OK14</v>
      </c>
      <c r="N7" t="str">
        <f>Table8[[#This Row],[Column1]]</f>
        <v>0,41510010OK14</v>
      </c>
      <c r="P7" s="41">
        <f t="shared" si="0"/>
        <v>6</v>
      </c>
      <c r="R7">
        <v>6</v>
      </c>
      <c r="S7" t="s">
        <v>77</v>
      </c>
    </row>
    <row r="8" spans="1:19" x14ac:dyDescent="0.25">
      <c r="A8" s="8">
        <v>15</v>
      </c>
      <c r="B8" s="9">
        <v>2</v>
      </c>
      <c r="C8" s="124" t="str">
        <f>Table141719202122[[#This Row],[Åtgärdskåd]]</f>
        <v>0,41515--OK14</v>
      </c>
      <c r="D8" t="str">
        <f>Table1417192021[[#This Row],[Åtgärdskåd]]</f>
        <v>0,41515--OK14</v>
      </c>
      <c r="E8" s="127" t="str">
        <f>Table14171920[[#This Row],[Åtgärdskåd]]</f>
        <v>0,41515--OK14</v>
      </c>
      <c r="F8" t="str">
        <f>Table141719[[#This Row],[Åtgärdskåd]]</f>
        <v>0,41515--OK14</v>
      </c>
      <c r="G8" s="127" t="str">
        <f>Table1417[[#This Row],[Åtgärdskåd]]</f>
        <v>0,41515--OK14</v>
      </c>
      <c r="H8" t="str">
        <f>Table1423[[#This Row],[Åtgärdskåd]]</f>
        <v>0,41515--OK14</v>
      </c>
      <c r="I8" s="130" t="str">
        <f>Table14[[#This Row],[Åtgärdskåd]]</f>
        <v>0,41515--OK14</v>
      </c>
      <c r="N8" t="str">
        <f>Table8[[#This Row],[Column1]]</f>
        <v>0,4205010OK14</v>
      </c>
      <c r="P8" s="41">
        <f t="shared" si="0"/>
        <v>7</v>
      </c>
      <c r="R8">
        <v>7</v>
      </c>
      <c r="S8" t="s">
        <v>78</v>
      </c>
    </row>
    <row r="9" spans="1:19" x14ac:dyDescent="0.25">
      <c r="A9" s="8">
        <v>15</v>
      </c>
      <c r="B9" s="9">
        <v>7</v>
      </c>
      <c r="C9" s="124" t="str">
        <f>Table141719202122[[#This Row],[Åtgärdskåd]]</f>
        <v>0,41515--OK14</v>
      </c>
      <c r="D9" t="str">
        <f>Table1417192021[[#This Row],[Åtgärdskåd]]</f>
        <v>0,41515--OK14</v>
      </c>
      <c r="E9" s="127" t="str">
        <f>Table14171920[[#This Row],[Åtgärdskåd]]</f>
        <v>0,41515--OK14</v>
      </c>
      <c r="F9" t="str">
        <f>Table141719[[#This Row],[Åtgärdskåd]]</f>
        <v>0,41515--OK14</v>
      </c>
      <c r="G9" s="127" t="str">
        <f>Table1417[[#This Row],[Åtgärdskåd]]</f>
        <v>0,41515--OK14</v>
      </c>
      <c r="H9" t="str">
        <f>Table1423[[#This Row],[Åtgärdskåd]]</f>
        <v>0,41515--OK14</v>
      </c>
      <c r="I9" s="130" t="str">
        <f>Table14[[#This Row],[Åtgärdskåd]]</f>
        <v>0,41515--OK14</v>
      </c>
      <c r="N9" t="str">
        <f>Table8[[#This Row],[Column1]]</f>
        <v>0,4205020OK14</v>
      </c>
      <c r="P9" s="41">
        <f t="shared" si="0"/>
        <v>8</v>
      </c>
      <c r="R9">
        <v>8</v>
      </c>
      <c r="S9" t="s">
        <v>79</v>
      </c>
    </row>
    <row r="10" spans="1:19" x14ac:dyDescent="0.25">
      <c r="A10" s="8">
        <v>15</v>
      </c>
      <c r="B10" s="9">
        <v>12</v>
      </c>
      <c r="C10" s="124" t="str">
        <f>Table141719202122[[#This Row],[Åtgärdskåd]]</f>
        <v>0,41515--OK14</v>
      </c>
      <c r="D10" t="str">
        <f>Table1417192021[[#This Row],[Åtgärdskåd]]</f>
        <v>0,41515--OK14</v>
      </c>
      <c r="E10" s="127" t="str">
        <f>Table14171920[[#This Row],[Åtgärdskåd]]</f>
        <v>0,41515--OK14</v>
      </c>
      <c r="F10" t="str">
        <f>Table141719[[#This Row],[Åtgärdskåd]]</f>
        <v>0,41515--OK14</v>
      </c>
      <c r="G10" s="127" t="str">
        <f>Table1417[[#This Row],[Åtgärdskåd]]</f>
        <v>0,41515--OK14</v>
      </c>
      <c r="H10" t="str">
        <f>Table1423[[#This Row],[Åtgärdskåd]]</f>
        <v>0,41515--OK14</v>
      </c>
      <c r="I10" s="130" t="str">
        <f>Table14[[#This Row],[Åtgärdskåd]]</f>
        <v>0,41515--OK14</v>
      </c>
      <c r="N10" t="str">
        <f>Table8[[#This Row],[Column1]]</f>
        <v>0,4205030OK14</v>
      </c>
      <c r="P10" s="41">
        <f t="shared" si="0"/>
        <v>9</v>
      </c>
      <c r="R10">
        <v>9</v>
      </c>
      <c r="S10" t="s">
        <v>80</v>
      </c>
    </row>
    <row r="11" spans="1:19" ht="15.75" thickBot="1" x14ac:dyDescent="0.3">
      <c r="A11" s="10">
        <v>15</v>
      </c>
      <c r="B11" s="12">
        <v>20</v>
      </c>
      <c r="C11" s="125" t="str">
        <f>Table141719202122[[#This Row],[Åtgärdskåd]]</f>
        <v>0,41515--OK14</v>
      </c>
      <c r="D11" s="11" t="str">
        <f>Table1417192021[[#This Row],[Åtgärdskåd]]</f>
        <v>0,41515--OK14</v>
      </c>
      <c r="E11" s="128" t="str">
        <f>Table14171920[[#This Row],[Åtgärdskåd]]</f>
        <v>0,41515--OK14</v>
      </c>
      <c r="F11" s="11" t="str">
        <f>Table141719[[#This Row],[Åtgärdskåd]]</f>
        <v>0,41515--OK14</v>
      </c>
      <c r="G11" s="128" t="str">
        <f>Table1417[[#This Row],[Åtgärdskåd]]</f>
        <v>0,41515--OK14</v>
      </c>
      <c r="H11" s="11" t="str">
        <f>Table1423[[#This Row],[Åtgärdskåd]]</f>
        <v>0,41515--OK14</v>
      </c>
      <c r="I11" s="131" t="str">
        <f>Table14[[#This Row],[Åtgärdskåd]]</f>
        <v>0,41515--OK14</v>
      </c>
      <c r="N11" t="str">
        <f>Table8[[#This Row],[Column1]]</f>
        <v>0,4205050OK14</v>
      </c>
      <c r="P11" s="41">
        <f t="shared" si="0"/>
        <v>10</v>
      </c>
      <c r="R11">
        <v>10</v>
      </c>
      <c r="S11" t="s">
        <v>81</v>
      </c>
    </row>
    <row r="12" spans="1:19" x14ac:dyDescent="0.25">
      <c r="A12" s="5">
        <v>10</v>
      </c>
      <c r="B12" s="7">
        <v>0</v>
      </c>
      <c r="C12" s="123" t="str">
        <f>Table141719202122[[#This Row],[Åtgärdskåd]]</f>
        <v>0,41510--OK14</v>
      </c>
      <c r="D12" s="6" t="str">
        <f>Table1417192021[[#This Row],[Åtgärdskåd]]</f>
        <v>0,41510--OK14</v>
      </c>
      <c r="E12" s="126" t="str">
        <f>Table14171920[[#This Row],[Åtgärdskåd]]</f>
        <v>0,41510--OK14</v>
      </c>
      <c r="F12" s="6" t="str">
        <f>Table141719[[#This Row],[Åtgärdskåd]]</f>
        <v>0,41510--OK14</v>
      </c>
      <c r="G12" s="126" t="str">
        <f>Table1417[[#This Row],[Åtgärdskåd]]</f>
        <v>0,41510--OK14</v>
      </c>
      <c r="H12" s="6" t="str">
        <f>Table1423[[#This Row],[Åtgärdskåd]]</f>
        <v>0,41510--OK14</v>
      </c>
      <c r="I12" s="129" t="str">
        <f>Table14[[#This Row],[Åtgärdskåd]]</f>
        <v>0,41510--OK14</v>
      </c>
      <c r="N12" t="str">
        <f>Table8[[#This Row],[Column1]]</f>
        <v>0,420520-OK14</v>
      </c>
      <c r="P12" s="41">
        <f t="shared" si="0"/>
        <v>11</v>
      </c>
      <c r="R12">
        <v>11</v>
      </c>
      <c r="S12" t="s">
        <v>82</v>
      </c>
    </row>
    <row r="13" spans="1:19" x14ac:dyDescent="0.25">
      <c r="A13" s="8">
        <v>10</v>
      </c>
      <c r="B13" s="9">
        <v>2</v>
      </c>
      <c r="C13" s="124" t="str">
        <f>Table141719202122[[#This Row],[Åtgärdskåd]]</f>
        <v>0,41510010OK14</v>
      </c>
      <c r="D13" t="str">
        <f>Table1417192021[[#This Row],[Åtgärdskåd]]</f>
        <v>0,41510--OK14</v>
      </c>
      <c r="E13" s="127" t="str">
        <f>Table14171920[[#This Row],[Åtgärdskåd]]</f>
        <v>0,41510--OK14</v>
      </c>
      <c r="F13" t="str">
        <f>Table141719[[#This Row],[Åtgärdskåd]]</f>
        <v>0,41510--OK14</v>
      </c>
      <c r="G13" s="127" t="str">
        <f>Table1417[[#This Row],[Åtgärdskåd]]</f>
        <v>0,41510--OK14</v>
      </c>
      <c r="H13" t="str">
        <f>Table1423[[#This Row],[Åtgärdskåd]]</f>
        <v>0,41510--OK14</v>
      </c>
      <c r="I13" s="130" t="str">
        <f>Table14[[#This Row],[Åtgärdskåd]]</f>
        <v>0,41510--OK14</v>
      </c>
      <c r="N13" t="str">
        <f>Table8[[#This Row],[Column1]]</f>
        <v>0,420520PresenningOK14</v>
      </c>
      <c r="P13" s="41">
        <f t="shared" si="0"/>
        <v>12</v>
      </c>
      <c r="R13">
        <v>12</v>
      </c>
      <c r="S13" t="s">
        <v>83</v>
      </c>
    </row>
    <row r="14" spans="1:19" x14ac:dyDescent="0.25">
      <c r="A14" s="8">
        <v>10</v>
      </c>
      <c r="B14" s="9">
        <v>7</v>
      </c>
      <c r="C14" s="124" t="str">
        <f>Table141719202122[[#This Row],[Åtgärdskåd]]</f>
        <v>0,41510010OK14</v>
      </c>
      <c r="D14" t="str">
        <f>Table1417192021[[#This Row],[Åtgärdskåd]]</f>
        <v>0,41510--OK14</v>
      </c>
      <c r="E14" s="127" t="str">
        <f>Table14171920[[#This Row],[Åtgärdskåd]]</f>
        <v>0,41510--OK14</v>
      </c>
      <c r="F14" t="str">
        <f>Table141719[[#This Row],[Åtgärdskåd]]</f>
        <v>0,41510--OK14</v>
      </c>
      <c r="G14" s="127" t="str">
        <f>Table1417[[#This Row],[Åtgärdskåd]]</f>
        <v>0,41510--OK14</v>
      </c>
      <c r="H14" t="str">
        <f>Table1423[[#This Row],[Åtgärdskåd]]</f>
        <v>0,41510--OK14</v>
      </c>
      <c r="I14" s="130" t="str">
        <f>Table14[[#This Row],[Åtgärdskåd]]</f>
        <v>0,41510--OK14</v>
      </c>
      <c r="N14" t="str">
        <f>Table8[[#This Row],[Column1]]</f>
        <v>0,42052010OK14</v>
      </c>
      <c r="P14" s="41">
        <f t="shared" si="0"/>
        <v>13</v>
      </c>
      <c r="R14">
        <v>13</v>
      </c>
      <c r="S14" t="s">
        <v>84</v>
      </c>
    </row>
    <row r="15" spans="1:19" x14ac:dyDescent="0.25">
      <c r="A15" s="8">
        <v>10</v>
      </c>
      <c r="B15" s="9">
        <v>12</v>
      </c>
      <c r="C15" s="124" t="str">
        <f>Table141719202122[[#This Row],[Åtgärdskåd]]</f>
        <v>0,41510010OK14</v>
      </c>
      <c r="D15" t="str">
        <f>Table1417192021[[#This Row],[Åtgärdskåd]]</f>
        <v>0,41510--OK14</v>
      </c>
      <c r="E15" s="127" t="str">
        <f>Table14171920[[#This Row],[Åtgärdskåd]]</f>
        <v>0,41510--OK14</v>
      </c>
      <c r="F15" t="str">
        <f>Table141719[[#This Row],[Åtgärdskåd]]</f>
        <v>0,41510--OK14</v>
      </c>
      <c r="G15" s="127" t="str">
        <f>Table1417[[#This Row],[Åtgärdskåd]]</f>
        <v>0,41510--OK14</v>
      </c>
      <c r="H15" t="str">
        <f>Table1423[[#This Row],[Åtgärdskåd]]</f>
        <v>0,41510--OK14</v>
      </c>
      <c r="I15" s="130" t="str">
        <f>Table14[[#This Row],[Åtgärdskåd]]</f>
        <v>0,41510--OK14</v>
      </c>
      <c r="N15" t="str">
        <f>Table8[[#This Row],[Column1]]</f>
        <v>0,42052020OK14</v>
      </c>
      <c r="P15" s="41">
        <f t="shared" si="0"/>
        <v>14</v>
      </c>
      <c r="R15">
        <v>14</v>
      </c>
      <c r="S15" t="s">
        <v>85</v>
      </c>
    </row>
    <row r="16" spans="1:19" ht="15.75" thickBot="1" x14ac:dyDescent="0.3">
      <c r="A16" s="10">
        <v>10</v>
      </c>
      <c r="B16" s="12">
        <v>20</v>
      </c>
      <c r="C16" s="125" t="str">
        <f>Table141719202122[[#This Row],[Åtgärdskåd]]</f>
        <v>0,41510010OK14</v>
      </c>
      <c r="D16" s="11" t="str">
        <f>Table1417192021[[#This Row],[Åtgärdskåd]]</f>
        <v>0,415100-OK14</v>
      </c>
      <c r="E16" s="128" t="str">
        <f>Table14171920[[#This Row],[Åtgärdskåd]]</f>
        <v>0,41510--OK14</v>
      </c>
      <c r="F16" s="11" t="str">
        <f>Table141719[[#This Row],[Åtgärdskåd]]</f>
        <v>0,41510--OK14</v>
      </c>
      <c r="G16" s="128" t="str">
        <f>Table1417[[#This Row],[Åtgärdskåd]]</f>
        <v>0,41510--OK14</v>
      </c>
      <c r="H16" s="11" t="str">
        <f>Table1423[[#This Row],[Åtgärdskåd]]</f>
        <v>0,41510--OK14</v>
      </c>
      <c r="I16" s="131" t="str">
        <f>Table14[[#This Row],[Åtgärdskåd]]</f>
        <v>0,41510--OK14</v>
      </c>
      <c r="N16" t="str">
        <f>Table8[[#This Row],[Column1]]</f>
        <v>0,42052030OK14</v>
      </c>
      <c r="P16" s="41">
        <f t="shared" si="0"/>
        <v>15</v>
      </c>
      <c r="R16">
        <v>15</v>
      </c>
      <c r="S16" t="s">
        <v>86</v>
      </c>
    </row>
    <row r="17" spans="1:19" x14ac:dyDescent="0.25">
      <c r="A17" s="5">
        <v>5</v>
      </c>
      <c r="B17" s="7">
        <v>0</v>
      </c>
      <c r="C17" s="123" t="str">
        <f>Table141719202122[[#This Row],[Åtgärdskåd]]</f>
        <v>0,420520-OK14</v>
      </c>
      <c r="D17" s="6" t="str">
        <f>Table1417192021[[#This Row],[Åtgärdskåd]]</f>
        <v>0,420520-OK14</v>
      </c>
      <c r="E17" s="126" t="str">
        <f>Table14171920[[#This Row],[Åtgärdskåd]]</f>
        <v>0,4205050OK14</v>
      </c>
      <c r="F17" s="6" t="str">
        <f>Table141719[[#This Row],[Åtgärdskåd]]</f>
        <v>0,4205030OK14</v>
      </c>
      <c r="G17" s="126" t="str">
        <f>Table1417[[#This Row],[Åtgärdskåd]]</f>
        <v>0,4205020OK14</v>
      </c>
      <c r="H17" s="6" t="str">
        <f>Table1423[[#This Row],[Åtgärdskåd]]</f>
        <v>0,4205010OK14</v>
      </c>
      <c r="I17" s="129" t="str">
        <f>Table14[[#This Row],[Åtgärdskåd]]</f>
        <v>0,42050PresenningOK14</v>
      </c>
      <c r="N17" t="str">
        <f>Table8[[#This Row],[Column1]]</f>
        <v>0,42052050OK14</v>
      </c>
      <c r="P17" s="41">
        <f t="shared" si="0"/>
        <v>16</v>
      </c>
      <c r="R17">
        <v>16</v>
      </c>
      <c r="S17" t="s">
        <v>87</v>
      </c>
    </row>
    <row r="18" spans="1:19" x14ac:dyDescent="0.25">
      <c r="A18" s="8">
        <v>5</v>
      </c>
      <c r="B18" s="9">
        <v>2</v>
      </c>
      <c r="C18" s="124" t="str">
        <f>Table141719202122[[#This Row],[Åtgärdskåd]]</f>
        <v>0,420520-OK14</v>
      </c>
      <c r="D18" t="str">
        <f>Table1417192021[[#This Row],[Åtgärdskåd]]</f>
        <v>0,420520-OK14</v>
      </c>
      <c r="E18" s="127" t="str">
        <f>Table14171920[[#This Row],[Åtgärdskåd]]</f>
        <v>0,420520-OK14</v>
      </c>
      <c r="F18" t="str">
        <f>Table141719[[#This Row],[Åtgärdskåd]]</f>
        <v>0,4205050OK14</v>
      </c>
      <c r="G18" s="127" t="str">
        <f>Table1417[[#This Row],[Åtgärdskåd]]</f>
        <v>0,4205020OK14</v>
      </c>
      <c r="H18" t="str">
        <f>Table1423[[#This Row],[Åtgärdskåd]]</f>
        <v>0,4205010OK14</v>
      </c>
      <c r="I18" s="130" t="str">
        <f>Table14[[#This Row],[Åtgärdskåd]]</f>
        <v>0,4205010OK14</v>
      </c>
      <c r="N18" t="str">
        <f>Table8[[#This Row],[Column1]]</f>
        <v>0,32052050OK14</v>
      </c>
      <c r="P18" s="41">
        <f t="shared" si="0"/>
        <v>17</v>
      </c>
      <c r="R18">
        <v>17</v>
      </c>
      <c r="S18" t="s">
        <v>88</v>
      </c>
    </row>
    <row r="19" spans="1:19" x14ac:dyDescent="0.25">
      <c r="A19" s="8">
        <v>5</v>
      </c>
      <c r="B19" s="9">
        <v>7</v>
      </c>
      <c r="C19" s="124" t="str">
        <f>Table141719202122[[#This Row],[Åtgärdskåd]]</f>
        <v>0,420520PresenningOK14</v>
      </c>
      <c r="D19" t="str">
        <f>Table1417192021[[#This Row],[Åtgärdskåd]]</f>
        <v>0,420520PresenningOK14</v>
      </c>
      <c r="E19" s="127" t="str">
        <f>Table14171920[[#This Row],[Åtgärdskåd]]</f>
        <v>0,420520-OK14</v>
      </c>
      <c r="F19" t="str">
        <f>Table141719[[#This Row],[Åtgärdskåd]]</f>
        <v>0,4205050OK14</v>
      </c>
      <c r="G19" s="127" t="str">
        <f>Table1417[[#This Row],[Åtgärdskåd]]</f>
        <v>0,4205020OK14</v>
      </c>
      <c r="H19" t="str">
        <f>Table1423[[#This Row],[Åtgärdskåd]]</f>
        <v>0,4205020OK14</v>
      </c>
      <c r="I19" s="130" t="str">
        <f>Table14[[#This Row],[Åtgärdskåd]]</f>
        <v>0,4205010OK14</v>
      </c>
      <c r="N19" t="str">
        <f>Table8[[#This Row],[Column1]]</f>
        <v>0,31552050OK14</v>
      </c>
      <c r="P19" s="41">
        <f t="shared" si="0"/>
        <v>18</v>
      </c>
      <c r="R19">
        <v>18</v>
      </c>
      <c r="S19" t="s">
        <v>89</v>
      </c>
    </row>
    <row r="20" spans="1:19" x14ac:dyDescent="0.25">
      <c r="A20" s="8">
        <v>5</v>
      </c>
      <c r="B20" s="9">
        <v>12</v>
      </c>
      <c r="C20" s="124" t="str">
        <f>Table141719202122[[#This Row],[Åtgärdskåd]]</f>
        <v>0,420520PresenningOK14</v>
      </c>
      <c r="D20" t="str">
        <f>Table1417192021[[#This Row],[Åtgärdskåd]]</f>
        <v>0,420520PresenningOK14</v>
      </c>
      <c r="E20" s="127" t="str">
        <f>Table14171920[[#This Row],[Åtgärdskåd]]</f>
        <v>0,420520-OK14</v>
      </c>
      <c r="F20" t="str">
        <f>Table141719[[#This Row],[Åtgärdskåd]]</f>
        <v>0,4205050OK14</v>
      </c>
      <c r="G20" s="127" t="str">
        <f>Table1417[[#This Row],[Åtgärdskåd]]</f>
        <v>0,4205030OK14</v>
      </c>
      <c r="H20" t="str">
        <f>Table1423[[#This Row],[Åtgärdskåd]]</f>
        <v>0,4205010OK14</v>
      </c>
      <c r="I20" s="130" t="str">
        <f>Table14[[#This Row],[Åtgärdskåd]]</f>
        <v>0,4205010OK14</v>
      </c>
      <c r="N20" t="str">
        <f>Table8[[#This Row],[Column1]]</f>
        <v>0,21552050OK14</v>
      </c>
      <c r="P20" s="41">
        <f t="shared" si="0"/>
        <v>19</v>
      </c>
      <c r="R20">
        <v>19</v>
      </c>
      <c r="S20" t="s">
        <v>90</v>
      </c>
    </row>
    <row r="21" spans="1:19" ht="15.75" thickBot="1" x14ac:dyDescent="0.3">
      <c r="A21" s="10">
        <v>5</v>
      </c>
      <c r="B21" s="12">
        <v>20</v>
      </c>
      <c r="C21" s="125" t="str">
        <f>Table141719202122[[#This Row],[Åtgärdskåd]]</f>
        <v>0,420520PresenningOK14</v>
      </c>
      <c r="D21" s="11" t="str">
        <f>Table1417192021[[#This Row],[Åtgärdskåd]]</f>
        <v>0,420520PresenningOK14</v>
      </c>
      <c r="E21" s="128" t="str">
        <f>Table14171920[[#This Row],[Åtgärdskåd]]</f>
        <v>0,420520PresenningOK14</v>
      </c>
      <c r="F21" s="11" t="str">
        <f>Table141719[[#This Row],[Åtgärdskåd]]</f>
        <v>0,4205050OK14</v>
      </c>
      <c r="G21" s="128" t="str">
        <f>Table1417[[#This Row],[Åtgärdskåd]]</f>
        <v>0,4205030OK14</v>
      </c>
      <c r="H21" s="11" t="str">
        <f>Table1423[[#This Row],[Åtgärdskåd]]</f>
        <v>0,4205020OK14</v>
      </c>
      <c r="I21" s="131" t="str">
        <f>Table14[[#This Row],[Åtgärdskåd]]</f>
        <v>0,4205010OK14</v>
      </c>
      <c r="N21" t="str">
        <f>Table8[[#This Row],[Column1]]</f>
        <v>0,11552050OK14</v>
      </c>
      <c r="P21" s="41">
        <f t="shared" si="0"/>
        <v>20</v>
      </c>
      <c r="R21">
        <v>20</v>
      </c>
      <c r="S21" t="s">
        <v>91</v>
      </c>
    </row>
    <row r="22" spans="1:19" x14ac:dyDescent="0.25">
      <c r="A22" s="5">
        <v>0</v>
      </c>
      <c r="B22" s="7">
        <v>0</v>
      </c>
      <c r="C22" s="123" t="str">
        <f>Table141719202122[[#This Row],[Åtgärdskåd]]</f>
        <v>0,420520PresenningOK14</v>
      </c>
      <c r="D22" s="6" t="str">
        <f>Table1417192021[[#This Row],[Åtgärdskåd]]</f>
        <v>0,420520-OK14</v>
      </c>
      <c r="E22" s="126" t="str">
        <f>Table14171920[[#This Row],[Åtgärdskåd]]</f>
        <v>0,420520-OK14</v>
      </c>
      <c r="F22" s="6" t="str">
        <f>Table141719[[#This Row],[Åtgärdskåd]]</f>
        <v>0,420520-OK14</v>
      </c>
      <c r="G22" s="126" t="str">
        <f>Table1417[[#This Row],[Åtgärdskåd]]</f>
        <v>0,420520-OK14</v>
      </c>
      <c r="H22" s="6" t="str">
        <f>Table1423[[#This Row],[Åtgärdskåd]]</f>
        <v>0,420520PresenningOK14</v>
      </c>
      <c r="I22" s="129" t="str">
        <f>Table14[[#This Row],[Åtgärdskåd]]</f>
        <v>0,420520PresenningOK14</v>
      </c>
      <c r="N22" t="str">
        <f>Table8[[#This Row],[Column1]]</f>
        <v>0,11052050OK14</v>
      </c>
      <c r="P22" s="41">
        <f t="shared" si="0"/>
        <v>21</v>
      </c>
      <c r="R22">
        <v>21</v>
      </c>
      <c r="S22" t="s">
        <v>92</v>
      </c>
    </row>
    <row r="23" spans="1:19" x14ac:dyDescent="0.25">
      <c r="A23" s="8">
        <v>0</v>
      </c>
      <c r="B23" s="9">
        <v>2</v>
      </c>
      <c r="C23" s="124" t="str">
        <f>Table141719202122[[#This Row],[Åtgärdskåd]]</f>
        <v>0,42052010OK14</v>
      </c>
      <c r="D23" t="str">
        <f>Table1417192021[[#This Row],[Åtgärdskåd]]</f>
        <v>0,42052010OK14</v>
      </c>
      <c r="E23" s="127" t="str">
        <f>Table14171920[[#This Row],[Åtgärdskåd]]</f>
        <v>0,42052010OK14</v>
      </c>
      <c r="F23" t="str">
        <f>Table141719[[#This Row],[Åtgärdskåd]]</f>
        <v>0,420520PresenningOK14</v>
      </c>
      <c r="G23" s="127" t="str">
        <f>Table1417[[#This Row],[Åtgärdskåd]]</f>
        <v>0,420520PresenningOK14</v>
      </c>
      <c r="H23" t="str">
        <f>Table1423[[#This Row],[Åtgärdskåd]]</f>
        <v>0,420520PresenningOK14</v>
      </c>
      <c r="I23" s="130" t="str">
        <f>Table14[[#This Row],[Åtgärdskåd]]</f>
        <v>0,420520PresenningOK14</v>
      </c>
      <c r="N23" t="str">
        <f>Table8[[#This Row],[Column1]]</f>
        <v>-----Når ej 70%</v>
      </c>
      <c r="P23" s="41">
        <f t="shared" si="0"/>
        <v>22</v>
      </c>
      <c r="R23">
        <v>22</v>
      </c>
      <c r="S23" t="s">
        <v>94</v>
      </c>
    </row>
    <row r="24" spans="1:19" ht="15.75" thickBot="1" x14ac:dyDescent="0.3">
      <c r="A24" s="8">
        <v>0</v>
      </c>
      <c r="B24" s="9">
        <v>7</v>
      </c>
      <c r="C24" s="124" t="str">
        <f>Table141719202122[[#This Row],[Åtgärdskåd]]</f>
        <v>0,42052010OK14</v>
      </c>
      <c r="D24" t="str">
        <f>Table1417192021[[#This Row],[Åtgärdskåd]]</f>
        <v>0,42052010OK14</v>
      </c>
      <c r="E24" s="127" t="str">
        <f>Table14171920[[#This Row],[Åtgärdskåd]]</f>
        <v>0,42052010OK14</v>
      </c>
      <c r="F24" t="str">
        <f>Table141719[[#This Row],[Åtgärdskåd]]</f>
        <v>0,42052010OK14</v>
      </c>
      <c r="G24" s="127" t="str">
        <f>Table1417[[#This Row],[Åtgärdskåd]]</f>
        <v>0,42052010OK14</v>
      </c>
      <c r="H24" t="str">
        <f>Table1423[[#This Row],[Åtgärdskåd]]</f>
        <v>0,42052010OK14</v>
      </c>
      <c r="I24" s="130" t="str">
        <f>Table14[[#This Row],[Åtgärdskåd]]</f>
        <v>0,42052010OK14</v>
      </c>
      <c r="N24" t="str">
        <f>Table8[[#This Row],[Column1]]</f>
        <v>-----Frys innan täck</v>
      </c>
      <c r="P24" s="41">
        <f t="shared" si="0"/>
        <v>23</v>
      </c>
      <c r="R24">
        <v>23</v>
      </c>
      <c r="S24" t="s">
        <v>93</v>
      </c>
    </row>
    <row r="25" spans="1:19" x14ac:dyDescent="0.25">
      <c r="A25" s="8">
        <v>0</v>
      </c>
      <c r="B25" s="9">
        <v>12</v>
      </c>
      <c r="C25" s="124" t="str">
        <f>Table141719202122[[#This Row],[Åtgärdskåd]]</f>
        <v>0,42052010OK14</v>
      </c>
      <c r="D25" t="str">
        <f>Table1417192021[[#This Row],[Åtgärdskåd]]</f>
        <v>0,42052010OK14</v>
      </c>
      <c r="E25" s="127" t="str">
        <f>Table14171920[[#This Row],[Åtgärdskåd]]</f>
        <v>0,42052010OK14</v>
      </c>
      <c r="F25" t="str">
        <f>Table141719[[#This Row],[Åtgärdskåd]]</f>
        <v>0,42052010OK14</v>
      </c>
      <c r="G25" s="127" t="str">
        <f>Table1417[[#This Row],[Åtgärdskåd]]</f>
        <v>0,42052010OK14</v>
      </c>
      <c r="H25" t="str">
        <f>Table1423[[#This Row],[Åtgärdskåd]]</f>
        <v>0,42052010OK14</v>
      </c>
      <c r="I25" s="130" t="str">
        <f>Table14[[#This Row],[Åtgärdskåd]]</f>
        <v>0,42052010OK14</v>
      </c>
      <c r="K25" s="29">
        <v>20</v>
      </c>
      <c r="L25" s="30">
        <v>0</v>
      </c>
      <c r="M25" s="106" t="str">
        <f>Table6[[#Headers],[C20/25]]</f>
        <v>C20/25</v>
      </c>
      <c r="N25" t="str">
        <f t="shared" ref="N25:N69" si="1">C2</f>
        <v>0,41520--OK14</v>
      </c>
      <c r="P25" s="41">
        <f t="shared" si="0"/>
        <v>1</v>
      </c>
      <c r="R25">
        <f t="shared" ref="R25:R88" si="2">MATCH(N25, _xlfn.UNIQUE($N$25:$N$339), 0)</f>
        <v>1</v>
      </c>
    </row>
    <row r="26" spans="1:19" ht="15.75" thickBot="1" x14ac:dyDescent="0.3">
      <c r="A26" s="10">
        <v>0</v>
      </c>
      <c r="B26" s="12">
        <v>20</v>
      </c>
      <c r="C26" s="125" t="str">
        <f>Table141719202122[[#This Row],[Åtgärdskåd]]</f>
        <v>0,42052010OK14</v>
      </c>
      <c r="D26" s="11" t="str">
        <f>Table1417192021[[#This Row],[Åtgärdskåd]]</f>
        <v>0,42052010OK14</v>
      </c>
      <c r="E26" s="128" t="str">
        <f>Table14171920[[#This Row],[Åtgärdskåd]]</f>
        <v>0,42052010OK14</v>
      </c>
      <c r="F26" s="11" t="str">
        <f>Table141719[[#This Row],[Åtgärdskåd]]</f>
        <v>0,42052010OK14</v>
      </c>
      <c r="G26" s="128" t="str">
        <f>Table1417[[#This Row],[Åtgärdskåd]]</f>
        <v>0,42052010OK14</v>
      </c>
      <c r="H26" s="11" t="str">
        <f>Table1423[[#This Row],[Åtgärdskåd]]</f>
        <v>0,42052010OK14</v>
      </c>
      <c r="I26" s="131" t="str">
        <f>Table14[[#This Row],[Åtgärdskåd]]</f>
        <v>0,42052010OK14</v>
      </c>
      <c r="K26" s="31">
        <v>20</v>
      </c>
      <c r="L26" s="4">
        <v>2</v>
      </c>
      <c r="N26" t="str">
        <f t="shared" si="1"/>
        <v>0,41520--OK14</v>
      </c>
      <c r="P26" s="41">
        <f t="shared" si="0"/>
        <v>1</v>
      </c>
      <c r="R26">
        <f t="shared" si="2"/>
        <v>1</v>
      </c>
    </row>
    <row r="27" spans="1:19" x14ac:dyDescent="0.25">
      <c r="A27" s="5">
        <v>-5</v>
      </c>
      <c r="B27" s="7">
        <v>0</v>
      </c>
      <c r="C27" s="123" t="str">
        <f>Table141719202122[[#This Row],[Åtgärdskåd]]</f>
        <v>0,42052020OK14</v>
      </c>
      <c r="D27" s="6" t="str">
        <f>Table1417192021[[#This Row],[Åtgärdskåd]]</f>
        <v>0,42052010OK14</v>
      </c>
      <c r="E27" s="126" t="str">
        <f>Table14171920[[#This Row],[Åtgärdskåd]]</f>
        <v>0,42052010OK14</v>
      </c>
      <c r="F27" s="6" t="str">
        <f>Table141719[[#This Row],[Åtgärdskåd]]</f>
        <v>0,42052010OK14</v>
      </c>
      <c r="G27" s="126" t="str">
        <f>Table1417[[#This Row],[Åtgärdskåd]]</f>
        <v>0,42052010OK14</v>
      </c>
      <c r="H27" s="6" t="str">
        <f>Table1423[[#This Row],[Åtgärdskåd]]</f>
        <v>0,42052010OK14</v>
      </c>
      <c r="I27" s="129" t="str">
        <f>Table14[[#This Row],[Åtgärdskåd]]</f>
        <v>0,420520PresenningOK14</v>
      </c>
      <c r="K27" s="32">
        <v>20</v>
      </c>
      <c r="L27" s="3">
        <v>7</v>
      </c>
      <c r="M27" s="40"/>
      <c r="N27" t="str">
        <f t="shared" si="1"/>
        <v>0,41520--OK14</v>
      </c>
      <c r="P27" s="41">
        <f t="shared" si="0"/>
        <v>1</v>
      </c>
      <c r="R27">
        <f t="shared" si="2"/>
        <v>1</v>
      </c>
    </row>
    <row r="28" spans="1:19" x14ac:dyDescent="0.25">
      <c r="A28" s="8">
        <v>-5</v>
      </c>
      <c r="B28" s="9">
        <v>2</v>
      </c>
      <c r="C28" s="124" t="str">
        <f>Table141719202122[[#This Row],[Åtgärdskåd]]</f>
        <v>0,42052020OK14</v>
      </c>
      <c r="D28" t="str">
        <f>Table1417192021[[#This Row],[Åtgärdskåd]]</f>
        <v>0,42052020OK14</v>
      </c>
      <c r="E28" s="127" t="str">
        <f>Table14171920[[#This Row],[Åtgärdskåd]]</f>
        <v>0,42052020OK14</v>
      </c>
      <c r="F28" t="str">
        <f>Table141719[[#This Row],[Åtgärdskåd]]</f>
        <v>0,42052010OK14</v>
      </c>
      <c r="G28" s="127" t="str">
        <f>Table1417[[#This Row],[Åtgärdskåd]]</f>
        <v>0,42052010OK14</v>
      </c>
      <c r="H28" t="str">
        <f>Table1423[[#This Row],[Åtgärdskåd]]</f>
        <v>0,42052010OK14</v>
      </c>
      <c r="I28" s="130" t="str">
        <f>Table14[[#This Row],[Åtgärdskåd]]</f>
        <v>0,42052010OK14</v>
      </c>
      <c r="K28" s="31">
        <v>20</v>
      </c>
      <c r="L28" s="4">
        <v>12</v>
      </c>
      <c r="N28" t="str">
        <f t="shared" si="1"/>
        <v>0,41520--OK14</v>
      </c>
      <c r="P28" s="41">
        <f t="shared" si="0"/>
        <v>1</v>
      </c>
      <c r="R28">
        <f t="shared" si="2"/>
        <v>1</v>
      </c>
    </row>
    <row r="29" spans="1:19" ht="15.75" thickBot="1" x14ac:dyDescent="0.3">
      <c r="A29" s="8">
        <v>-5</v>
      </c>
      <c r="B29" s="9">
        <v>7</v>
      </c>
      <c r="C29" s="124" t="str">
        <f>Table141719202122[[#This Row],[Åtgärdskåd]]</f>
        <v>0,42052030OK14</v>
      </c>
      <c r="D29" t="str">
        <f>Table1417192021[[#This Row],[Åtgärdskåd]]</f>
        <v>0,42052020OK14</v>
      </c>
      <c r="E29" s="127" t="str">
        <f>Table14171920[[#This Row],[Åtgärdskåd]]</f>
        <v>0,42052020OK14</v>
      </c>
      <c r="F29" t="str">
        <f>Table141719[[#This Row],[Åtgärdskåd]]</f>
        <v>0,42052020OK14</v>
      </c>
      <c r="G29" s="127" t="str">
        <f>Table1417[[#This Row],[Åtgärdskåd]]</f>
        <v>0,42052010OK14</v>
      </c>
      <c r="H29" t="str">
        <f>Table1423[[#This Row],[Åtgärdskåd]]</f>
        <v>0,42052010OK14</v>
      </c>
      <c r="I29" s="130" t="str">
        <f>Table14[[#This Row],[Åtgärdskåd]]</f>
        <v>0,42052010OK14</v>
      </c>
      <c r="K29" s="33">
        <v>20</v>
      </c>
      <c r="L29" s="34">
        <v>20</v>
      </c>
      <c r="M29" s="40"/>
      <c r="N29" t="str">
        <f t="shared" si="1"/>
        <v>0,41520--OK14</v>
      </c>
      <c r="P29" s="41">
        <f t="shared" si="0"/>
        <v>1</v>
      </c>
      <c r="R29">
        <f t="shared" si="2"/>
        <v>1</v>
      </c>
    </row>
    <row r="30" spans="1:19" x14ac:dyDescent="0.25">
      <c r="A30" s="8">
        <v>-5</v>
      </c>
      <c r="B30" s="9">
        <v>12</v>
      </c>
      <c r="C30" s="124" t="str">
        <f>Table141719202122[[#This Row],[Åtgärdskåd]]</f>
        <v>0,42052030OK14</v>
      </c>
      <c r="D30" t="str">
        <f>Table1417192021[[#This Row],[Åtgärdskåd]]</f>
        <v>0,42052020OK14</v>
      </c>
      <c r="E30" s="127" t="str">
        <f>Table14171920[[#This Row],[Åtgärdskåd]]</f>
        <v>0,42052020OK14</v>
      </c>
      <c r="F30" t="str">
        <f>Table141719[[#This Row],[Åtgärdskåd]]</f>
        <v>0,42052020OK14</v>
      </c>
      <c r="G30" s="127" t="str">
        <f>Table1417[[#This Row],[Åtgärdskåd]]</f>
        <v>0,42052020OK14</v>
      </c>
      <c r="H30" t="str">
        <f>Table1423[[#This Row],[Åtgärdskåd]]</f>
        <v>0,42052010OK14</v>
      </c>
      <c r="I30" s="130" t="str">
        <f>Table14[[#This Row],[Åtgärdskåd]]</f>
        <v>0,42052010OK14</v>
      </c>
      <c r="K30" s="35">
        <v>15</v>
      </c>
      <c r="L30" s="36">
        <v>0</v>
      </c>
      <c r="N30" t="str">
        <f t="shared" si="1"/>
        <v>0,41515--OK14</v>
      </c>
      <c r="P30" s="41">
        <f t="shared" si="0"/>
        <v>2</v>
      </c>
      <c r="R30">
        <f t="shared" si="2"/>
        <v>2</v>
      </c>
    </row>
    <row r="31" spans="1:19" ht="15.75" thickBot="1" x14ac:dyDescent="0.3">
      <c r="A31" s="10">
        <v>-5</v>
      </c>
      <c r="B31" s="12">
        <v>20</v>
      </c>
      <c r="C31" s="125" t="str">
        <f>Table141719202122[[#This Row],[Åtgärdskåd]]</f>
        <v>0,42052030OK14</v>
      </c>
      <c r="D31" s="11" t="str">
        <f>Table1417192021[[#This Row],[Åtgärdskåd]]</f>
        <v>0,42052020OK14</v>
      </c>
      <c r="E31" s="128" t="str">
        <f>Table14171920[[#This Row],[Åtgärdskåd]]</f>
        <v>0,42052020OK14</v>
      </c>
      <c r="F31" s="11" t="str">
        <f>Table141719[[#This Row],[Åtgärdskåd]]</f>
        <v>0,42052020OK14</v>
      </c>
      <c r="G31" s="128" t="str">
        <f>Table1417[[#This Row],[Åtgärdskåd]]</f>
        <v>0,42052020OK14</v>
      </c>
      <c r="H31" s="11" t="str">
        <f>Table1423[[#This Row],[Åtgärdskåd]]</f>
        <v>0,42052010OK14</v>
      </c>
      <c r="I31" s="131" t="str">
        <f>Table14[[#This Row],[Åtgärdskåd]]</f>
        <v>0,42052010OK14</v>
      </c>
      <c r="K31" s="32">
        <v>15</v>
      </c>
      <c r="L31" s="3">
        <v>2</v>
      </c>
      <c r="M31" s="40"/>
      <c r="N31" t="str">
        <f t="shared" si="1"/>
        <v>0,41515--OK14</v>
      </c>
      <c r="P31" s="41">
        <f t="shared" si="0"/>
        <v>2</v>
      </c>
      <c r="R31">
        <f t="shared" si="2"/>
        <v>2</v>
      </c>
    </row>
    <row r="32" spans="1:19" x14ac:dyDescent="0.25">
      <c r="A32" s="5">
        <v>-10</v>
      </c>
      <c r="B32" s="7">
        <v>0</v>
      </c>
      <c r="C32" s="123" t="str">
        <f>Table141719202122[[#This Row],[Åtgärdskåd]]</f>
        <v>0,32052050OK14</v>
      </c>
      <c r="D32" s="6" t="str">
        <f>Table1417192021[[#This Row],[Åtgärdskåd]]</f>
        <v>0,42052050OK14</v>
      </c>
      <c r="E32" s="126" t="str">
        <f>Table14171920[[#This Row],[Åtgärdskåd]]</f>
        <v>0,42052030OK14</v>
      </c>
      <c r="F32" s="6" t="str">
        <f>Table141719[[#This Row],[Åtgärdskåd]]</f>
        <v>0,42052030OK14</v>
      </c>
      <c r="G32" s="126" t="str">
        <f>Table1417[[#This Row],[Åtgärdskåd]]</f>
        <v>0,42052020OK14</v>
      </c>
      <c r="H32" s="6" t="str">
        <f>Table1423[[#This Row],[Åtgärdskåd]]</f>
        <v>0,42052020OK14</v>
      </c>
      <c r="I32" s="129" t="str">
        <f>Table14[[#This Row],[Åtgärdskåd]]</f>
        <v>0,42052020OK14</v>
      </c>
      <c r="K32" s="31">
        <v>15</v>
      </c>
      <c r="L32" s="4">
        <v>7</v>
      </c>
      <c r="N32" t="str">
        <f t="shared" si="1"/>
        <v>0,41515--OK14</v>
      </c>
      <c r="P32" s="41">
        <f t="shared" si="0"/>
        <v>2</v>
      </c>
      <c r="R32">
        <f t="shared" si="2"/>
        <v>2</v>
      </c>
    </row>
    <row r="33" spans="1:18" x14ac:dyDescent="0.25">
      <c r="A33" s="8">
        <v>-10</v>
      </c>
      <c r="B33" s="9">
        <v>2</v>
      </c>
      <c r="C33" s="124" t="str">
        <f>Table141719202122[[#This Row],[Åtgärdskåd]]</f>
        <v>0,32052050OK14</v>
      </c>
      <c r="D33" t="str">
        <f>Table1417192021[[#This Row],[Åtgärdskåd]]</f>
        <v>0,42052050OK14</v>
      </c>
      <c r="E33" s="127" t="str">
        <f>Table14171920[[#This Row],[Åtgärdskåd]]</f>
        <v>0,42052050OK14</v>
      </c>
      <c r="F33" t="str">
        <f>Table141719[[#This Row],[Åtgärdskåd]]</f>
        <v>0,42052030OK14</v>
      </c>
      <c r="G33" s="127" t="str">
        <f>Table1417[[#This Row],[Åtgärdskåd]]</f>
        <v>0,42052030OK14</v>
      </c>
      <c r="H33" t="str">
        <f>Table1423[[#This Row],[Åtgärdskåd]]</f>
        <v>0,42052030OK14</v>
      </c>
      <c r="I33" s="130" t="str">
        <f>Table14[[#This Row],[Åtgärdskåd]]</f>
        <v>0,42052020OK14</v>
      </c>
      <c r="K33" s="32">
        <v>15</v>
      </c>
      <c r="L33" s="3">
        <v>12</v>
      </c>
      <c r="M33" s="40"/>
      <c r="N33" t="str">
        <f t="shared" si="1"/>
        <v>0,41515--OK14</v>
      </c>
      <c r="P33" s="41">
        <f t="shared" si="0"/>
        <v>2</v>
      </c>
      <c r="R33">
        <f t="shared" si="2"/>
        <v>2</v>
      </c>
    </row>
    <row r="34" spans="1:18" ht="15.75" thickBot="1" x14ac:dyDescent="0.3">
      <c r="A34" s="8">
        <v>-10</v>
      </c>
      <c r="B34" s="9">
        <v>7</v>
      </c>
      <c r="C34" s="124" t="str">
        <f>Table141719202122[[#This Row],[Åtgärdskåd]]</f>
        <v>0,32052050OK14</v>
      </c>
      <c r="D34" t="str">
        <f>Table1417192021[[#This Row],[Åtgärdskåd]]</f>
        <v>0,42052050OK14</v>
      </c>
      <c r="E34" s="127" t="str">
        <f>Table14171920[[#This Row],[Åtgärdskåd]]</f>
        <v>0,42052050OK14</v>
      </c>
      <c r="F34" t="str">
        <f>Table141719[[#This Row],[Åtgärdskåd]]</f>
        <v>0,42052050OK14</v>
      </c>
      <c r="G34" s="127" t="str">
        <f>Table1417[[#This Row],[Åtgärdskåd]]</f>
        <v>0,42052030OK14</v>
      </c>
      <c r="H34" t="str">
        <f>Table1423[[#This Row],[Åtgärdskåd]]</f>
        <v>0,42052030OK14</v>
      </c>
      <c r="I34" s="130" t="str">
        <f>Table14[[#This Row],[Åtgärdskåd]]</f>
        <v>0,42052030OK14</v>
      </c>
      <c r="K34" s="37">
        <v>15</v>
      </c>
      <c r="L34" s="38">
        <v>20</v>
      </c>
      <c r="N34" t="str">
        <f t="shared" si="1"/>
        <v>0,41515--OK14</v>
      </c>
      <c r="P34" s="41">
        <f t="shared" si="0"/>
        <v>2</v>
      </c>
      <c r="R34">
        <f t="shared" si="2"/>
        <v>2</v>
      </c>
    </row>
    <row r="35" spans="1:18" x14ac:dyDescent="0.25">
      <c r="A35" s="8">
        <v>-10</v>
      </c>
      <c r="B35" s="9">
        <v>12</v>
      </c>
      <c r="C35" s="124" t="str">
        <f>Table141719202122[[#This Row],[Åtgärdskåd]]</f>
        <v>-----Frys innan täck</v>
      </c>
      <c r="D35" t="str">
        <f>Table1417192021[[#This Row],[Åtgärdskåd]]</f>
        <v>-----Frys innan täck</v>
      </c>
      <c r="E35" s="127" t="str">
        <f>Table14171920[[#This Row],[Åtgärdskåd]]</f>
        <v>-----Frys innan täck</v>
      </c>
      <c r="F35" t="str">
        <f>Table141719[[#This Row],[Åtgärdskåd]]</f>
        <v>-----Frys innan täck</v>
      </c>
      <c r="G35" s="127" t="str">
        <f>Table1417[[#This Row],[Åtgärdskåd]]</f>
        <v>-----Frys innan täck</v>
      </c>
      <c r="H35" t="str">
        <f>Table1423[[#This Row],[Åtgärdskåd]]</f>
        <v>-----Frys innan täck</v>
      </c>
      <c r="I35" s="130" t="str">
        <f>Table14[[#This Row],[Åtgärdskåd]]</f>
        <v>-----Frys innan täck</v>
      </c>
      <c r="K35" s="29">
        <v>10</v>
      </c>
      <c r="L35" s="30">
        <v>0</v>
      </c>
      <c r="M35" s="40"/>
      <c r="N35" t="str">
        <f t="shared" si="1"/>
        <v>0,41510--OK14</v>
      </c>
      <c r="P35" s="41">
        <f t="shared" si="0"/>
        <v>3</v>
      </c>
      <c r="R35">
        <f t="shared" si="2"/>
        <v>3</v>
      </c>
    </row>
    <row r="36" spans="1:18" ht="15.75" thickBot="1" x14ac:dyDescent="0.3">
      <c r="A36" s="10">
        <v>-10</v>
      </c>
      <c r="B36" s="12">
        <v>20</v>
      </c>
      <c r="C36" s="125" t="str">
        <f>Table141719202122[[#This Row],[Åtgärdskåd]]</f>
        <v>-----Frys innan täck</v>
      </c>
      <c r="D36" s="11" t="str">
        <f>Table1417192021[[#This Row],[Åtgärdskåd]]</f>
        <v>-----Frys innan täck</v>
      </c>
      <c r="E36" s="128" t="str">
        <f>Table14171920[[#This Row],[Åtgärdskåd]]</f>
        <v>-----Frys innan täck</v>
      </c>
      <c r="F36" s="11" t="str">
        <f>Table141719[[#This Row],[Åtgärdskåd]]</f>
        <v>-----Frys innan täck</v>
      </c>
      <c r="G36" s="128" t="str">
        <f>Table1417[[#This Row],[Åtgärdskåd]]</f>
        <v>-----Frys innan täck</v>
      </c>
      <c r="H36" s="11" t="str">
        <f>Table1423[[#This Row],[Åtgärdskåd]]</f>
        <v>-----Frys innan täck</v>
      </c>
      <c r="I36" s="131" t="str">
        <f>Table14[[#This Row],[Åtgärdskåd]]</f>
        <v>-----Frys innan täck</v>
      </c>
      <c r="K36" s="31">
        <v>10</v>
      </c>
      <c r="L36" s="4">
        <v>2</v>
      </c>
      <c r="N36" t="str">
        <f t="shared" si="1"/>
        <v>0,41510010OK14</v>
      </c>
      <c r="P36" s="41">
        <f t="shared" si="0"/>
        <v>6</v>
      </c>
      <c r="R36">
        <f t="shared" si="2"/>
        <v>4</v>
      </c>
    </row>
    <row r="37" spans="1:18" x14ac:dyDescent="0.25">
      <c r="A37" s="5">
        <v>-15</v>
      </c>
      <c r="B37" s="7">
        <v>0</v>
      </c>
      <c r="C37" s="123" t="str">
        <f>Table141719202122[[#This Row],[Åtgärdskåd]]</f>
        <v>0,11552050OK14</v>
      </c>
      <c r="D37" s="6" t="str">
        <f>Table1417192021[[#This Row],[Åtgärdskåd]]</f>
        <v>0,11552050OK14</v>
      </c>
      <c r="E37" s="126" t="str">
        <f>Table14171920[[#This Row],[Åtgärdskåd]]</f>
        <v>0,21552050OK14</v>
      </c>
      <c r="F37" s="6" t="str">
        <f>Table141719[[#This Row],[Åtgärdskåd]]</f>
        <v>0,21552050OK14</v>
      </c>
      <c r="G37" s="126" t="str">
        <f>Table1417[[#This Row],[Åtgärdskåd]]</f>
        <v>0,31552050OK14</v>
      </c>
      <c r="H37" s="6" t="str">
        <f>Table1423[[#This Row],[Åtgärdskåd]]</f>
        <v>0,31552050OK14</v>
      </c>
      <c r="I37" s="129" t="str">
        <f>Table14[[#This Row],[Åtgärdskåd]]</f>
        <v>0,31552050OK14</v>
      </c>
      <c r="K37" s="32">
        <v>10</v>
      </c>
      <c r="L37" s="3">
        <v>7</v>
      </c>
      <c r="M37" s="40"/>
      <c r="N37" t="str">
        <f t="shared" si="1"/>
        <v>0,41510010OK14</v>
      </c>
      <c r="P37" s="41">
        <f t="shared" si="0"/>
        <v>6</v>
      </c>
      <c r="R37">
        <f t="shared" si="2"/>
        <v>4</v>
      </c>
    </row>
    <row r="38" spans="1:18" x14ac:dyDescent="0.25">
      <c r="A38" s="8">
        <v>-15</v>
      </c>
      <c r="B38" s="9">
        <v>2</v>
      </c>
      <c r="C38" s="124" t="str">
        <f>Table141719202122[[#This Row],[Åtgärdskåd]]</f>
        <v>0,11552050OK14</v>
      </c>
      <c r="D38" t="str">
        <f>Table1417192021[[#This Row],[Åtgärdskåd]]</f>
        <v>0,11552050OK14</v>
      </c>
      <c r="E38" s="127" t="str">
        <f>Table14171920[[#This Row],[Åtgärdskåd]]</f>
        <v>0,21552050OK14</v>
      </c>
      <c r="F38" t="str">
        <f>Table141719[[#This Row],[Åtgärdskåd]]</f>
        <v>0,11552050OK14</v>
      </c>
      <c r="G38" s="127" t="str">
        <f>Table1417[[#This Row],[Åtgärdskåd]]</f>
        <v>0,21552050OK14</v>
      </c>
      <c r="H38" t="str">
        <f>Table1423[[#This Row],[Åtgärdskåd]]</f>
        <v>0,31552050OK14</v>
      </c>
      <c r="I38" s="130" t="str">
        <f>Table14[[#This Row],[Åtgärdskåd]]</f>
        <v>0,31552050OK14</v>
      </c>
      <c r="K38" s="31">
        <v>10</v>
      </c>
      <c r="L38" s="4">
        <v>12</v>
      </c>
      <c r="N38" t="str">
        <f t="shared" si="1"/>
        <v>0,41510010OK14</v>
      </c>
      <c r="P38" s="41">
        <f t="shared" si="0"/>
        <v>6</v>
      </c>
      <c r="R38">
        <f t="shared" si="2"/>
        <v>4</v>
      </c>
    </row>
    <row r="39" spans="1:18" ht="15.75" thickBot="1" x14ac:dyDescent="0.3">
      <c r="A39" s="8">
        <v>-15</v>
      </c>
      <c r="B39" s="9">
        <v>7</v>
      </c>
      <c r="C39" s="124" t="str">
        <f>Table141719202122[[#This Row],[Åtgärdskåd]]</f>
        <v>-----Frys innan täck</v>
      </c>
      <c r="D39" t="str">
        <f>Table1417192021[[#This Row],[Åtgärdskåd]]</f>
        <v>-----Frys innan täck</v>
      </c>
      <c r="E39" s="127" t="str">
        <f>Table14171920[[#This Row],[Åtgärdskåd]]</f>
        <v>-----Frys innan täck</v>
      </c>
      <c r="F39" t="str">
        <f>Table141719[[#This Row],[Åtgärdskåd]]</f>
        <v>-----Frys innan täck</v>
      </c>
      <c r="G39" s="127" t="str">
        <f>Table1417[[#This Row],[Åtgärdskåd]]</f>
        <v>-----Frys innan täck</v>
      </c>
      <c r="H39" t="str">
        <f>Table1423[[#This Row],[Åtgärdskåd]]</f>
        <v>-----Frys innan täck</v>
      </c>
      <c r="I39" s="130" t="str">
        <f>Table14[[#This Row],[Åtgärdskåd]]</f>
        <v>-----Frys innan täck</v>
      </c>
      <c r="K39" s="33">
        <v>10</v>
      </c>
      <c r="L39" s="34">
        <v>20</v>
      </c>
      <c r="M39" s="40"/>
      <c r="N39" t="str">
        <f t="shared" si="1"/>
        <v>0,41510010OK14</v>
      </c>
      <c r="P39" s="41">
        <f t="shared" si="0"/>
        <v>6</v>
      </c>
      <c r="R39">
        <f t="shared" si="2"/>
        <v>4</v>
      </c>
    </row>
    <row r="40" spans="1:18" x14ac:dyDescent="0.25">
      <c r="A40" s="8">
        <v>-15</v>
      </c>
      <c r="B40" s="9">
        <v>12</v>
      </c>
      <c r="C40" s="124" t="str">
        <f>Table141719202122[[#This Row],[Åtgärdskåd]]</f>
        <v>-----Frys innan täck</v>
      </c>
      <c r="D40" t="str">
        <f>Table1417192021[[#This Row],[Åtgärdskåd]]</f>
        <v>-----Frys innan täck</v>
      </c>
      <c r="E40" s="127" t="str">
        <f>Table14171920[[#This Row],[Åtgärdskåd]]</f>
        <v>-----Frys innan täck</v>
      </c>
      <c r="F40" t="str">
        <f>Table141719[[#This Row],[Åtgärdskåd]]</f>
        <v>-----Frys innan täck</v>
      </c>
      <c r="G40" s="127" t="str">
        <f>Table1417[[#This Row],[Åtgärdskåd]]</f>
        <v>-----Frys innan täck</v>
      </c>
      <c r="H40" t="str">
        <f>Table1423[[#This Row],[Åtgärdskåd]]</f>
        <v>-----Frys innan täck</v>
      </c>
      <c r="I40" s="130" t="str">
        <f>Table14[[#This Row],[Åtgärdskåd]]</f>
        <v>-----Frys innan täck</v>
      </c>
      <c r="K40" s="35">
        <v>5</v>
      </c>
      <c r="L40" s="36">
        <v>0</v>
      </c>
      <c r="N40" t="str">
        <f t="shared" si="1"/>
        <v>0,420520-OK14</v>
      </c>
      <c r="P40" s="41">
        <f t="shared" si="0"/>
        <v>11</v>
      </c>
      <c r="R40">
        <f t="shared" si="2"/>
        <v>5</v>
      </c>
    </row>
    <row r="41" spans="1:18" ht="15.75" thickBot="1" x14ac:dyDescent="0.3">
      <c r="A41" s="10">
        <v>-15</v>
      </c>
      <c r="B41" s="12">
        <v>20</v>
      </c>
      <c r="C41" s="125" t="str">
        <f>Table141719202122[[#This Row],[Åtgärdskåd]]</f>
        <v>-----Frys innan täck</v>
      </c>
      <c r="D41" s="11" t="str">
        <f>Table1417192021[[#This Row],[Åtgärdskåd]]</f>
        <v>-----Frys innan täck</v>
      </c>
      <c r="E41" s="128" t="str">
        <f>Table14171920[[#This Row],[Åtgärdskåd]]</f>
        <v>-----Frys innan täck</v>
      </c>
      <c r="F41" s="11" t="str">
        <f>Table141719[[#This Row],[Åtgärdskåd]]</f>
        <v>-----Frys innan täck</v>
      </c>
      <c r="G41" s="128" t="str">
        <f>Table1417[[#This Row],[Åtgärdskåd]]</f>
        <v>-----Frys innan täck</v>
      </c>
      <c r="H41" s="11" t="str">
        <f>Table1423[[#This Row],[Åtgärdskåd]]</f>
        <v>-----Frys innan täck</v>
      </c>
      <c r="I41" s="131" t="str">
        <f>Table14[[#This Row],[Åtgärdskåd]]</f>
        <v>-----Frys innan täck</v>
      </c>
      <c r="K41" s="32">
        <v>5</v>
      </c>
      <c r="L41" s="3">
        <v>2</v>
      </c>
      <c r="M41" s="40"/>
      <c r="N41" t="str">
        <f t="shared" si="1"/>
        <v>0,420520-OK14</v>
      </c>
      <c r="P41" s="41">
        <f t="shared" si="0"/>
        <v>11</v>
      </c>
      <c r="R41">
        <f t="shared" si="2"/>
        <v>5</v>
      </c>
    </row>
    <row r="42" spans="1:18" x14ac:dyDescent="0.25">
      <c r="A42" s="8">
        <v>-20</v>
      </c>
      <c r="B42" s="9">
        <v>0</v>
      </c>
      <c r="C42" s="124" t="str">
        <f>Table141719202122[[#This Row],[Åtgärdskåd]]</f>
        <v>-----Når ej 70%</v>
      </c>
      <c r="D42" t="str">
        <f>Table1417192021[[#This Row],[Åtgärdskåd]]</f>
        <v>-----Når ej 70%</v>
      </c>
      <c r="E42" s="127" t="str">
        <f>Table14171920[[#This Row],[Åtgärdskåd]]</f>
        <v>-----Når ej 70%</v>
      </c>
      <c r="F42" t="str">
        <f>Table141719[[#This Row],[Åtgärdskåd]]</f>
        <v>-----Når ej 70%</v>
      </c>
      <c r="G42" s="127" t="str">
        <f>Table1417[[#This Row],[Åtgärdskåd]]</f>
        <v>-----Når ej 70%</v>
      </c>
      <c r="H42" t="str">
        <f>Table1423[[#This Row],[Åtgärdskåd]]</f>
        <v>0,11052050OK14</v>
      </c>
      <c r="I42" s="130" t="str">
        <f>Table14[[#This Row],[Åtgärdskåd]]</f>
        <v>0,11052050OK14</v>
      </c>
      <c r="K42" s="31">
        <v>5</v>
      </c>
      <c r="L42" s="4">
        <v>7</v>
      </c>
      <c r="N42" t="str">
        <f t="shared" si="1"/>
        <v>0,420520PresenningOK14</v>
      </c>
      <c r="P42" s="41">
        <f t="shared" si="0"/>
        <v>12</v>
      </c>
      <c r="R42">
        <f t="shared" si="2"/>
        <v>6</v>
      </c>
    </row>
    <row r="43" spans="1:18" x14ac:dyDescent="0.25">
      <c r="A43" s="8">
        <v>-20</v>
      </c>
      <c r="B43" s="9">
        <v>2</v>
      </c>
      <c r="C43" s="124" t="str">
        <f>Table141719202122[[#This Row],[Åtgärdskåd]]</f>
        <v>-----Når ej 70%</v>
      </c>
      <c r="D43" t="str">
        <f>Table1417192021[[#This Row],[Åtgärdskåd]]</f>
        <v>-----Når ej 70%</v>
      </c>
      <c r="E43" s="127" t="str">
        <f>Table14171920[[#This Row],[Åtgärdskåd]]</f>
        <v>-----Når ej 70%</v>
      </c>
      <c r="F43" t="str">
        <f>Table141719[[#This Row],[Åtgärdskåd]]</f>
        <v>-----Når ej 70%</v>
      </c>
      <c r="G43" s="127" t="str">
        <f>Table1417[[#This Row],[Åtgärdskåd]]</f>
        <v>-----Når ej 70%</v>
      </c>
      <c r="H43" t="str">
        <f>Table1423[[#This Row],[Åtgärdskåd]]</f>
        <v>0,11052050OK14</v>
      </c>
      <c r="I43" s="130" t="str">
        <f>Table14[[#This Row],[Åtgärdskåd]]</f>
        <v>0,11052050OK14</v>
      </c>
      <c r="K43" s="32">
        <v>5</v>
      </c>
      <c r="L43" s="3">
        <v>12</v>
      </c>
      <c r="M43" s="40"/>
      <c r="N43" t="str">
        <f t="shared" si="1"/>
        <v>0,420520PresenningOK14</v>
      </c>
      <c r="P43" s="41">
        <f t="shared" si="0"/>
        <v>12</v>
      </c>
      <c r="R43">
        <f t="shared" si="2"/>
        <v>6</v>
      </c>
    </row>
    <row r="44" spans="1:18" ht="15.75" thickBot="1" x14ac:dyDescent="0.3">
      <c r="A44" s="8">
        <v>-20</v>
      </c>
      <c r="B44" s="9">
        <v>7</v>
      </c>
      <c r="C44" s="124" t="str">
        <f>Table141719202122[[#This Row],[Åtgärdskåd]]</f>
        <v>-----Frys innan täck</v>
      </c>
      <c r="D44" t="str">
        <f>Table1417192021[[#This Row],[Åtgärdskåd]]</f>
        <v>-----Frys innan täck</v>
      </c>
      <c r="E44" s="127" t="str">
        <f>Table14171920[[#This Row],[Åtgärdskåd]]</f>
        <v>-----Frys innan täck</v>
      </c>
      <c r="F44" t="str">
        <f>Table141719[[#This Row],[Åtgärdskåd]]</f>
        <v>-----Frys innan täck</v>
      </c>
      <c r="G44" s="127" t="str">
        <f>Table1417[[#This Row],[Åtgärdskåd]]</f>
        <v>-----Frys innan täck</v>
      </c>
      <c r="H44" t="str">
        <f>Table1423[[#This Row],[Åtgärdskåd]]</f>
        <v>-----Frys innan täck</v>
      </c>
      <c r="I44" s="130" t="str">
        <f>Table14[[#This Row],[Åtgärdskåd]]</f>
        <v>-----Frys innan täck</v>
      </c>
      <c r="K44" s="37">
        <v>5</v>
      </c>
      <c r="L44" s="38">
        <v>20</v>
      </c>
      <c r="N44" t="str">
        <f t="shared" si="1"/>
        <v>0,420520PresenningOK14</v>
      </c>
      <c r="P44" s="41">
        <f t="shared" si="0"/>
        <v>12</v>
      </c>
      <c r="R44">
        <f t="shared" si="2"/>
        <v>6</v>
      </c>
    </row>
    <row r="45" spans="1:18" x14ac:dyDescent="0.25">
      <c r="A45" s="8">
        <v>-20</v>
      </c>
      <c r="B45" s="9">
        <v>12</v>
      </c>
      <c r="C45" s="124" t="str">
        <f>Table141719202122[[#This Row],[Åtgärdskåd]]</f>
        <v>-----Frys innan täck</v>
      </c>
      <c r="D45" t="str">
        <f>Table1417192021[[#This Row],[Åtgärdskåd]]</f>
        <v>-----Frys innan täck</v>
      </c>
      <c r="E45" s="127" t="str">
        <f>Table14171920[[#This Row],[Åtgärdskåd]]</f>
        <v>-----Frys innan täck</v>
      </c>
      <c r="F45" t="str">
        <f>Table141719[[#This Row],[Åtgärdskåd]]</f>
        <v>-----Frys innan täck</v>
      </c>
      <c r="G45" s="127" t="str">
        <f>Table1417[[#This Row],[Åtgärdskåd]]</f>
        <v>-----Frys innan täck</v>
      </c>
      <c r="H45" t="str">
        <f>Table1423[[#This Row],[Åtgärdskåd]]</f>
        <v>-----Frys innan täck</v>
      </c>
      <c r="I45" s="130" t="str">
        <f>Table14[[#This Row],[Åtgärdskåd]]</f>
        <v>-----Frys innan täck</v>
      </c>
      <c r="K45" s="29">
        <v>0</v>
      </c>
      <c r="L45" s="30">
        <v>0</v>
      </c>
      <c r="M45" s="40"/>
      <c r="N45" t="str">
        <f t="shared" si="1"/>
        <v>0,420520PresenningOK14</v>
      </c>
      <c r="P45" s="41">
        <f t="shared" si="0"/>
        <v>12</v>
      </c>
      <c r="R45">
        <f t="shared" si="2"/>
        <v>6</v>
      </c>
    </row>
    <row r="46" spans="1:18" ht="15.75" thickBot="1" x14ac:dyDescent="0.3">
      <c r="A46" s="10">
        <v>-20</v>
      </c>
      <c r="B46" s="12">
        <v>20</v>
      </c>
      <c r="C46" s="125" t="str">
        <f>Table141719202122[[#This Row],[Åtgärdskåd]]</f>
        <v>-----Frys innan täck</v>
      </c>
      <c r="D46" s="11" t="str">
        <f>Table1417192021[[#This Row],[Åtgärdskåd]]</f>
        <v>-----Frys innan täck</v>
      </c>
      <c r="E46" s="128" t="str">
        <f>Table14171920[[#This Row],[Åtgärdskåd]]</f>
        <v>-----Frys innan täck</v>
      </c>
      <c r="F46" s="11" t="str">
        <f>Table141719[[#This Row],[Åtgärdskåd]]</f>
        <v>-----Frys innan täck</v>
      </c>
      <c r="G46" s="128" t="str">
        <f>Table1417[[#This Row],[Åtgärdskåd]]</f>
        <v>-----Frys innan täck</v>
      </c>
      <c r="H46" s="11" t="str">
        <f>Table1423[[#This Row],[Åtgärdskåd]]</f>
        <v>-----Frys innan täck</v>
      </c>
      <c r="I46" s="131" t="str">
        <f>Table14[[#This Row],[Åtgärdskåd]]</f>
        <v>-----Frys innan täck</v>
      </c>
      <c r="K46" s="31">
        <v>0</v>
      </c>
      <c r="L46" s="4">
        <v>2</v>
      </c>
      <c r="N46" t="str">
        <f t="shared" si="1"/>
        <v>0,42052010OK14</v>
      </c>
      <c r="P46" s="41">
        <f t="shared" si="0"/>
        <v>13</v>
      </c>
      <c r="R46">
        <f t="shared" si="2"/>
        <v>7</v>
      </c>
    </row>
    <row r="47" spans="1:18" x14ac:dyDescent="0.25">
      <c r="K47" s="32">
        <v>0</v>
      </c>
      <c r="L47" s="3">
        <v>7</v>
      </c>
      <c r="M47" s="40"/>
      <c r="N47" t="str">
        <f t="shared" si="1"/>
        <v>0,42052010OK14</v>
      </c>
      <c r="P47" s="41">
        <f t="shared" si="0"/>
        <v>13</v>
      </c>
      <c r="R47">
        <f t="shared" si="2"/>
        <v>7</v>
      </c>
    </row>
    <row r="48" spans="1:18" x14ac:dyDescent="0.25">
      <c r="K48" s="31">
        <v>0</v>
      </c>
      <c r="L48" s="4">
        <v>12</v>
      </c>
      <c r="N48" t="str">
        <f t="shared" si="1"/>
        <v>0,42052010OK14</v>
      </c>
      <c r="P48" s="41">
        <f t="shared" si="0"/>
        <v>13</v>
      </c>
      <c r="R48">
        <f t="shared" si="2"/>
        <v>7</v>
      </c>
    </row>
    <row r="49" spans="11:18" ht="15.75" thickBot="1" x14ac:dyDescent="0.3">
      <c r="K49" s="33">
        <v>0</v>
      </c>
      <c r="L49" s="34">
        <v>20</v>
      </c>
      <c r="M49" s="40"/>
      <c r="N49" t="str">
        <f t="shared" si="1"/>
        <v>0,42052010OK14</v>
      </c>
      <c r="P49" s="41">
        <f t="shared" si="0"/>
        <v>13</v>
      </c>
      <c r="R49">
        <f t="shared" si="2"/>
        <v>7</v>
      </c>
    </row>
    <row r="50" spans="11:18" x14ac:dyDescent="0.25">
      <c r="K50" s="35">
        <v>-5</v>
      </c>
      <c r="L50" s="36">
        <v>0</v>
      </c>
      <c r="N50" t="str">
        <f t="shared" si="1"/>
        <v>0,42052020OK14</v>
      </c>
      <c r="P50" s="41">
        <f t="shared" si="0"/>
        <v>14</v>
      </c>
      <c r="R50">
        <f t="shared" si="2"/>
        <v>8</v>
      </c>
    </row>
    <row r="51" spans="11:18" x14ac:dyDescent="0.25">
      <c r="K51" s="32">
        <v>-5</v>
      </c>
      <c r="L51" s="3">
        <v>2</v>
      </c>
      <c r="M51" s="40"/>
      <c r="N51" t="str">
        <f t="shared" si="1"/>
        <v>0,42052020OK14</v>
      </c>
      <c r="P51" s="41">
        <f t="shared" si="0"/>
        <v>14</v>
      </c>
      <c r="R51">
        <f t="shared" si="2"/>
        <v>8</v>
      </c>
    </row>
    <row r="52" spans="11:18" x14ac:dyDescent="0.25">
      <c r="K52" s="31">
        <v>-5</v>
      </c>
      <c r="L52" s="4">
        <v>7</v>
      </c>
      <c r="N52" t="str">
        <f t="shared" si="1"/>
        <v>0,42052030OK14</v>
      </c>
      <c r="P52" s="41">
        <f t="shared" si="0"/>
        <v>15</v>
      </c>
      <c r="R52">
        <f t="shared" si="2"/>
        <v>9</v>
      </c>
    </row>
    <row r="53" spans="11:18" x14ac:dyDescent="0.25">
      <c r="K53" s="32">
        <v>-5</v>
      </c>
      <c r="L53" s="3">
        <v>12</v>
      </c>
      <c r="M53" s="40"/>
      <c r="N53" t="str">
        <f t="shared" si="1"/>
        <v>0,42052030OK14</v>
      </c>
      <c r="P53" s="41">
        <f t="shared" si="0"/>
        <v>15</v>
      </c>
      <c r="R53">
        <f t="shared" si="2"/>
        <v>9</v>
      </c>
    </row>
    <row r="54" spans="11:18" ht="15.75" thickBot="1" x14ac:dyDescent="0.3">
      <c r="K54" s="37">
        <v>-5</v>
      </c>
      <c r="L54" s="38">
        <v>20</v>
      </c>
      <c r="N54" t="str">
        <f t="shared" si="1"/>
        <v>0,42052030OK14</v>
      </c>
      <c r="P54" s="41">
        <f t="shared" si="0"/>
        <v>15</v>
      </c>
      <c r="R54">
        <f t="shared" si="2"/>
        <v>9</v>
      </c>
    </row>
    <row r="55" spans="11:18" x14ac:dyDescent="0.25">
      <c r="K55" s="29">
        <v>-10</v>
      </c>
      <c r="L55" s="30">
        <v>0</v>
      </c>
      <c r="M55" s="40"/>
      <c r="N55" t="str">
        <f t="shared" si="1"/>
        <v>0,32052050OK14</v>
      </c>
      <c r="P55" s="41">
        <f t="shared" si="0"/>
        <v>17</v>
      </c>
      <c r="R55">
        <f t="shared" si="2"/>
        <v>10</v>
      </c>
    </row>
    <row r="56" spans="11:18" x14ac:dyDescent="0.25">
      <c r="K56" s="31">
        <v>-10</v>
      </c>
      <c r="L56" s="4">
        <v>2</v>
      </c>
      <c r="N56" t="str">
        <f t="shared" si="1"/>
        <v>0,32052050OK14</v>
      </c>
      <c r="P56" s="41">
        <f t="shared" si="0"/>
        <v>17</v>
      </c>
      <c r="R56">
        <f t="shared" si="2"/>
        <v>10</v>
      </c>
    </row>
    <row r="57" spans="11:18" x14ac:dyDescent="0.25">
      <c r="K57" s="32">
        <v>-10</v>
      </c>
      <c r="L57" s="3">
        <v>7</v>
      </c>
      <c r="M57" s="40"/>
      <c r="N57" t="str">
        <f t="shared" si="1"/>
        <v>0,32052050OK14</v>
      </c>
      <c r="P57" s="41">
        <f t="shared" si="0"/>
        <v>17</v>
      </c>
      <c r="R57">
        <f t="shared" si="2"/>
        <v>10</v>
      </c>
    </row>
    <row r="58" spans="11:18" x14ac:dyDescent="0.25">
      <c r="K58" s="31">
        <v>-10</v>
      </c>
      <c r="L58" s="4">
        <v>12</v>
      </c>
      <c r="N58" t="str">
        <f t="shared" si="1"/>
        <v>-----Frys innan täck</v>
      </c>
      <c r="P58" s="41">
        <f t="shared" si="0"/>
        <v>23</v>
      </c>
      <c r="R58">
        <f t="shared" si="2"/>
        <v>11</v>
      </c>
    </row>
    <row r="59" spans="11:18" ht="15.75" thickBot="1" x14ac:dyDescent="0.3">
      <c r="K59" s="33">
        <v>-10</v>
      </c>
      <c r="L59" s="34">
        <v>20</v>
      </c>
      <c r="M59" s="40"/>
      <c r="N59" t="str">
        <f t="shared" si="1"/>
        <v>-----Frys innan täck</v>
      </c>
      <c r="P59" s="41">
        <f t="shared" si="0"/>
        <v>23</v>
      </c>
      <c r="R59">
        <f t="shared" si="2"/>
        <v>11</v>
      </c>
    </row>
    <row r="60" spans="11:18" x14ac:dyDescent="0.25">
      <c r="K60" s="35">
        <v>-15</v>
      </c>
      <c r="L60" s="36">
        <v>0</v>
      </c>
      <c r="N60" t="str">
        <f t="shared" si="1"/>
        <v>0,11552050OK14</v>
      </c>
      <c r="P60" s="41">
        <f t="shared" si="0"/>
        <v>20</v>
      </c>
      <c r="R60">
        <f t="shared" si="2"/>
        <v>12</v>
      </c>
    </row>
    <row r="61" spans="11:18" x14ac:dyDescent="0.25">
      <c r="K61" s="32">
        <v>-15</v>
      </c>
      <c r="L61" s="3">
        <v>2</v>
      </c>
      <c r="M61" s="40"/>
      <c r="N61" t="str">
        <f t="shared" si="1"/>
        <v>0,11552050OK14</v>
      </c>
      <c r="P61" s="41">
        <f t="shared" si="0"/>
        <v>20</v>
      </c>
      <c r="R61">
        <f t="shared" si="2"/>
        <v>12</v>
      </c>
    </row>
    <row r="62" spans="11:18" x14ac:dyDescent="0.25">
      <c r="K62" s="31">
        <v>-15</v>
      </c>
      <c r="L62" s="4">
        <v>7</v>
      </c>
      <c r="N62" t="str">
        <f t="shared" si="1"/>
        <v>-----Frys innan täck</v>
      </c>
      <c r="P62" s="41">
        <f t="shared" si="0"/>
        <v>23</v>
      </c>
      <c r="R62">
        <f t="shared" si="2"/>
        <v>11</v>
      </c>
    </row>
    <row r="63" spans="11:18" x14ac:dyDescent="0.25">
      <c r="K63" s="32">
        <v>-15</v>
      </c>
      <c r="L63" s="3">
        <v>12</v>
      </c>
      <c r="M63" s="40"/>
      <c r="N63" t="str">
        <f t="shared" si="1"/>
        <v>-----Frys innan täck</v>
      </c>
      <c r="P63" s="41">
        <f t="shared" si="0"/>
        <v>23</v>
      </c>
      <c r="R63">
        <f t="shared" si="2"/>
        <v>11</v>
      </c>
    </row>
    <row r="64" spans="11:18" ht="15.75" thickBot="1" x14ac:dyDescent="0.3">
      <c r="K64" s="37">
        <v>-15</v>
      </c>
      <c r="L64" s="38">
        <v>20</v>
      </c>
      <c r="N64" t="str">
        <f t="shared" si="1"/>
        <v>-----Frys innan täck</v>
      </c>
      <c r="P64" s="41">
        <f t="shared" si="0"/>
        <v>23</v>
      </c>
      <c r="R64">
        <f t="shared" si="2"/>
        <v>11</v>
      </c>
    </row>
    <row r="65" spans="11:18" x14ac:dyDescent="0.25">
      <c r="K65" s="29">
        <v>-20</v>
      </c>
      <c r="L65" s="30">
        <v>0</v>
      </c>
      <c r="M65" s="40"/>
      <c r="N65" t="str">
        <f t="shared" si="1"/>
        <v>-----Når ej 70%</v>
      </c>
      <c r="P65" s="41">
        <f t="shared" si="0"/>
        <v>22</v>
      </c>
      <c r="R65">
        <f t="shared" si="2"/>
        <v>13</v>
      </c>
    </row>
    <row r="66" spans="11:18" x14ac:dyDescent="0.25">
      <c r="K66" s="31">
        <v>-20</v>
      </c>
      <c r="L66" s="4">
        <v>2</v>
      </c>
      <c r="N66" t="str">
        <f t="shared" si="1"/>
        <v>-----Når ej 70%</v>
      </c>
      <c r="P66" s="41">
        <f t="shared" si="0"/>
        <v>22</v>
      </c>
      <c r="R66">
        <f t="shared" si="2"/>
        <v>13</v>
      </c>
    </row>
    <row r="67" spans="11:18" x14ac:dyDescent="0.25">
      <c r="K67" s="32">
        <v>-20</v>
      </c>
      <c r="L67" s="3">
        <v>7</v>
      </c>
      <c r="M67" s="40"/>
      <c r="N67" t="str">
        <f t="shared" si="1"/>
        <v>-----Frys innan täck</v>
      </c>
      <c r="P67" s="41">
        <f t="shared" ref="P67:P130" si="3">MATCH(N67, _xlfn.UNIQUE($N$2:$N$339), 0)</f>
        <v>23</v>
      </c>
      <c r="R67">
        <f t="shared" si="2"/>
        <v>11</v>
      </c>
    </row>
    <row r="68" spans="11:18" x14ac:dyDescent="0.25">
      <c r="K68" s="31">
        <v>-20</v>
      </c>
      <c r="L68" s="4">
        <v>12</v>
      </c>
      <c r="N68" t="str">
        <f t="shared" si="1"/>
        <v>-----Frys innan täck</v>
      </c>
      <c r="P68" s="41">
        <f t="shared" si="3"/>
        <v>23</v>
      </c>
      <c r="R68">
        <f t="shared" si="2"/>
        <v>11</v>
      </c>
    </row>
    <row r="69" spans="11:18" ht="15.75" thickBot="1" x14ac:dyDescent="0.3">
      <c r="K69" s="132">
        <v>-20</v>
      </c>
      <c r="L69" s="133">
        <v>20</v>
      </c>
      <c r="M69" s="40"/>
      <c r="N69" t="str">
        <f t="shared" si="1"/>
        <v>-----Frys innan täck</v>
      </c>
      <c r="P69" s="41">
        <f t="shared" si="3"/>
        <v>23</v>
      </c>
      <c r="R69">
        <f t="shared" si="2"/>
        <v>11</v>
      </c>
    </row>
    <row r="70" spans="11:18" x14ac:dyDescent="0.25">
      <c r="K70" s="135">
        <v>20</v>
      </c>
      <c r="L70" s="136">
        <v>0</v>
      </c>
      <c r="M70" s="6" t="s">
        <v>22</v>
      </c>
      <c r="N70" s="6" t="str">
        <f t="shared" ref="N70:N114" si="4">D2</f>
        <v>0,41520--OK14</v>
      </c>
      <c r="O70" s="6"/>
      <c r="P70" s="41">
        <f t="shared" si="3"/>
        <v>1</v>
      </c>
      <c r="R70">
        <f t="shared" si="2"/>
        <v>1</v>
      </c>
    </row>
    <row r="71" spans="11:18" x14ac:dyDescent="0.25">
      <c r="K71" s="8">
        <v>20</v>
      </c>
      <c r="L71">
        <v>2</v>
      </c>
      <c r="N71" t="str">
        <f t="shared" si="4"/>
        <v>0,41520--OK14</v>
      </c>
      <c r="P71" s="41">
        <f t="shared" si="3"/>
        <v>1</v>
      </c>
      <c r="R71">
        <f t="shared" si="2"/>
        <v>1</v>
      </c>
    </row>
    <row r="72" spans="11:18" x14ac:dyDescent="0.25">
      <c r="K72" s="137">
        <v>20</v>
      </c>
      <c r="L72" s="40">
        <v>7</v>
      </c>
      <c r="M72" s="40"/>
      <c r="N72" t="str">
        <f t="shared" si="4"/>
        <v>0,41520--OK14</v>
      </c>
      <c r="P72" s="41">
        <f t="shared" si="3"/>
        <v>1</v>
      </c>
      <c r="R72">
        <f t="shared" si="2"/>
        <v>1</v>
      </c>
    </row>
    <row r="73" spans="11:18" x14ac:dyDescent="0.25">
      <c r="K73" s="8">
        <v>20</v>
      </c>
      <c r="L73">
        <v>12</v>
      </c>
      <c r="N73" t="str">
        <f t="shared" si="4"/>
        <v>0,41520--OK14</v>
      </c>
      <c r="P73" s="41">
        <f t="shared" si="3"/>
        <v>1</v>
      </c>
      <c r="R73">
        <f t="shared" si="2"/>
        <v>1</v>
      </c>
    </row>
    <row r="74" spans="11:18" x14ac:dyDescent="0.25">
      <c r="K74" s="137">
        <v>20</v>
      </c>
      <c r="L74" s="40">
        <v>20</v>
      </c>
      <c r="M74" s="40"/>
      <c r="N74" t="str">
        <f t="shared" si="4"/>
        <v>0,41520--OK14</v>
      </c>
      <c r="P74" s="41">
        <f t="shared" si="3"/>
        <v>1</v>
      </c>
      <c r="R74">
        <f t="shared" si="2"/>
        <v>1</v>
      </c>
    </row>
    <row r="75" spans="11:18" x14ac:dyDescent="0.25">
      <c r="K75" s="8">
        <v>15</v>
      </c>
      <c r="L75">
        <v>0</v>
      </c>
      <c r="N75" t="str">
        <f t="shared" si="4"/>
        <v>0,41515--OK14</v>
      </c>
      <c r="P75" s="41">
        <f t="shared" si="3"/>
        <v>2</v>
      </c>
      <c r="R75">
        <f t="shared" si="2"/>
        <v>2</v>
      </c>
    </row>
    <row r="76" spans="11:18" x14ac:dyDescent="0.25">
      <c r="K76" s="137">
        <v>15</v>
      </c>
      <c r="L76" s="40">
        <v>2</v>
      </c>
      <c r="M76" s="40"/>
      <c r="N76" t="str">
        <f t="shared" si="4"/>
        <v>0,41515--OK14</v>
      </c>
      <c r="P76" s="41">
        <f t="shared" si="3"/>
        <v>2</v>
      </c>
      <c r="R76">
        <f t="shared" si="2"/>
        <v>2</v>
      </c>
    </row>
    <row r="77" spans="11:18" x14ac:dyDescent="0.25">
      <c r="K77" s="8">
        <v>15</v>
      </c>
      <c r="L77">
        <v>7</v>
      </c>
      <c r="N77" t="str">
        <f t="shared" si="4"/>
        <v>0,41515--OK14</v>
      </c>
      <c r="P77" s="41">
        <f t="shared" si="3"/>
        <v>2</v>
      </c>
      <c r="R77">
        <f t="shared" si="2"/>
        <v>2</v>
      </c>
    </row>
    <row r="78" spans="11:18" x14ac:dyDescent="0.25">
      <c r="K78" s="137">
        <v>15</v>
      </c>
      <c r="L78" s="40">
        <v>12</v>
      </c>
      <c r="M78" s="40"/>
      <c r="N78" t="str">
        <f t="shared" si="4"/>
        <v>0,41515--OK14</v>
      </c>
      <c r="P78" s="41">
        <f t="shared" si="3"/>
        <v>2</v>
      </c>
      <c r="R78">
        <f t="shared" si="2"/>
        <v>2</v>
      </c>
    </row>
    <row r="79" spans="11:18" x14ac:dyDescent="0.25">
      <c r="K79" s="8">
        <v>15</v>
      </c>
      <c r="L79">
        <v>20</v>
      </c>
      <c r="N79" t="str">
        <f t="shared" si="4"/>
        <v>0,41515--OK14</v>
      </c>
      <c r="P79" s="41">
        <f t="shared" si="3"/>
        <v>2</v>
      </c>
      <c r="R79">
        <f t="shared" si="2"/>
        <v>2</v>
      </c>
    </row>
    <row r="80" spans="11:18" x14ac:dyDescent="0.25">
      <c r="K80" s="137">
        <v>10</v>
      </c>
      <c r="L80" s="40">
        <v>0</v>
      </c>
      <c r="M80" s="40"/>
      <c r="N80" t="str">
        <f t="shared" si="4"/>
        <v>0,41510--OK14</v>
      </c>
      <c r="P80" s="41">
        <f t="shared" si="3"/>
        <v>3</v>
      </c>
      <c r="R80">
        <f t="shared" si="2"/>
        <v>3</v>
      </c>
    </row>
    <row r="81" spans="11:18" x14ac:dyDescent="0.25">
      <c r="K81" s="8">
        <v>10</v>
      </c>
      <c r="L81">
        <v>2</v>
      </c>
      <c r="N81" t="str">
        <f t="shared" si="4"/>
        <v>0,41510--OK14</v>
      </c>
      <c r="P81" s="41">
        <f t="shared" si="3"/>
        <v>3</v>
      </c>
      <c r="R81">
        <f t="shared" si="2"/>
        <v>3</v>
      </c>
    </row>
    <row r="82" spans="11:18" x14ac:dyDescent="0.25">
      <c r="K82" s="137">
        <v>10</v>
      </c>
      <c r="L82" s="40">
        <v>7</v>
      </c>
      <c r="M82" s="40"/>
      <c r="N82" t="str">
        <f t="shared" si="4"/>
        <v>0,41510--OK14</v>
      </c>
      <c r="P82" s="41">
        <f t="shared" si="3"/>
        <v>3</v>
      </c>
      <c r="R82">
        <f t="shared" si="2"/>
        <v>3</v>
      </c>
    </row>
    <row r="83" spans="11:18" x14ac:dyDescent="0.25">
      <c r="K83" s="8">
        <v>10</v>
      </c>
      <c r="L83">
        <v>12</v>
      </c>
      <c r="N83" t="str">
        <f t="shared" si="4"/>
        <v>0,41510--OK14</v>
      </c>
      <c r="P83" s="41">
        <f t="shared" si="3"/>
        <v>3</v>
      </c>
      <c r="R83">
        <f t="shared" si="2"/>
        <v>3</v>
      </c>
    </row>
    <row r="84" spans="11:18" x14ac:dyDescent="0.25">
      <c r="K84" s="137">
        <v>10</v>
      </c>
      <c r="L84" s="40">
        <v>20</v>
      </c>
      <c r="M84" s="40"/>
      <c r="N84" t="str">
        <f t="shared" si="4"/>
        <v>0,415100-OK14</v>
      </c>
      <c r="P84" s="41">
        <f t="shared" si="3"/>
        <v>4</v>
      </c>
      <c r="R84">
        <f t="shared" si="2"/>
        <v>14</v>
      </c>
    </row>
    <row r="85" spans="11:18" x14ac:dyDescent="0.25">
      <c r="K85" s="8">
        <v>5</v>
      </c>
      <c r="L85">
        <v>0</v>
      </c>
      <c r="N85" t="str">
        <f t="shared" si="4"/>
        <v>0,420520-OK14</v>
      </c>
      <c r="P85" s="41">
        <f t="shared" si="3"/>
        <v>11</v>
      </c>
      <c r="R85">
        <f t="shared" si="2"/>
        <v>5</v>
      </c>
    </row>
    <row r="86" spans="11:18" x14ac:dyDescent="0.25">
      <c r="K86" s="137">
        <v>5</v>
      </c>
      <c r="L86" s="40">
        <v>2</v>
      </c>
      <c r="M86" s="40"/>
      <c r="N86" t="str">
        <f t="shared" si="4"/>
        <v>0,420520-OK14</v>
      </c>
      <c r="P86" s="41">
        <f t="shared" si="3"/>
        <v>11</v>
      </c>
      <c r="R86">
        <f t="shared" si="2"/>
        <v>5</v>
      </c>
    </row>
    <row r="87" spans="11:18" x14ac:dyDescent="0.25">
      <c r="K87" s="8">
        <v>5</v>
      </c>
      <c r="L87">
        <v>7</v>
      </c>
      <c r="N87" t="str">
        <f t="shared" si="4"/>
        <v>0,420520PresenningOK14</v>
      </c>
      <c r="P87" s="41">
        <f t="shared" si="3"/>
        <v>12</v>
      </c>
      <c r="R87">
        <f t="shared" si="2"/>
        <v>6</v>
      </c>
    </row>
    <row r="88" spans="11:18" x14ac:dyDescent="0.25">
      <c r="K88" s="137">
        <v>5</v>
      </c>
      <c r="L88" s="40">
        <v>12</v>
      </c>
      <c r="M88" s="40"/>
      <c r="N88" t="str">
        <f t="shared" si="4"/>
        <v>0,420520PresenningOK14</v>
      </c>
      <c r="P88" s="41">
        <f t="shared" si="3"/>
        <v>12</v>
      </c>
      <c r="R88">
        <f t="shared" si="2"/>
        <v>6</v>
      </c>
    </row>
    <row r="89" spans="11:18" x14ac:dyDescent="0.25">
      <c r="K89" s="8">
        <v>5</v>
      </c>
      <c r="L89">
        <v>20</v>
      </c>
      <c r="N89" t="str">
        <f t="shared" si="4"/>
        <v>0,420520PresenningOK14</v>
      </c>
      <c r="P89" s="41">
        <f t="shared" si="3"/>
        <v>12</v>
      </c>
      <c r="R89">
        <f t="shared" ref="R89:R152" si="5">MATCH(N89, _xlfn.UNIQUE($N$25:$N$339), 0)</f>
        <v>6</v>
      </c>
    </row>
    <row r="90" spans="11:18" x14ac:dyDescent="0.25">
      <c r="K90" s="137">
        <v>0</v>
      </c>
      <c r="L90" s="40">
        <v>0</v>
      </c>
      <c r="M90" s="40"/>
      <c r="N90" t="str">
        <f t="shared" si="4"/>
        <v>0,420520-OK14</v>
      </c>
      <c r="P90" s="41">
        <f t="shared" si="3"/>
        <v>11</v>
      </c>
      <c r="R90">
        <f t="shared" si="5"/>
        <v>5</v>
      </c>
    </row>
    <row r="91" spans="11:18" x14ac:dyDescent="0.25">
      <c r="K91" s="8">
        <v>0</v>
      </c>
      <c r="L91">
        <v>2</v>
      </c>
      <c r="N91" t="str">
        <f t="shared" si="4"/>
        <v>0,42052010OK14</v>
      </c>
      <c r="P91" s="41">
        <f t="shared" si="3"/>
        <v>13</v>
      </c>
      <c r="R91">
        <f t="shared" si="5"/>
        <v>7</v>
      </c>
    </row>
    <row r="92" spans="11:18" x14ac:dyDescent="0.25">
      <c r="K92" s="137">
        <v>0</v>
      </c>
      <c r="L92" s="40">
        <v>7</v>
      </c>
      <c r="M92" s="40"/>
      <c r="N92" t="str">
        <f t="shared" si="4"/>
        <v>0,42052010OK14</v>
      </c>
      <c r="P92" s="41">
        <f t="shared" si="3"/>
        <v>13</v>
      </c>
      <c r="R92">
        <f t="shared" si="5"/>
        <v>7</v>
      </c>
    </row>
    <row r="93" spans="11:18" x14ac:dyDescent="0.25">
      <c r="K93" s="8">
        <v>0</v>
      </c>
      <c r="L93">
        <v>12</v>
      </c>
      <c r="N93" t="str">
        <f t="shared" si="4"/>
        <v>0,42052010OK14</v>
      </c>
      <c r="P93" s="41">
        <f t="shared" si="3"/>
        <v>13</v>
      </c>
      <c r="R93">
        <f t="shared" si="5"/>
        <v>7</v>
      </c>
    </row>
    <row r="94" spans="11:18" x14ac:dyDescent="0.25">
      <c r="K94" s="137">
        <v>0</v>
      </c>
      <c r="L94" s="40">
        <v>20</v>
      </c>
      <c r="M94" s="40"/>
      <c r="N94" t="str">
        <f t="shared" si="4"/>
        <v>0,42052010OK14</v>
      </c>
      <c r="P94" s="41">
        <f t="shared" si="3"/>
        <v>13</v>
      </c>
      <c r="R94">
        <f t="shared" si="5"/>
        <v>7</v>
      </c>
    </row>
    <row r="95" spans="11:18" x14ac:dyDescent="0.25">
      <c r="K95" s="8">
        <v>-5</v>
      </c>
      <c r="L95">
        <v>0</v>
      </c>
      <c r="N95" t="str">
        <f t="shared" si="4"/>
        <v>0,42052010OK14</v>
      </c>
      <c r="P95" s="41">
        <f t="shared" si="3"/>
        <v>13</v>
      </c>
      <c r="R95">
        <f t="shared" si="5"/>
        <v>7</v>
      </c>
    </row>
    <row r="96" spans="11:18" x14ac:dyDescent="0.25">
      <c r="K96" s="137">
        <v>-5</v>
      </c>
      <c r="L96" s="40">
        <v>2</v>
      </c>
      <c r="M96" s="40"/>
      <c r="N96" t="str">
        <f t="shared" si="4"/>
        <v>0,42052020OK14</v>
      </c>
      <c r="P96" s="41">
        <f t="shared" si="3"/>
        <v>14</v>
      </c>
      <c r="R96">
        <f t="shared" si="5"/>
        <v>8</v>
      </c>
    </row>
    <row r="97" spans="11:18" x14ac:dyDescent="0.25">
      <c r="K97" s="8">
        <v>-5</v>
      </c>
      <c r="L97">
        <v>7</v>
      </c>
      <c r="N97" t="str">
        <f t="shared" si="4"/>
        <v>0,42052020OK14</v>
      </c>
      <c r="P97" s="41">
        <f t="shared" si="3"/>
        <v>14</v>
      </c>
      <c r="R97">
        <f t="shared" si="5"/>
        <v>8</v>
      </c>
    </row>
    <row r="98" spans="11:18" x14ac:dyDescent="0.25">
      <c r="K98" s="137">
        <v>-5</v>
      </c>
      <c r="L98" s="40">
        <v>12</v>
      </c>
      <c r="M98" s="40"/>
      <c r="N98" t="str">
        <f t="shared" si="4"/>
        <v>0,42052020OK14</v>
      </c>
      <c r="P98" s="41">
        <f t="shared" si="3"/>
        <v>14</v>
      </c>
      <c r="R98">
        <f t="shared" si="5"/>
        <v>8</v>
      </c>
    </row>
    <row r="99" spans="11:18" x14ac:dyDescent="0.25">
      <c r="K99" s="8">
        <v>-5</v>
      </c>
      <c r="L99">
        <v>20</v>
      </c>
      <c r="N99" t="str">
        <f t="shared" si="4"/>
        <v>0,42052020OK14</v>
      </c>
      <c r="P99" s="41">
        <f t="shared" si="3"/>
        <v>14</v>
      </c>
      <c r="R99">
        <f t="shared" si="5"/>
        <v>8</v>
      </c>
    </row>
    <row r="100" spans="11:18" x14ac:dyDescent="0.25">
      <c r="K100" s="137">
        <v>-10</v>
      </c>
      <c r="L100" s="40">
        <v>0</v>
      </c>
      <c r="M100" s="40"/>
      <c r="N100" t="str">
        <f t="shared" si="4"/>
        <v>0,42052050OK14</v>
      </c>
      <c r="P100" s="41">
        <f t="shared" si="3"/>
        <v>16</v>
      </c>
      <c r="R100">
        <f t="shared" si="5"/>
        <v>15</v>
      </c>
    </row>
    <row r="101" spans="11:18" x14ac:dyDescent="0.25">
      <c r="K101" s="8">
        <v>-10</v>
      </c>
      <c r="L101">
        <v>2</v>
      </c>
      <c r="N101" t="str">
        <f t="shared" si="4"/>
        <v>0,42052050OK14</v>
      </c>
      <c r="P101" s="41">
        <f t="shared" si="3"/>
        <v>16</v>
      </c>
      <c r="R101">
        <f t="shared" si="5"/>
        <v>15</v>
      </c>
    </row>
    <row r="102" spans="11:18" x14ac:dyDescent="0.25">
      <c r="K102" s="137">
        <v>-10</v>
      </c>
      <c r="L102" s="40">
        <v>7</v>
      </c>
      <c r="M102" s="40"/>
      <c r="N102" t="str">
        <f t="shared" si="4"/>
        <v>0,42052050OK14</v>
      </c>
      <c r="P102" s="41">
        <f t="shared" si="3"/>
        <v>16</v>
      </c>
      <c r="R102">
        <f t="shared" si="5"/>
        <v>15</v>
      </c>
    </row>
    <row r="103" spans="11:18" x14ac:dyDescent="0.25">
      <c r="K103" s="8">
        <v>-10</v>
      </c>
      <c r="L103">
        <v>12</v>
      </c>
      <c r="N103" t="str">
        <f t="shared" si="4"/>
        <v>-----Frys innan täck</v>
      </c>
      <c r="P103" s="41">
        <f t="shared" si="3"/>
        <v>23</v>
      </c>
      <c r="R103">
        <f t="shared" si="5"/>
        <v>11</v>
      </c>
    </row>
    <row r="104" spans="11:18" x14ac:dyDescent="0.25">
      <c r="K104" s="137">
        <v>-10</v>
      </c>
      <c r="L104" s="40">
        <v>20</v>
      </c>
      <c r="M104" s="40"/>
      <c r="N104" t="str">
        <f t="shared" si="4"/>
        <v>-----Frys innan täck</v>
      </c>
      <c r="P104" s="41">
        <f t="shared" si="3"/>
        <v>23</v>
      </c>
      <c r="R104">
        <f t="shared" si="5"/>
        <v>11</v>
      </c>
    </row>
    <row r="105" spans="11:18" x14ac:dyDescent="0.25">
      <c r="K105" s="8">
        <v>-15</v>
      </c>
      <c r="L105">
        <v>0</v>
      </c>
      <c r="N105" t="str">
        <f t="shared" si="4"/>
        <v>0,11552050OK14</v>
      </c>
      <c r="P105" s="41">
        <f t="shared" si="3"/>
        <v>20</v>
      </c>
      <c r="R105">
        <f t="shared" si="5"/>
        <v>12</v>
      </c>
    </row>
    <row r="106" spans="11:18" x14ac:dyDescent="0.25">
      <c r="K106" s="137">
        <v>-15</v>
      </c>
      <c r="L106" s="40">
        <v>2</v>
      </c>
      <c r="M106" s="40"/>
      <c r="N106" t="str">
        <f t="shared" si="4"/>
        <v>0,11552050OK14</v>
      </c>
      <c r="P106" s="41">
        <f t="shared" si="3"/>
        <v>20</v>
      </c>
      <c r="R106">
        <f t="shared" si="5"/>
        <v>12</v>
      </c>
    </row>
    <row r="107" spans="11:18" x14ac:dyDescent="0.25">
      <c r="K107" s="8">
        <v>-15</v>
      </c>
      <c r="L107">
        <v>7</v>
      </c>
      <c r="N107" t="str">
        <f t="shared" si="4"/>
        <v>-----Frys innan täck</v>
      </c>
      <c r="P107" s="41">
        <f t="shared" si="3"/>
        <v>23</v>
      </c>
      <c r="R107">
        <f t="shared" si="5"/>
        <v>11</v>
      </c>
    </row>
    <row r="108" spans="11:18" x14ac:dyDescent="0.25">
      <c r="K108" s="137">
        <v>-15</v>
      </c>
      <c r="L108" s="40">
        <v>12</v>
      </c>
      <c r="M108" s="40"/>
      <c r="N108" t="str">
        <f t="shared" si="4"/>
        <v>-----Frys innan täck</v>
      </c>
      <c r="P108" s="41">
        <f t="shared" si="3"/>
        <v>23</v>
      </c>
      <c r="R108">
        <f t="shared" si="5"/>
        <v>11</v>
      </c>
    </row>
    <row r="109" spans="11:18" x14ac:dyDescent="0.25">
      <c r="K109" s="8">
        <v>-15</v>
      </c>
      <c r="L109">
        <v>20</v>
      </c>
      <c r="N109" t="str">
        <f t="shared" si="4"/>
        <v>-----Frys innan täck</v>
      </c>
      <c r="P109" s="41">
        <f t="shared" si="3"/>
        <v>23</v>
      </c>
      <c r="R109">
        <f t="shared" si="5"/>
        <v>11</v>
      </c>
    </row>
    <row r="110" spans="11:18" x14ac:dyDescent="0.25">
      <c r="K110" s="137">
        <v>-20</v>
      </c>
      <c r="L110" s="40">
        <v>0</v>
      </c>
      <c r="M110" s="40"/>
      <c r="N110" t="str">
        <f t="shared" si="4"/>
        <v>-----Når ej 70%</v>
      </c>
      <c r="P110" s="41">
        <f t="shared" si="3"/>
        <v>22</v>
      </c>
      <c r="R110">
        <f t="shared" si="5"/>
        <v>13</v>
      </c>
    </row>
    <row r="111" spans="11:18" x14ac:dyDescent="0.25">
      <c r="K111" s="8">
        <v>-20</v>
      </c>
      <c r="L111">
        <v>2</v>
      </c>
      <c r="N111" t="str">
        <f t="shared" si="4"/>
        <v>-----Når ej 70%</v>
      </c>
      <c r="P111" s="41">
        <f t="shared" si="3"/>
        <v>22</v>
      </c>
      <c r="R111">
        <f t="shared" si="5"/>
        <v>13</v>
      </c>
    </row>
    <row r="112" spans="11:18" x14ac:dyDescent="0.25">
      <c r="K112" s="137">
        <v>-20</v>
      </c>
      <c r="L112" s="40">
        <v>7</v>
      </c>
      <c r="M112" s="40"/>
      <c r="N112" t="str">
        <f t="shared" si="4"/>
        <v>-----Frys innan täck</v>
      </c>
      <c r="P112" s="41">
        <f t="shared" si="3"/>
        <v>23</v>
      </c>
      <c r="R112">
        <f t="shared" si="5"/>
        <v>11</v>
      </c>
    </row>
    <row r="113" spans="11:18" x14ac:dyDescent="0.25">
      <c r="K113" s="8">
        <v>-20</v>
      </c>
      <c r="L113">
        <v>12</v>
      </c>
      <c r="N113" t="str">
        <f t="shared" si="4"/>
        <v>-----Frys innan täck</v>
      </c>
      <c r="P113" s="41">
        <f t="shared" si="3"/>
        <v>23</v>
      </c>
      <c r="R113">
        <f t="shared" si="5"/>
        <v>11</v>
      </c>
    </row>
    <row r="114" spans="11:18" ht="15.75" thickBot="1" x14ac:dyDescent="0.3">
      <c r="K114" s="137">
        <v>-20</v>
      </c>
      <c r="L114" s="40">
        <v>20</v>
      </c>
      <c r="M114" s="40"/>
      <c r="N114" t="str">
        <f t="shared" si="4"/>
        <v>-----Frys innan täck</v>
      </c>
      <c r="P114" s="41">
        <f t="shared" si="3"/>
        <v>23</v>
      </c>
      <c r="R114">
        <f t="shared" si="5"/>
        <v>11</v>
      </c>
    </row>
    <row r="115" spans="11:18" x14ac:dyDescent="0.25">
      <c r="K115" s="135">
        <v>20</v>
      </c>
      <c r="L115" s="136">
        <v>0</v>
      </c>
      <c r="M115" s="6" t="s">
        <v>71</v>
      </c>
      <c r="N115" s="6" t="str">
        <f t="shared" ref="N115:N159" si="6">E2</f>
        <v>0,41520--OK14</v>
      </c>
      <c r="O115" s="6"/>
      <c r="P115" s="41">
        <f t="shared" si="3"/>
        <v>1</v>
      </c>
      <c r="R115">
        <f t="shared" si="5"/>
        <v>1</v>
      </c>
    </row>
    <row r="116" spans="11:18" x14ac:dyDescent="0.25">
      <c r="K116" s="8">
        <v>20</v>
      </c>
      <c r="L116">
        <v>2</v>
      </c>
      <c r="N116" t="str">
        <f t="shared" si="6"/>
        <v>0,41520--OK14</v>
      </c>
      <c r="P116" s="41">
        <f t="shared" si="3"/>
        <v>1</v>
      </c>
      <c r="R116">
        <f t="shared" si="5"/>
        <v>1</v>
      </c>
    </row>
    <row r="117" spans="11:18" x14ac:dyDescent="0.25">
      <c r="K117" s="137">
        <v>20</v>
      </c>
      <c r="L117" s="40">
        <v>7</v>
      </c>
      <c r="M117" s="40"/>
      <c r="N117" t="str">
        <f t="shared" si="6"/>
        <v>0,41520--OK14</v>
      </c>
      <c r="P117" s="41">
        <f t="shared" si="3"/>
        <v>1</v>
      </c>
      <c r="R117">
        <f t="shared" si="5"/>
        <v>1</v>
      </c>
    </row>
    <row r="118" spans="11:18" x14ac:dyDescent="0.25">
      <c r="K118" s="8">
        <v>20</v>
      </c>
      <c r="L118">
        <v>12</v>
      </c>
      <c r="N118" t="str">
        <f t="shared" si="6"/>
        <v>0,41520--OK14</v>
      </c>
      <c r="P118" s="41">
        <f t="shared" si="3"/>
        <v>1</v>
      </c>
      <c r="R118">
        <f t="shared" si="5"/>
        <v>1</v>
      </c>
    </row>
    <row r="119" spans="11:18" x14ac:dyDescent="0.25">
      <c r="K119" s="137">
        <v>20</v>
      </c>
      <c r="L119" s="40">
        <v>20</v>
      </c>
      <c r="M119" s="40"/>
      <c r="N119" t="str">
        <f t="shared" si="6"/>
        <v>0,41520--OK14</v>
      </c>
      <c r="P119" s="41">
        <f t="shared" si="3"/>
        <v>1</v>
      </c>
      <c r="R119">
        <f t="shared" si="5"/>
        <v>1</v>
      </c>
    </row>
    <row r="120" spans="11:18" x14ac:dyDescent="0.25">
      <c r="K120" s="8">
        <v>15</v>
      </c>
      <c r="L120">
        <v>0</v>
      </c>
      <c r="N120" t="str">
        <f t="shared" si="6"/>
        <v>0,41515--OK14</v>
      </c>
      <c r="P120" s="41">
        <f t="shared" si="3"/>
        <v>2</v>
      </c>
      <c r="R120">
        <f t="shared" si="5"/>
        <v>2</v>
      </c>
    </row>
    <row r="121" spans="11:18" x14ac:dyDescent="0.25">
      <c r="K121" s="137">
        <v>15</v>
      </c>
      <c r="L121" s="40">
        <v>2</v>
      </c>
      <c r="M121" s="40"/>
      <c r="N121" t="str">
        <f t="shared" si="6"/>
        <v>0,41515--OK14</v>
      </c>
      <c r="P121" s="41">
        <f t="shared" si="3"/>
        <v>2</v>
      </c>
      <c r="R121">
        <f t="shared" si="5"/>
        <v>2</v>
      </c>
    </row>
    <row r="122" spans="11:18" x14ac:dyDescent="0.25">
      <c r="K122" s="8">
        <v>15</v>
      </c>
      <c r="L122">
        <v>7</v>
      </c>
      <c r="N122" t="str">
        <f t="shared" si="6"/>
        <v>0,41515--OK14</v>
      </c>
      <c r="P122" s="41">
        <f t="shared" si="3"/>
        <v>2</v>
      </c>
      <c r="R122">
        <f t="shared" si="5"/>
        <v>2</v>
      </c>
    </row>
    <row r="123" spans="11:18" x14ac:dyDescent="0.25">
      <c r="K123" s="137">
        <v>15</v>
      </c>
      <c r="L123" s="40">
        <v>12</v>
      </c>
      <c r="M123" s="40"/>
      <c r="N123" t="str">
        <f t="shared" si="6"/>
        <v>0,41515--OK14</v>
      </c>
      <c r="P123" s="41">
        <f t="shared" si="3"/>
        <v>2</v>
      </c>
      <c r="R123">
        <f t="shared" si="5"/>
        <v>2</v>
      </c>
    </row>
    <row r="124" spans="11:18" x14ac:dyDescent="0.25">
      <c r="K124" s="8">
        <v>15</v>
      </c>
      <c r="L124">
        <v>20</v>
      </c>
      <c r="N124" t="str">
        <f t="shared" si="6"/>
        <v>0,41515--OK14</v>
      </c>
      <c r="P124" s="41">
        <f t="shared" si="3"/>
        <v>2</v>
      </c>
      <c r="R124">
        <f t="shared" si="5"/>
        <v>2</v>
      </c>
    </row>
    <row r="125" spans="11:18" x14ac:dyDescent="0.25">
      <c r="K125" s="137">
        <v>10</v>
      </c>
      <c r="L125" s="40">
        <v>0</v>
      </c>
      <c r="M125" s="40"/>
      <c r="N125" t="str">
        <f t="shared" si="6"/>
        <v>0,41510--OK14</v>
      </c>
      <c r="P125" s="41">
        <f t="shared" si="3"/>
        <v>3</v>
      </c>
      <c r="R125">
        <f t="shared" si="5"/>
        <v>3</v>
      </c>
    </row>
    <row r="126" spans="11:18" x14ac:dyDescent="0.25">
      <c r="K126" s="8">
        <v>10</v>
      </c>
      <c r="L126">
        <v>2</v>
      </c>
      <c r="N126" t="str">
        <f t="shared" si="6"/>
        <v>0,41510--OK14</v>
      </c>
      <c r="P126" s="41">
        <f t="shared" si="3"/>
        <v>3</v>
      </c>
      <c r="R126">
        <f t="shared" si="5"/>
        <v>3</v>
      </c>
    </row>
    <row r="127" spans="11:18" x14ac:dyDescent="0.25">
      <c r="K127" s="137">
        <v>10</v>
      </c>
      <c r="L127" s="40">
        <v>7</v>
      </c>
      <c r="M127" s="40"/>
      <c r="N127" t="str">
        <f t="shared" si="6"/>
        <v>0,41510--OK14</v>
      </c>
      <c r="P127" s="41">
        <f t="shared" si="3"/>
        <v>3</v>
      </c>
      <c r="R127">
        <f t="shared" si="5"/>
        <v>3</v>
      </c>
    </row>
    <row r="128" spans="11:18" x14ac:dyDescent="0.25">
      <c r="K128" s="8">
        <v>10</v>
      </c>
      <c r="L128">
        <v>12</v>
      </c>
      <c r="N128" t="str">
        <f t="shared" si="6"/>
        <v>0,41510--OK14</v>
      </c>
      <c r="P128" s="41">
        <f t="shared" si="3"/>
        <v>3</v>
      </c>
      <c r="R128">
        <f t="shared" si="5"/>
        <v>3</v>
      </c>
    </row>
    <row r="129" spans="11:18" x14ac:dyDescent="0.25">
      <c r="K129" s="137">
        <v>10</v>
      </c>
      <c r="L129" s="40">
        <v>20</v>
      </c>
      <c r="M129" s="40"/>
      <c r="N129" t="str">
        <f t="shared" si="6"/>
        <v>0,41510--OK14</v>
      </c>
      <c r="P129" s="41">
        <f t="shared" si="3"/>
        <v>3</v>
      </c>
      <c r="R129">
        <f t="shared" si="5"/>
        <v>3</v>
      </c>
    </row>
    <row r="130" spans="11:18" x14ac:dyDescent="0.25">
      <c r="K130" s="8">
        <v>5</v>
      </c>
      <c r="L130">
        <v>0</v>
      </c>
      <c r="N130" t="str">
        <f t="shared" si="6"/>
        <v>0,4205050OK14</v>
      </c>
      <c r="P130" s="41">
        <f t="shared" si="3"/>
        <v>10</v>
      </c>
      <c r="R130">
        <f t="shared" si="5"/>
        <v>16</v>
      </c>
    </row>
    <row r="131" spans="11:18" x14ac:dyDescent="0.25">
      <c r="K131" s="137">
        <v>5</v>
      </c>
      <c r="L131" s="40">
        <v>2</v>
      </c>
      <c r="M131" s="40"/>
      <c r="N131" t="str">
        <f t="shared" si="6"/>
        <v>0,420520-OK14</v>
      </c>
      <c r="P131" s="41">
        <f t="shared" ref="P131:P194" si="7">MATCH(N131, _xlfn.UNIQUE($N$2:$N$339), 0)</f>
        <v>11</v>
      </c>
      <c r="R131">
        <f t="shared" si="5"/>
        <v>5</v>
      </c>
    </row>
    <row r="132" spans="11:18" x14ac:dyDescent="0.25">
      <c r="K132" s="8">
        <v>5</v>
      </c>
      <c r="L132">
        <v>7</v>
      </c>
      <c r="N132" t="str">
        <f t="shared" si="6"/>
        <v>0,420520-OK14</v>
      </c>
      <c r="P132" s="41">
        <f t="shared" si="7"/>
        <v>11</v>
      </c>
      <c r="R132">
        <f t="shared" si="5"/>
        <v>5</v>
      </c>
    </row>
    <row r="133" spans="11:18" x14ac:dyDescent="0.25">
      <c r="K133" s="137">
        <v>5</v>
      </c>
      <c r="L133" s="40">
        <v>12</v>
      </c>
      <c r="M133" s="40"/>
      <c r="N133" t="str">
        <f t="shared" si="6"/>
        <v>0,420520-OK14</v>
      </c>
      <c r="P133" s="41">
        <f t="shared" si="7"/>
        <v>11</v>
      </c>
      <c r="R133">
        <f t="shared" si="5"/>
        <v>5</v>
      </c>
    </row>
    <row r="134" spans="11:18" x14ac:dyDescent="0.25">
      <c r="K134" s="8">
        <v>5</v>
      </c>
      <c r="L134">
        <v>20</v>
      </c>
      <c r="N134" t="str">
        <f t="shared" si="6"/>
        <v>0,420520PresenningOK14</v>
      </c>
      <c r="P134" s="41">
        <f t="shared" si="7"/>
        <v>12</v>
      </c>
      <c r="R134">
        <f t="shared" si="5"/>
        <v>6</v>
      </c>
    </row>
    <row r="135" spans="11:18" x14ac:dyDescent="0.25">
      <c r="K135" s="137">
        <v>0</v>
      </c>
      <c r="L135" s="40">
        <v>0</v>
      </c>
      <c r="M135" s="40"/>
      <c r="N135" t="str">
        <f t="shared" si="6"/>
        <v>0,420520-OK14</v>
      </c>
      <c r="P135" s="41">
        <f t="shared" si="7"/>
        <v>11</v>
      </c>
      <c r="R135">
        <f t="shared" si="5"/>
        <v>5</v>
      </c>
    </row>
    <row r="136" spans="11:18" x14ac:dyDescent="0.25">
      <c r="K136" s="8">
        <v>0</v>
      </c>
      <c r="L136">
        <v>2</v>
      </c>
      <c r="N136" t="str">
        <f t="shared" si="6"/>
        <v>0,42052010OK14</v>
      </c>
      <c r="P136" s="41">
        <f t="shared" si="7"/>
        <v>13</v>
      </c>
      <c r="R136">
        <f t="shared" si="5"/>
        <v>7</v>
      </c>
    </row>
    <row r="137" spans="11:18" x14ac:dyDescent="0.25">
      <c r="K137" s="137">
        <v>0</v>
      </c>
      <c r="L137" s="40">
        <v>7</v>
      </c>
      <c r="M137" s="40"/>
      <c r="N137" t="str">
        <f t="shared" si="6"/>
        <v>0,42052010OK14</v>
      </c>
      <c r="P137" s="41">
        <f t="shared" si="7"/>
        <v>13</v>
      </c>
      <c r="R137">
        <f t="shared" si="5"/>
        <v>7</v>
      </c>
    </row>
    <row r="138" spans="11:18" x14ac:dyDescent="0.25">
      <c r="K138" s="8">
        <v>0</v>
      </c>
      <c r="L138">
        <v>12</v>
      </c>
      <c r="N138" t="str">
        <f t="shared" si="6"/>
        <v>0,42052010OK14</v>
      </c>
      <c r="P138" s="41">
        <f t="shared" si="7"/>
        <v>13</v>
      </c>
      <c r="R138">
        <f t="shared" si="5"/>
        <v>7</v>
      </c>
    </row>
    <row r="139" spans="11:18" x14ac:dyDescent="0.25">
      <c r="K139" s="137">
        <v>0</v>
      </c>
      <c r="L139" s="40">
        <v>20</v>
      </c>
      <c r="M139" s="40"/>
      <c r="N139" t="str">
        <f t="shared" si="6"/>
        <v>0,42052010OK14</v>
      </c>
      <c r="P139" s="41">
        <f t="shared" si="7"/>
        <v>13</v>
      </c>
      <c r="R139">
        <f t="shared" si="5"/>
        <v>7</v>
      </c>
    </row>
    <row r="140" spans="11:18" x14ac:dyDescent="0.25">
      <c r="K140" s="8">
        <v>-5</v>
      </c>
      <c r="L140">
        <v>0</v>
      </c>
      <c r="N140" t="str">
        <f t="shared" si="6"/>
        <v>0,42052010OK14</v>
      </c>
      <c r="P140" s="41">
        <f t="shared" si="7"/>
        <v>13</v>
      </c>
      <c r="R140">
        <f t="shared" si="5"/>
        <v>7</v>
      </c>
    </row>
    <row r="141" spans="11:18" x14ac:dyDescent="0.25">
      <c r="K141" s="137">
        <v>-5</v>
      </c>
      <c r="L141" s="40">
        <v>2</v>
      </c>
      <c r="M141" s="40"/>
      <c r="N141" t="str">
        <f t="shared" si="6"/>
        <v>0,42052020OK14</v>
      </c>
      <c r="P141" s="41">
        <f t="shared" si="7"/>
        <v>14</v>
      </c>
      <c r="R141">
        <f t="shared" si="5"/>
        <v>8</v>
      </c>
    </row>
    <row r="142" spans="11:18" x14ac:dyDescent="0.25">
      <c r="K142" s="8">
        <v>-5</v>
      </c>
      <c r="L142">
        <v>7</v>
      </c>
      <c r="N142" t="str">
        <f t="shared" si="6"/>
        <v>0,42052020OK14</v>
      </c>
      <c r="P142" s="41">
        <f t="shared" si="7"/>
        <v>14</v>
      </c>
      <c r="R142">
        <f t="shared" si="5"/>
        <v>8</v>
      </c>
    </row>
    <row r="143" spans="11:18" x14ac:dyDescent="0.25">
      <c r="K143" s="137">
        <v>-5</v>
      </c>
      <c r="L143" s="40">
        <v>12</v>
      </c>
      <c r="M143" s="40"/>
      <c r="N143" t="str">
        <f t="shared" si="6"/>
        <v>0,42052020OK14</v>
      </c>
      <c r="P143" s="41">
        <f t="shared" si="7"/>
        <v>14</v>
      </c>
      <c r="R143">
        <f t="shared" si="5"/>
        <v>8</v>
      </c>
    </row>
    <row r="144" spans="11:18" x14ac:dyDescent="0.25">
      <c r="K144" s="8">
        <v>-5</v>
      </c>
      <c r="L144">
        <v>20</v>
      </c>
      <c r="N144" t="str">
        <f t="shared" si="6"/>
        <v>0,42052020OK14</v>
      </c>
      <c r="P144" s="41">
        <f t="shared" si="7"/>
        <v>14</v>
      </c>
      <c r="R144">
        <f t="shared" si="5"/>
        <v>8</v>
      </c>
    </row>
    <row r="145" spans="11:18" x14ac:dyDescent="0.25">
      <c r="K145" s="137">
        <v>-10</v>
      </c>
      <c r="L145" s="40">
        <v>0</v>
      </c>
      <c r="M145" s="40"/>
      <c r="N145" t="str">
        <f t="shared" si="6"/>
        <v>0,42052030OK14</v>
      </c>
      <c r="P145" s="41">
        <f t="shared" si="7"/>
        <v>15</v>
      </c>
      <c r="R145">
        <f t="shared" si="5"/>
        <v>9</v>
      </c>
    </row>
    <row r="146" spans="11:18" x14ac:dyDescent="0.25">
      <c r="K146" s="8">
        <v>-10</v>
      </c>
      <c r="L146">
        <v>2</v>
      </c>
      <c r="N146" t="str">
        <f t="shared" si="6"/>
        <v>0,42052050OK14</v>
      </c>
      <c r="P146" s="41">
        <f t="shared" si="7"/>
        <v>16</v>
      </c>
      <c r="R146">
        <f t="shared" si="5"/>
        <v>15</v>
      </c>
    </row>
    <row r="147" spans="11:18" x14ac:dyDescent="0.25">
      <c r="K147" s="137">
        <v>-10</v>
      </c>
      <c r="L147" s="40">
        <v>7</v>
      </c>
      <c r="M147" s="40"/>
      <c r="N147" t="str">
        <f t="shared" si="6"/>
        <v>0,42052050OK14</v>
      </c>
      <c r="P147" s="41">
        <f t="shared" si="7"/>
        <v>16</v>
      </c>
      <c r="R147">
        <f t="shared" si="5"/>
        <v>15</v>
      </c>
    </row>
    <row r="148" spans="11:18" x14ac:dyDescent="0.25">
      <c r="K148" s="8">
        <v>-10</v>
      </c>
      <c r="L148">
        <v>12</v>
      </c>
      <c r="N148" t="str">
        <f t="shared" si="6"/>
        <v>-----Frys innan täck</v>
      </c>
      <c r="P148" s="41">
        <f t="shared" si="7"/>
        <v>23</v>
      </c>
      <c r="R148">
        <f t="shared" si="5"/>
        <v>11</v>
      </c>
    </row>
    <row r="149" spans="11:18" x14ac:dyDescent="0.25">
      <c r="K149" s="137">
        <v>-10</v>
      </c>
      <c r="L149" s="40">
        <v>20</v>
      </c>
      <c r="M149" s="40"/>
      <c r="N149" t="str">
        <f t="shared" si="6"/>
        <v>-----Frys innan täck</v>
      </c>
      <c r="P149" s="41">
        <f t="shared" si="7"/>
        <v>23</v>
      </c>
      <c r="R149">
        <f t="shared" si="5"/>
        <v>11</v>
      </c>
    </row>
    <row r="150" spans="11:18" x14ac:dyDescent="0.25">
      <c r="K150" s="8">
        <v>-15</v>
      </c>
      <c r="L150">
        <v>0</v>
      </c>
      <c r="N150" t="str">
        <f t="shared" si="6"/>
        <v>0,21552050OK14</v>
      </c>
      <c r="P150" s="41">
        <f t="shared" si="7"/>
        <v>19</v>
      </c>
      <c r="R150">
        <f t="shared" si="5"/>
        <v>17</v>
      </c>
    </row>
    <row r="151" spans="11:18" x14ac:dyDescent="0.25">
      <c r="K151" s="137">
        <v>-15</v>
      </c>
      <c r="L151" s="40">
        <v>2</v>
      </c>
      <c r="M151" s="40"/>
      <c r="N151" t="str">
        <f t="shared" si="6"/>
        <v>0,21552050OK14</v>
      </c>
      <c r="P151" s="41">
        <f t="shared" si="7"/>
        <v>19</v>
      </c>
      <c r="R151">
        <f t="shared" si="5"/>
        <v>17</v>
      </c>
    </row>
    <row r="152" spans="11:18" x14ac:dyDescent="0.25">
      <c r="K152" s="8">
        <v>-15</v>
      </c>
      <c r="L152">
        <v>7</v>
      </c>
      <c r="N152" t="str">
        <f t="shared" si="6"/>
        <v>-----Frys innan täck</v>
      </c>
      <c r="P152" s="41">
        <f t="shared" si="7"/>
        <v>23</v>
      </c>
      <c r="R152">
        <f t="shared" si="5"/>
        <v>11</v>
      </c>
    </row>
    <row r="153" spans="11:18" x14ac:dyDescent="0.25">
      <c r="K153" s="137">
        <v>-15</v>
      </c>
      <c r="L153" s="40">
        <v>12</v>
      </c>
      <c r="M153" s="40"/>
      <c r="N153" t="str">
        <f t="shared" si="6"/>
        <v>-----Frys innan täck</v>
      </c>
      <c r="P153" s="41">
        <f t="shared" si="7"/>
        <v>23</v>
      </c>
      <c r="R153">
        <f t="shared" ref="R153:R216" si="8">MATCH(N153, _xlfn.UNIQUE($N$25:$N$339), 0)</f>
        <v>11</v>
      </c>
    </row>
    <row r="154" spans="11:18" x14ac:dyDescent="0.25">
      <c r="K154" s="8">
        <v>-15</v>
      </c>
      <c r="L154">
        <v>20</v>
      </c>
      <c r="N154" t="str">
        <f t="shared" si="6"/>
        <v>-----Frys innan täck</v>
      </c>
      <c r="P154" s="41">
        <f t="shared" si="7"/>
        <v>23</v>
      </c>
      <c r="R154">
        <f t="shared" si="8"/>
        <v>11</v>
      </c>
    </row>
    <row r="155" spans="11:18" x14ac:dyDescent="0.25">
      <c r="K155" s="137">
        <v>-20</v>
      </c>
      <c r="L155" s="40">
        <v>0</v>
      </c>
      <c r="M155" s="40"/>
      <c r="N155" t="str">
        <f t="shared" si="6"/>
        <v>-----Når ej 70%</v>
      </c>
      <c r="P155" s="41">
        <f t="shared" si="7"/>
        <v>22</v>
      </c>
      <c r="R155">
        <f t="shared" si="8"/>
        <v>13</v>
      </c>
    </row>
    <row r="156" spans="11:18" x14ac:dyDescent="0.25">
      <c r="K156" s="8">
        <v>-20</v>
      </c>
      <c r="L156">
        <v>2</v>
      </c>
      <c r="N156" t="str">
        <f t="shared" si="6"/>
        <v>-----Når ej 70%</v>
      </c>
      <c r="P156" s="41">
        <f t="shared" si="7"/>
        <v>22</v>
      </c>
      <c r="R156">
        <f t="shared" si="8"/>
        <v>13</v>
      </c>
    </row>
    <row r="157" spans="11:18" x14ac:dyDescent="0.25">
      <c r="K157" s="137">
        <v>-20</v>
      </c>
      <c r="L157" s="40">
        <v>7</v>
      </c>
      <c r="M157" s="40"/>
      <c r="N157" t="str">
        <f t="shared" si="6"/>
        <v>-----Frys innan täck</v>
      </c>
      <c r="P157" s="41">
        <f t="shared" si="7"/>
        <v>23</v>
      </c>
      <c r="R157">
        <f t="shared" si="8"/>
        <v>11</v>
      </c>
    </row>
    <row r="158" spans="11:18" x14ac:dyDescent="0.25">
      <c r="K158" s="8">
        <v>-20</v>
      </c>
      <c r="L158">
        <v>12</v>
      </c>
      <c r="N158" t="str">
        <f t="shared" si="6"/>
        <v>-----Frys innan täck</v>
      </c>
      <c r="P158" s="41">
        <f t="shared" si="7"/>
        <v>23</v>
      </c>
      <c r="R158">
        <f t="shared" si="8"/>
        <v>11</v>
      </c>
    </row>
    <row r="159" spans="11:18" ht="15.75" thickBot="1" x14ac:dyDescent="0.3">
      <c r="K159" s="138">
        <v>-20</v>
      </c>
      <c r="L159" s="134">
        <v>20</v>
      </c>
      <c r="M159" s="134"/>
      <c r="N159" s="11" t="str">
        <f t="shared" si="6"/>
        <v>-----Frys innan täck</v>
      </c>
      <c r="O159" s="11"/>
      <c r="P159" s="41">
        <f t="shared" si="7"/>
        <v>23</v>
      </c>
      <c r="R159">
        <f t="shared" si="8"/>
        <v>11</v>
      </c>
    </row>
    <row r="160" spans="11:18" x14ac:dyDescent="0.25">
      <c r="K160" s="137">
        <v>20</v>
      </c>
      <c r="L160" s="40">
        <v>0</v>
      </c>
      <c r="M160" s="40" t="s">
        <v>49</v>
      </c>
      <c r="N160" t="str">
        <f t="shared" ref="N160:N204" si="9">F2</f>
        <v>0,41520--OK14</v>
      </c>
      <c r="P160" s="41">
        <f t="shared" si="7"/>
        <v>1</v>
      </c>
      <c r="R160">
        <f t="shared" si="8"/>
        <v>1</v>
      </c>
    </row>
    <row r="161" spans="11:18" x14ac:dyDescent="0.25">
      <c r="K161" s="8">
        <v>20</v>
      </c>
      <c r="L161">
        <v>2</v>
      </c>
      <c r="N161" t="str">
        <f t="shared" si="9"/>
        <v>0,41520--OK14</v>
      </c>
      <c r="P161" s="41">
        <f t="shared" si="7"/>
        <v>1</v>
      </c>
      <c r="R161">
        <f t="shared" si="8"/>
        <v>1</v>
      </c>
    </row>
    <row r="162" spans="11:18" x14ac:dyDescent="0.25">
      <c r="K162" s="137">
        <v>20</v>
      </c>
      <c r="L162" s="40">
        <v>7</v>
      </c>
      <c r="M162" s="40"/>
      <c r="N162" t="str">
        <f t="shared" si="9"/>
        <v>0,41520--OK14</v>
      </c>
      <c r="P162" s="41">
        <f t="shared" si="7"/>
        <v>1</v>
      </c>
      <c r="R162">
        <f t="shared" si="8"/>
        <v>1</v>
      </c>
    </row>
    <row r="163" spans="11:18" x14ac:dyDescent="0.25">
      <c r="K163" s="8">
        <v>20</v>
      </c>
      <c r="L163">
        <v>12</v>
      </c>
      <c r="N163" t="str">
        <f t="shared" si="9"/>
        <v>0,41520--OK14</v>
      </c>
      <c r="P163" s="41">
        <f t="shared" si="7"/>
        <v>1</v>
      </c>
      <c r="R163">
        <f t="shared" si="8"/>
        <v>1</v>
      </c>
    </row>
    <row r="164" spans="11:18" x14ac:dyDescent="0.25">
      <c r="K164" s="137">
        <v>20</v>
      </c>
      <c r="L164" s="40">
        <v>20</v>
      </c>
      <c r="M164" s="40"/>
      <c r="N164" t="str">
        <f t="shared" si="9"/>
        <v>0,41520--OK14</v>
      </c>
      <c r="P164" s="41">
        <f t="shared" si="7"/>
        <v>1</v>
      </c>
      <c r="R164">
        <f t="shared" si="8"/>
        <v>1</v>
      </c>
    </row>
    <row r="165" spans="11:18" x14ac:dyDescent="0.25">
      <c r="K165" s="8">
        <v>15</v>
      </c>
      <c r="L165">
        <v>0</v>
      </c>
      <c r="N165" t="str">
        <f t="shared" si="9"/>
        <v>0,41515--OK14</v>
      </c>
      <c r="P165" s="41">
        <f t="shared" si="7"/>
        <v>2</v>
      </c>
      <c r="R165">
        <f t="shared" si="8"/>
        <v>2</v>
      </c>
    </row>
    <row r="166" spans="11:18" x14ac:dyDescent="0.25">
      <c r="K166" s="137">
        <v>15</v>
      </c>
      <c r="L166" s="40">
        <v>2</v>
      </c>
      <c r="M166" s="40"/>
      <c r="N166" t="str">
        <f t="shared" si="9"/>
        <v>0,41515--OK14</v>
      </c>
      <c r="P166" s="41">
        <f t="shared" si="7"/>
        <v>2</v>
      </c>
      <c r="R166">
        <f t="shared" si="8"/>
        <v>2</v>
      </c>
    </row>
    <row r="167" spans="11:18" x14ac:dyDescent="0.25">
      <c r="K167" s="8">
        <v>15</v>
      </c>
      <c r="L167">
        <v>7</v>
      </c>
      <c r="N167" t="str">
        <f t="shared" si="9"/>
        <v>0,41515--OK14</v>
      </c>
      <c r="P167" s="41">
        <f t="shared" si="7"/>
        <v>2</v>
      </c>
      <c r="R167">
        <f t="shared" si="8"/>
        <v>2</v>
      </c>
    </row>
    <row r="168" spans="11:18" x14ac:dyDescent="0.25">
      <c r="K168" s="137">
        <v>15</v>
      </c>
      <c r="L168" s="40">
        <v>12</v>
      </c>
      <c r="M168" s="40"/>
      <c r="N168" t="str">
        <f t="shared" si="9"/>
        <v>0,41515--OK14</v>
      </c>
      <c r="P168" s="41">
        <f t="shared" si="7"/>
        <v>2</v>
      </c>
      <c r="R168">
        <f t="shared" si="8"/>
        <v>2</v>
      </c>
    </row>
    <row r="169" spans="11:18" x14ac:dyDescent="0.25">
      <c r="K169" s="8">
        <v>15</v>
      </c>
      <c r="L169">
        <v>20</v>
      </c>
      <c r="N169" t="str">
        <f t="shared" si="9"/>
        <v>0,41515--OK14</v>
      </c>
      <c r="P169" s="41">
        <f t="shared" si="7"/>
        <v>2</v>
      </c>
      <c r="R169">
        <f t="shared" si="8"/>
        <v>2</v>
      </c>
    </row>
    <row r="170" spans="11:18" x14ac:dyDescent="0.25">
      <c r="K170" s="137">
        <v>10</v>
      </c>
      <c r="L170" s="40">
        <v>0</v>
      </c>
      <c r="M170" s="40"/>
      <c r="N170" t="str">
        <f t="shared" si="9"/>
        <v>0,41510--OK14</v>
      </c>
      <c r="P170" s="41">
        <f t="shared" si="7"/>
        <v>3</v>
      </c>
      <c r="R170">
        <f t="shared" si="8"/>
        <v>3</v>
      </c>
    </row>
    <row r="171" spans="11:18" x14ac:dyDescent="0.25">
      <c r="K171" s="8">
        <v>10</v>
      </c>
      <c r="L171">
        <v>2</v>
      </c>
      <c r="N171" t="str">
        <f t="shared" si="9"/>
        <v>0,41510--OK14</v>
      </c>
      <c r="P171" s="41">
        <f t="shared" si="7"/>
        <v>3</v>
      </c>
      <c r="R171">
        <f t="shared" si="8"/>
        <v>3</v>
      </c>
    </row>
    <row r="172" spans="11:18" x14ac:dyDescent="0.25">
      <c r="K172" s="137">
        <v>10</v>
      </c>
      <c r="L172" s="40">
        <v>7</v>
      </c>
      <c r="M172" s="40"/>
      <c r="N172" t="str">
        <f t="shared" si="9"/>
        <v>0,41510--OK14</v>
      </c>
      <c r="P172" s="41">
        <f t="shared" si="7"/>
        <v>3</v>
      </c>
      <c r="R172">
        <f t="shared" si="8"/>
        <v>3</v>
      </c>
    </row>
    <row r="173" spans="11:18" x14ac:dyDescent="0.25">
      <c r="K173" s="8">
        <v>10</v>
      </c>
      <c r="L173">
        <v>12</v>
      </c>
      <c r="N173" t="str">
        <f t="shared" si="9"/>
        <v>0,41510--OK14</v>
      </c>
      <c r="P173" s="41">
        <f t="shared" si="7"/>
        <v>3</v>
      </c>
      <c r="R173">
        <f t="shared" si="8"/>
        <v>3</v>
      </c>
    </row>
    <row r="174" spans="11:18" x14ac:dyDescent="0.25">
      <c r="K174" s="137">
        <v>10</v>
      </c>
      <c r="L174" s="40">
        <v>20</v>
      </c>
      <c r="M174" s="40"/>
      <c r="N174" t="str">
        <f t="shared" si="9"/>
        <v>0,41510--OK14</v>
      </c>
      <c r="P174" s="41">
        <f t="shared" si="7"/>
        <v>3</v>
      </c>
      <c r="R174">
        <f t="shared" si="8"/>
        <v>3</v>
      </c>
    </row>
    <row r="175" spans="11:18" x14ac:dyDescent="0.25">
      <c r="K175" s="8">
        <v>5</v>
      </c>
      <c r="L175">
        <v>0</v>
      </c>
      <c r="N175" t="str">
        <f t="shared" si="9"/>
        <v>0,4205030OK14</v>
      </c>
      <c r="P175" s="41">
        <f t="shared" si="7"/>
        <v>9</v>
      </c>
      <c r="R175">
        <f t="shared" si="8"/>
        <v>18</v>
      </c>
    </row>
    <row r="176" spans="11:18" x14ac:dyDescent="0.25">
      <c r="K176" s="137">
        <v>5</v>
      </c>
      <c r="L176" s="40">
        <v>2</v>
      </c>
      <c r="M176" s="40"/>
      <c r="N176" t="str">
        <f t="shared" si="9"/>
        <v>0,4205050OK14</v>
      </c>
      <c r="P176" s="41">
        <f t="shared" si="7"/>
        <v>10</v>
      </c>
      <c r="R176">
        <f t="shared" si="8"/>
        <v>16</v>
      </c>
    </row>
    <row r="177" spans="11:18" x14ac:dyDescent="0.25">
      <c r="K177" s="8">
        <v>5</v>
      </c>
      <c r="L177">
        <v>7</v>
      </c>
      <c r="N177" t="str">
        <f t="shared" si="9"/>
        <v>0,4205050OK14</v>
      </c>
      <c r="P177" s="41">
        <f t="shared" si="7"/>
        <v>10</v>
      </c>
      <c r="R177">
        <f t="shared" si="8"/>
        <v>16</v>
      </c>
    </row>
    <row r="178" spans="11:18" x14ac:dyDescent="0.25">
      <c r="K178" s="137">
        <v>5</v>
      </c>
      <c r="L178" s="40">
        <v>12</v>
      </c>
      <c r="M178" s="40"/>
      <c r="N178" t="str">
        <f t="shared" si="9"/>
        <v>0,4205050OK14</v>
      </c>
      <c r="P178" s="41">
        <f t="shared" si="7"/>
        <v>10</v>
      </c>
      <c r="R178">
        <f t="shared" si="8"/>
        <v>16</v>
      </c>
    </row>
    <row r="179" spans="11:18" x14ac:dyDescent="0.25">
      <c r="K179" s="8">
        <v>5</v>
      </c>
      <c r="L179">
        <v>20</v>
      </c>
      <c r="N179" t="str">
        <f t="shared" si="9"/>
        <v>0,4205050OK14</v>
      </c>
      <c r="P179" s="41">
        <f t="shared" si="7"/>
        <v>10</v>
      </c>
      <c r="R179">
        <f t="shared" si="8"/>
        <v>16</v>
      </c>
    </row>
    <row r="180" spans="11:18" x14ac:dyDescent="0.25">
      <c r="K180" s="137">
        <v>0</v>
      </c>
      <c r="L180" s="40">
        <v>0</v>
      </c>
      <c r="M180" s="40"/>
      <c r="N180" t="str">
        <f t="shared" si="9"/>
        <v>0,420520-OK14</v>
      </c>
      <c r="P180" s="41">
        <f t="shared" si="7"/>
        <v>11</v>
      </c>
      <c r="R180">
        <f t="shared" si="8"/>
        <v>5</v>
      </c>
    </row>
    <row r="181" spans="11:18" x14ac:dyDescent="0.25">
      <c r="K181" s="8">
        <v>0</v>
      </c>
      <c r="L181">
        <v>2</v>
      </c>
      <c r="N181" t="str">
        <f t="shared" si="9"/>
        <v>0,420520PresenningOK14</v>
      </c>
      <c r="P181" s="41">
        <f t="shared" si="7"/>
        <v>12</v>
      </c>
      <c r="R181">
        <f t="shared" si="8"/>
        <v>6</v>
      </c>
    </row>
    <row r="182" spans="11:18" x14ac:dyDescent="0.25">
      <c r="K182" s="137">
        <v>0</v>
      </c>
      <c r="L182" s="40">
        <v>7</v>
      </c>
      <c r="M182" s="40"/>
      <c r="N182" t="str">
        <f t="shared" si="9"/>
        <v>0,42052010OK14</v>
      </c>
      <c r="P182" s="41">
        <f t="shared" si="7"/>
        <v>13</v>
      </c>
      <c r="R182">
        <f t="shared" si="8"/>
        <v>7</v>
      </c>
    </row>
    <row r="183" spans="11:18" x14ac:dyDescent="0.25">
      <c r="K183" s="8">
        <v>0</v>
      </c>
      <c r="L183">
        <v>12</v>
      </c>
      <c r="N183" t="str">
        <f t="shared" si="9"/>
        <v>0,42052010OK14</v>
      </c>
      <c r="P183" s="41">
        <f t="shared" si="7"/>
        <v>13</v>
      </c>
      <c r="R183">
        <f t="shared" si="8"/>
        <v>7</v>
      </c>
    </row>
    <row r="184" spans="11:18" x14ac:dyDescent="0.25">
      <c r="K184" s="137">
        <v>0</v>
      </c>
      <c r="L184" s="40">
        <v>20</v>
      </c>
      <c r="M184" s="40"/>
      <c r="N184" t="str">
        <f t="shared" si="9"/>
        <v>0,42052010OK14</v>
      </c>
      <c r="P184" s="41">
        <f t="shared" si="7"/>
        <v>13</v>
      </c>
      <c r="R184">
        <f t="shared" si="8"/>
        <v>7</v>
      </c>
    </row>
    <row r="185" spans="11:18" x14ac:dyDescent="0.25">
      <c r="K185" s="8">
        <v>-5</v>
      </c>
      <c r="L185">
        <v>0</v>
      </c>
      <c r="N185" t="str">
        <f t="shared" si="9"/>
        <v>0,42052010OK14</v>
      </c>
      <c r="P185" s="41">
        <f t="shared" si="7"/>
        <v>13</v>
      </c>
      <c r="R185">
        <f t="shared" si="8"/>
        <v>7</v>
      </c>
    </row>
    <row r="186" spans="11:18" x14ac:dyDescent="0.25">
      <c r="K186" s="137">
        <v>-5</v>
      </c>
      <c r="L186" s="40">
        <v>2</v>
      </c>
      <c r="M186" s="40"/>
      <c r="N186" t="str">
        <f t="shared" si="9"/>
        <v>0,42052010OK14</v>
      </c>
      <c r="P186" s="41">
        <f t="shared" si="7"/>
        <v>13</v>
      </c>
      <c r="R186">
        <f t="shared" si="8"/>
        <v>7</v>
      </c>
    </row>
    <row r="187" spans="11:18" x14ac:dyDescent="0.25">
      <c r="K187" s="8">
        <v>-5</v>
      </c>
      <c r="L187">
        <v>7</v>
      </c>
      <c r="N187" t="str">
        <f t="shared" si="9"/>
        <v>0,42052020OK14</v>
      </c>
      <c r="P187" s="41">
        <f t="shared" si="7"/>
        <v>14</v>
      </c>
      <c r="R187">
        <f t="shared" si="8"/>
        <v>8</v>
      </c>
    </row>
    <row r="188" spans="11:18" x14ac:dyDescent="0.25">
      <c r="K188" s="137">
        <v>-5</v>
      </c>
      <c r="L188" s="40">
        <v>12</v>
      </c>
      <c r="M188" s="40"/>
      <c r="N188" t="str">
        <f t="shared" si="9"/>
        <v>0,42052020OK14</v>
      </c>
      <c r="P188" s="41">
        <f t="shared" si="7"/>
        <v>14</v>
      </c>
      <c r="R188">
        <f t="shared" si="8"/>
        <v>8</v>
      </c>
    </row>
    <row r="189" spans="11:18" x14ac:dyDescent="0.25">
      <c r="K189" s="8">
        <v>-5</v>
      </c>
      <c r="L189">
        <v>20</v>
      </c>
      <c r="N189" t="str">
        <f t="shared" si="9"/>
        <v>0,42052020OK14</v>
      </c>
      <c r="P189" s="41">
        <f t="shared" si="7"/>
        <v>14</v>
      </c>
      <c r="R189">
        <f t="shared" si="8"/>
        <v>8</v>
      </c>
    </row>
    <row r="190" spans="11:18" x14ac:dyDescent="0.25">
      <c r="K190" s="137">
        <v>-10</v>
      </c>
      <c r="L190" s="40">
        <v>0</v>
      </c>
      <c r="M190" s="40"/>
      <c r="N190" t="str">
        <f t="shared" si="9"/>
        <v>0,42052030OK14</v>
      </c>
      <c r="P190" s="41">
        <f t="shared" si="7"/>
        <v>15</v>
      </c>
      <c r="R190">
        <f t="shared" si="8"/>
        <v>9</v>
      </c>
    </row>
    <row r="191" spans="11:18" x14ac:dyDescent="0.25">
      <c r="K191" s="8">
        <v>-10</v>
      </c>
      <c r="L191">
        <v>2</v>
      </c>
      <c r="N191" t="str">
        <f t="shared" si="9"/>
        <v>0,42052030OK14</v>
      </c>
      <c r="P191" s="41">
        <f t="shared" si="7"/>
        <v>15</v>
      </c>
      <c r="R191">
        <f t="shared" si="8"/>
        <v>9</v>
      </c>
    </row>
    <row r="192" spans="11:18" x14ac:dyDescent="0.25">
      <c r="K192" s="137">
        <v>-10</v>
      </c>
      <c r="L192" s="40">
        <v>7</v>
      </c>
      <c r="M192" s="40"/>
      <c r="N192" t="str">
        <f t="shared" si="9"/>
        <v>0,42052050OK14</v>
      </c>
      <c r="P192" s="41">
        <f t="shared" si="7"/>
        <v>16</v>
      </c>
      <c r="R192">
        <f t="shared" si="8"/>
        <v>15</v>
      </c>
    </row>
    <row r="193" spans="11:18" x14ac:dyDescent="0.25">
      <c r="K193" s="8">
        <v>-10</v>
      </c>
      <c r="L193">
        <v>12</v>
      </c>
      <c r="N193" t="str">
        <f t="shared" si="9"/>
        <v>-----Frys innan täck</v>
      </c>
      <c r="P193" s="41">
        <f t="shared" si="7"/>
        <v>23</v>
      </c>
      <c r="R193">
        <f t="shared" si="8"/>
        <v>11</v>
      </c>
    </row>
    <row r="194" spans="11:18" x14ac:dyDescent="0.25">
      <c r="K194" s="137">
        <v>-10</v>
      </c>
      <c r="L194" s="40">
        <v>20</v>
      </c>
      <c r="M194" s="40"/>
      <c r="N194" t="str">
        <f t="shared" si="9"/>
        <v>-----Frys innan täck</v>
      </c>
      <c r="P194" s="41">
        <f t="shared" si="7"/>
        <v>23</v>
      </c>
      <c r="R194">
        <f t="shared" si="8"/>
        <v>11</v>
      </c>
    </row>
    <row r="195" spans="11:18" x14ac:dyDescent="0.25">
      <c r="K195" s="8">
        <v>-15</v>
      </c>
      <c r="L195">
        <v>0</v>
      </c>
      <c r="N195" t="str">
        <f t="shared" si="9"/>
        <v>0,21552050OK14</v>
      </c>
      <c r="P195" s="41">
        <f t="shared" ref="P195:P258" si="10">MATCH(N195, _xlfn.UNIQUE($N$2:$N$339), 0)</f>
        <v>19</v>
      </c>
      <c r="R195">
        <f t="shared" si="8"/>
        <v>17</v>
      </c>
    </row>
    <row r="196" spans="11:18" x14ac:dyDescent="0.25">
      <c r="K196" s="137">
        <v>-15</v>
      </c>
      <c r="L196" s="40">
        <v>2</v>
      </c>
      <c r="M196" s="40"/>
      <c r="N196" t="str">
        <f t="shared" si="9"/>
        <v>0,11552050OK14</v>
      </c>
      <c r="P196" s="41">
        <f t="shared" si="10"/>
        <v>20</v>
      </c>
      <c r="R196">
        <f t="shared" si="8"/>
        <v>12</v>
      </c>
    </row>
    <row r="197" spans="11:18" x14ac:dyDescent="0.25">
      <c r="K197" s="8">
        <v>-15</v>
      </c>
      <c r="L197">
        <v>7</v>
      </c>
      <c r="N197" t="str">
        <f t="shared" si="9"/>
        <v>-----Frys innan täck</v>
      </c>
      <c r="P197" s="41">
        <f t="shared" si="10"/>
        <v>23</v>
      </c>
      <c r="R197">
        <f t="shared" si="8"/>
        <v>11</v>
      </c>
    </row>
    <row r="198" spans="11:18" x14ac:dyDescent="0.25">
      <c r="K198" s="137">
        <v>-15</v>
      </c>
      <c r="L198" s="40">
        <v>12</v>
      </c>
      <c r="M198" s="40"/>
      <c r="N198" t="str">
        <f t="shared" si="9"/>
        <v>-----Frys innan täck</v>
      </c>
      <c r="P198" s="41">
        <f t="shared" si="10"/>
        <v>23</v>
      </c>
      <c r="R198">
        <f t="shared" si="8"/>
        <v>11</v>
      </c>
    </row>
    <row r="199" spans="11:18" x14ac:dyDescent="0.25">
      <c r="K199" s="8">
        <v>-15</v>
      </c>
      <c r="L199">
        <v>20</v>
      </c>
      <c r="N199" t="str">
        <f t="shared" si="9"/>
        <v>-----Frys innan täck</v>
      </c>
      <c r="P199" s="41">
        <f t="shared" si="10"/>
        <v>23</v>
      </c>
      <c r="R199">
        <f t="shared" si="8"/>
        <v>11</v>
      </c>
    </row>
    <row r="200" spans="11:18" x14ac:dyDescent="0.25">
      <c r="K200" s="137">
        <v>-20</v>
      </c>
      <c r="L200" s="40">
        <v>0</v>
      </c>
      <c r="M200" s="40"/>
      <c r="N200" t="str">
        <f t="shared" si="9"/>
        <v>-----Når ej 70%</v>
      </c>
      <c r="P200" s="41">
        <f t="shared" si="10"/>
        <v>22</v>
      </c>
      <c r="R200">
        <f t="shared" si="8"/>
        <v>13</v>
      </c>
    </row>
    <row r="201" spans="11:18" x14ac:dyDescent="0.25">
      <c r="K201" s="8">
        <v>-20</v>
      </c>
      <c r="L201">
        <v>2</v>
      </c>
      <c r="N201" t="str">
        <f t="shared" si="9"/>
        <v>-----Når ej 70%</v>
      </c>
      <c r="P201" s="41">
        <f t="shared" si="10"/>
        <v>22</v>
      </c>
      <c r="R201">
        <f t="shared" si="8"/>
        <v>13</v>
      </c>
    </row>
    <row r="202" spans="11:18" x14ac:dyDescent="0.25">
      <c r="K202" s="137">
        <v>-20</v>
      </c>
      <c r="L202" s="40">
        <v>7</v>
      </c>
      <c r="M202" s="40"/>
      <c r="N202" t="str">
        <f t="shared" si="9"/>
        <v>-----Frys innan täck</v>
      </c>
      <c r="P202" s="41">
        <f t="shared" si="10"/>
        <v>23</v>
      </c>
      <c r="R202">
        <f t="shared" si="8"/>
        <v>11</v>
      </c>
    </row>
    <row r="203" spans="11:18" x14ac:dyDescent="0.25">
      <c r="K203" s="8">
        <v>-20</v>
      </c>
      <c r="L203">
        <v>12</v>
      </c>
      <c r="N203" t="str">
        <f t="shared" si="9"/>
        <v>-----Frys innan täck</v>
      </c>
      <c r="P203" s="41">
        <f t="shared" si="10"/>
        <v>23</v>
      </c>
      <c r="R203">
        <f t="shared" si="8"/>
        <v>11</v>
      </c>
    </row>
    <row r="204" spans="11:18" ht="15.75" thickBot="1" x14ac:dyDescent="0.3">
      <c r="K204" s="138">
        <v>-20</v>
      </c>
      <c r="L204" s="134">
        <v>20</v>
      </c>
      <c r="M204" s="134"/>
      <c r="N204" s="11" t="str">
        <f t="shared" si="9"/>
        <v>-----Frys innan täck</v>
      </c>
      <c r="O204" s="11"/>
      <c r="P204" s="41">
        <f t="shared" si="10"/>
        <v>23</v>
      </c>
      <c r="R204">
        <f t="shared" si="8"/>
        <v>11</v>
      </c>
    </row>
    <row r="205" spans="11:18" x14ac:dyDescent="0.25">
      <c r="K205" s="137">
        <v>20</v>
      </c>
      <c r="L205" s="40">
        <v>0</v>
      </c>
      <c r="M205" t="s">
        <v>52</v>
      </c>
      <c r="N205" t="str">
        <f t="shared" ref="N205:N249" si="11">G2</f>
        <v>0,41520--OK14</v>
      </c>
      <c r="P205" s="41">
        <f t="shared" si="10"/>
        <v>1</v>
      </c>
      <c r="R205">
        <f t="shared" si="8"/>
        <v>1</v>
      </c>
    </row>
    <row r="206" spans="11:18" x14ac:dyDescent="0.25">
      <c r="K206" s="8">
        <v>20</v>
      </c>
      <c r="L206">
        <v>2</v>
      </c>
      <c r="N206" t="str">
        <f t="shared" si="11"/>
        <v>0,41520--OK14</v>
      </c>
      <c r="P206" s="41">
        <f t="shared" si="10"/>
        <v>1</v>
      </c>
      <c r="R206">
        <f t="shared" si="8"/>
        <v>1</v>
      </c>
    </row>
    <row r="207" spans="11:18" x14ac:dyDescent="0.25">
      <c r="K207" s="137">
        <v>20</v>
      </c>
      <c r="L207" s="40">
        <v>7</v>
      </c>
      <c r="N207" t="str">
        <f t="shared" si="11"/>
        <v>0,41520--OK14</v>
      </c>
      <c r="P207" s="41">
        <f t="shared" si="10"/>
        <v>1</v>
      </c>
      <c r="R207">
        <f t="shared" si="8"/>
        <v>1</v>
      </c>
    </row>
    <row r="208" spans="11:18" x14ac:dyDescent="0.25">
      <c r="K208" s="8">
        <v>20</v>
      </c>
      <c r="L208">
        <v>12</v>
      </c>
      <c r="N208" t="str">
        <f t="shared" si="11"/>
        <v>0,41520--OK14</v>
      </c>
      <c r="P208" s="41">
        <f t="shared" si="10"/>
        <v>1</v>
      </c>
      <c r="R208">
        <f t="shared" si="8"/>
        <v>1</v>
      </c>
    </row>
    <row r="209" spans="11:18" x14ac:dyDescent="0.25">
      <c r="K209" s="137">
        <v>20</v>
      </c>
      <c r="L209" s="40">
        <v>20</v>
      </c>
      <c r="N209" t="str">
        <f t="shared" si="11"/>
        <v>0,41520--OK14</v>
      </c>
      <c r="P209" s="41">
        <f t="shared" si="10"/>
        <v>1</v>
      </c>
      <c r="R209">
        <f t="shared" si="8"/>
        <v>1</v>
      </c>
    </row>
    <row r="210" spans="11:18" x14ac:dyDescent="0.25">
      <c r="K210" s="8">
        <v>15</v>
      </c>
      <c r="L210">
        <v>0</v>
      </c>
      <c r="N210" t="str">
        <f t="shared" si="11"/>
        <v>0,41515--OK14</v>
      </c>
      <c r="P210" s="41">
        <f t="shared" si="10"/>
        <v>2</v>
      </c>
      <c r="R210">
        <f t="shared" si="8"/>
        <v>2</v>
      </c>
    </row>
    <row r="211" spans="11:18" x14ac:dyDescent="0.25">
      <c r="K211" s="137">
        <v>15</v>
      </c>
      <c r="L211" s="40">
        <v>2</v>
      </c>
      <c r="N211" t="str">
        <f t="shared" si="11"/>
        <v>0,41515--OK14</v>
      </c>
      <c r="P211" s="41">
        <f t="shared" si="10"/>
        <v>2</v>
      </c>
      <c r="R211">
        <f t="shared" si="8"/>
        <v>2</v>
      </c>
    </row>
    <row r="212" spans="11:18" x14ac:dyDescent="0.25">
      <c r="K212" s="8">
        <v>15</v>
      </c>
      <c r="L212">
        <v>7</v>
      </c>
      <c r="N212" t="str">
        <f t="shared" si="11"/>
        <v>0,41515--OK14</v>
      </c>
      <c r="P212" s="41">
        <f t="shared" si="10"/>
        <v>2</v>
      </c>
      <c r="R212">
        <f t="shared" si="8"/>
        <v>2</v>
      </c>
    </row>
    <row r="213" spans="11:18" x14ac:dyDescent="0.25">
      <c r="K213" s="137">
        <v>15</v>
      </c>
      <c r="L213" s="40">
        <v>12</v>
      </c>
      <c r="N213" t="str">
        <f t="shared" si="11"/>
        <v>0,41515--OK14</v>
      </c>
      <c r="P213" s="41">
        <f t="shared" si="10"/>
        <v>2</v>
      </c>
      <c r="R213">
        <f t="shared" si="8"/>
        <v>2</v>
      </c>
    </row>
    <row r="214" spans="11:18" x14ac:dyDescent="0.25">
      <c r="K214" s="8">
        <v>15</v>
      </c>
      <c r="L214">
        <v>20</v>
      </c>
      <c r="N214" t="str">
        <f t="shared" si="11"/>
        <v>0,41515--OK14</v>
      </c>
      <c r="P214" s="41">
        <f t="shared" si="10"/>
        <v>2</v>
      </c>
      <c r="R214">
        <f t="shared" si="8"/>
        <v>2</v>
      </c>
    </row>
    <row r="215" spans="11:18" x14ac:dyDescent="0.25">
      <c r="K215" s="137">
        <v>10</v>
      </c>
      <c r="L215" s="40">
        <v>0</v>
      </c>
      <c r="N215" t="str">
        <f t="shared" si="11"/>
        <v>0,41510--OK14</v>
      </c>
      <c r="P215" s="41">
        <f t="shared" si="10"/>
        <v>3</v>
      </c>
      <c r="R215">
        <f t="shared" si="8"/>
        <v>3</v>
      </c>
    </row>
    <row r="216" spans="11:18" x14ac:dyDescent="0.25">
      <c r="K216" s="8">
        <v>10</v>
      </c>
      <c r="L216">
        <v>2</v>
      </c>
      <c r="N216" t="str">
        <f t="shared" si="11"/>
        <v>0,41510--OK14</v>
      </c>
      <c r="P216" s="41">
        <f t="shared" si="10"/>
        <v>3</v>
      </c>
      <c r="R216">
        <f t="shared" si="8"/>
        <v>3</v>
      </c>
    </row>
    <row r="217" spans="11:18" x14ac:dyDescent="0.25">
      <c r="K217" s="137">
        <v>10</v>
      </c>
      <c r="L217" s="40">
        <v>7</v>
      </c>
      <c r="N217" t="str">
        <f t="shared" si="11"/>
        <v>0,41510--OK14</v>
      </c>
      <c r="P217" s="41">
        <f t="shared" si="10"/>
        <v>3</v>
      </c>
      <c r="R217">
        <f t="shared" ref="R217:R280" si="12">MATCH(N217, _xlfn.UNIQUE($N$25:$N$339), 0)</f>
        <v>3</v>
      </c>
    </row>
    <row r="218" spans="11:18" x14ac:dyDescent="0.25">
      <c r="K218" s="8">
        <v>10</v>
      </c>
      <c r="L218">
        <v>12</v>
      </c>
      <c r="N218" t="str">
        <f t="shared" si="11"/>
        <v>0,41510--OK14</v>
      </c>
      <c r="P218" s="41">
        <f t="shared" si="10"/>
        <v>3</v>
      </c>
      <c r="R218">
        <f t="shared" si="12"/>
        <v>3</v>
      </c>
    </row>
    <row r="219" spans="11:18" x14ac:dyDescent="0.25">
      <c r="K219" s="137">
        <v>10</v>
      </c>
      <c r="L219" s="40">
        <v>20</v>
      </c>
      <c r="N219" t="str">
        <f t="shared" si="11"/>
        <v>0,41510--OK14</v>
      </c>
      <c r="P219" s="41">
        <f t="shared" si="10"/>
        <v>3</v>
      </c>
      <c r="R219">
        <f t="shared" si="12"/>
        <v>3</v>
      </c>
    </row>
    <row r="220" spans="11:18" x14ac:dyDescent="0.25">
      <c r="K220" s="8">
        <v>5</v>
      </c>
      <c r="L220">
        <v>0</v>
      </c>
      <c r="N220" t="str">
        <f t="shared" si="11"/>
        <v>0,4205020OK14</v>
      </c>
      <c r="P220" s="41">
        <f t="shared" si="10"/>
        <v>8</v>
      </c>
      <c r="R220">
        <f t="shared" si="12"/>
        <v>19</v>
      </c>
    </row>
    <row r="221" spans="11:18" x14ac:dyDescent="0.25">
      <c r="K221" s="137">
        <v>5</v>
      </c>
      <c r="L221" s="40">
        <v>2</v>
      </c>
      <c r="N221" t="str">
        <f t="shared" si="11"/>
        <v>0,4205020OK14</v>
      </c>
      <c r="P221" s="41">
        <f t="shared" si="10"/>
        <v>8</v>
      </c>
      <c r="R221">
        <f t="shared" si="12"/>
        <v>19</v>
      </c>
    </row>
    <row r="222" spans="11:18" x14ac:dyDescent="0.25">
      <c r="K222" s="8">
        <v>5</v>
      </c>
      <c r="L222">
        <v>7</v>
      </c>
      <c r="N222" t="str">
        <f t="shared" si="11"/>
        <v>0,4205020OK14</v>
      </c>
      <c r="P222" s="41">
        <f t="shared" si="10"/>
        <v>8</v>
      </c>
      <c r="R222">
        <f t="shared" si="12"/>
        <v>19</v>
      </c>
    </row>
    <row r="223" spans="11:18" x14ac:dyDescent="0.25">
      <c r="K223" s="137">
        <v>5</v>
      </c>
      <c r="L223" s="40">
        <v>12</v>
      </c>
      <c r="N223" t="str">
        <f t="shared" si="11"/>
        <v>0,4205030OK14</v>
      </c>
      <c r="P223" s="41">
        <f t="shared" si="10"/>
        <v>9</v>
      </c>
      <c r="R223">
        <f t="shared" si="12"/>
        <v>18</v>
      </c>
    </row>
    <row r="224" spans="11:18" x14ac:dyDescent="0.25">
      <c r="K224" s="8">
        <v>5</v>
      </c>
      <c r="L224">
        <v>20</v>
      </c>
      <c r="N224" t="str">
        <f t="shared" si="11"/>
        <v>0,4205030OK14</v>
      </c>
      <c r="P224" s="41">
        <f t="shared" si="10"/>
        <v>9</v>
      </c>
      <c r="R224">
        <f t="shared" si="12"/>
        <v>18</v>
      </c>
    </row>
    <row r="225" spans="11:18" x14ac:dyDescent="0.25">
      <c r="K225" s="137">
        <v>0</v>
      </c>
      <c r="L225" s="40">
        <v>0</v>
      </c>
      <c r="N225" t="str">
        <f t="shared" si="11"/>
        <v>0,420520-OK14</v>
      </c>
      <c r="P225" s="41">
        <f t="shared" si="10"/>
        <v>11</v>
      </c>
      <c r="R225">
        <f t="shared" si="12"/>
        <v>5</v>
      </c>
    </row>
    <row r="226" spans="11:18" x14ac:dyDescent="0.25">
      <c r="K226" s="8">
        <v>0</v>
      </c>
      <c r="L226">
        <v>2</v>
      </c>
      <c r="N226" t="str">
        <f t="shared" si="11"/>
        <v>0,420520PresenningOK14</v>
      </c>
      <c r="P226" s="41">
        <f t="shared" si="10"/>
        <v>12</v>
      </c>
      <c r="R226">
        <f t="shared" si="12"/>
        <v>6</v>
      </c>
    </row>
    <row r="227" spans="11:18" x14ac:dyDescent="0.25">
      <c r="K227" s="137">
        <v>0</v>
      </c>
      <c r="L227" s="40">
        <v>7</v>
      </c>
      <c r="N227" t="str">
        <f t="shared" si="11"/>
        <v>0,42052010OK14</v>
      </c>
      <c r="P227" s="41">
        <f t="shared" si="10"/>
        <v>13</v>
      </c>
      <c r="R227">
        <f t="shared" si="12"/>
        <v>7</v>
      </c>
    </row>
    <row r="228" spans="11:18" x14ac:dyDescent="0.25">
      <c r="K228" s="8">
        <v>0</v>
      </c>
      <c r="L228">
        <v>12</v>
      </c>
      <c r="N228" t="str">
        <f t="shared" si="11"/>
        <v>0,42052010OK14</v>
      </c>
      <c r="P228" s="41">
        <f t="shared" si="10"/>
        <v>13</v>
      </c>
      <c r="R228">
        <f t="shared" si="12"/>
        <v>7</v>
      </c>
    </row>
    <row r="229" spans="11:18" x14ac:dyDescent="0.25">
      <c r="K229" s="137">
        <v>0</v>
      </c>
      <c r="L229" s="40">
        <v>20</v>
      </c>
      <c r="N229" t="str">
        <f t="shared" si="11"/>
        <v>0,42052010OK14</v>
      </c>
      <c r="P229" s="41">
        <f t="shared" si="10"/>
        <v>13</v>
      </c>
      <c r="R229">
        <f t="shared" si="12"/>
        <v>7</v>
      </c>
    </row>
    <row r="230" spans="11:18" x14ac:dyDescent="0.25">
      <c r="K230" s="8">
        <v>-5</v>
      </c>
      <c r="L230">
        <v>0</v>
      </c>
      <c r="N230" t="str">
        <f t="shared" si="11"/>
        <v>0,42052010OK14</v>
      </c>
      <c r="P230" s="41">
        <f t="shared" si="10"/>
        <v>13</v>
      </c>
      <c r="R230">
        <f t="shared" si="12"/>
        <v>7</v>
      </c>
    </row>
    <row r="231" spans="11:18" x14ac:dyDescent="0.25">
      <c r="K231" s="137">
        <v>-5</v>
      </c>
      <c r="L231" s="40">
        <v>2</v>
      </c>
      <c r="N231" t="str">
        <f t="shared" si="11"/>
        <v>0,42052010OK14</v>
      </c>
      <c r="P231" s="41">
        <f t="shared" si="10"/>
        <v>13</v>
      </c>
      <c r="R231">
        <f t="shared" si="12"/>
        <v>7</v>
      </c>
    </row>
    <row r="232" spans="11:18" x14ac:dyDescent="0.25">
      <c r="K232" s="8">
        <v>-5</v>
      </c>
      <c r="L232">
        <v>7</v>
      </c>
      <c r="N232" t="str">
        <f t="shared" si="11"/>
        <v>0,42052010OK14</v>
      </c>
      <c r="P232" s="41">
        <f t="shared" si="10"/>
        <v>13</v>
      </c>
      <c r="R232">
        <f t="shared" si="12"/>
        <v>7</v>
      </c>
    </row>
    <row r="233" spans="11:18" x14ac:dyDescent="0.25">
      <c r="K233" s="137">
        <v>-5</v>
      </c>
      <c r="L233" s="40">
        <v>12</v>
      </c>
      <c r="N233" t="str">
        <f t="shared" si="11"/>
        <v>0,42052020OK14</v>
      </c>
      <c r="P233" s="41">
        <f t="shared" si="10"/>
        <v>14</v>
      </c>
      <c r="R233">
        <f t="shared" si="12"/>
        <v>8</v>
      </c>
    </row>
    <row r="234" spans="11:18" x14ac:dyDescent="0.25">
      <c r="K234" s="8">
        <v>-5</v>
      </c>
      <c r="L234">
        <v>20</v>
      </c>
      <c r="N234" t="str">
        <f t="shared" si="11"/>
        <v>0,42052020OK14</v>
      </c>
      <c r="P234" s="41">
        <f t="shared" si="10"/>
        <v>14</v>
      </c>
      <c r="R234">
        <f t="shared" si="12"/>
        <v>8</v>
      </c>
    </row>
    <row r="235" spans="11:18" x14ac:dyDescent="0.25">
      <c r="K235" s="137">
        <v>-10</v>
      </c>
      <c r="L235" s="40">
        <v>0</v>
      </c>
      <c r="N235" t="str">
        <f t="shared" si="11"/>
        <v>0,42052020OK14</v>
      </c>
      <c r="P235" s="41">
        <f t="shared" si="10"/>
        <v>14</v>
      </c>
      <c r="R235">
        <f t="shared" si="12"/>
        <v>8</v>
      </c>
    </row>
    <row r="236" spans="11:18" x14ac:dyDescent="0.25">
      <c r="K236" s="8">
        <v>-10</v>
      </c>
      <c r="L236">
        <v>2</v>
      </c>
      <c r="N236" t="str">
        <f t="shared" si="11"/>
        <v>0,42052030OK14</v>
      </c>
      <c r="P236" s="41">
        <f t="shared" si="10"/>
        <v>15</v>
      </c>
      <c r="R236">
        <f t="shared" si="12"/>
        <v>9</v>
      </c>
    </row>
    <row r="237" spans="11:18" x14ac:dyDescent="0.25">
      <c r="K237" s="137">
        <v>-10</v>
      </c>
      <c r="L237" s="40">
        <v>7</v>
      </c>
      <c r="N237" t="str">
        <f t="shared" si="11"/>
        <v>0,42052030OK14</v>
      </c>
      <c r="P237" s="41">
        <f t="shared" si="10"/>
        <v>15</v>
      </c>
      <c r="R237">
        <f t="shared" si="12"/>
        <v>9</v>
      </c>
    </row>
    <row r="238" spans="11:18" x14ac:dyDescent="0.25">
      <c r="K238" s="8">
        <v>-10</v>
      </c>
      <c r="L238">
        <v>12</v>
      </c>
      <c r="N238" t="str">
        <f t="shared" si="11"/>
        <v>-----Frys innan täck</v>
      </c>
      <c r="P238" s="41">
        <f t="shared" si="10"/>
        <v>23</v>
      </c>
      <c r="R238">
        <f t="shared" si="12"/>
        <v>11</v>
      </c>
    </row>
    <row r="239" spans="11:18" x14ac:dyDescent="0.25">
      <c r="K239" s="137">
        <v>-10</v>
      </c>
      <c r="L239" s="40">
        <v>20</v>
      </c>
      <c r="N239" t="str">
        <f t="shared" si="11"/>
        <v>-----Frys innan täck</v>
      </c>
      <c r="P239" s="41">
        <f t="shared" si="10"/>
        <v>23</v>
      </c>
      <c r="R239">
        <f t="shared" si="12"/>
        <v>11</v>
      </c>
    </row>
    <row r="240" spans="11:18" x14ac:dyDescent="0.25">
      <c r="K240" s="8">
        <v>-15</v>
      </c>
      <c r="L240">
        <v>0</v>
      </c>
      <c r="N240" t="str">
        <f t="shared" si="11"/>
        <v>0,31552050OK14</v>
      </c>
      <c r="P240" s="41">
        <f t="shared" si="10"/>
        <v>18</v>
      </c>
      <c r="R240">
        <f t="shared" si="12"/>
        <v>20</v>
      </c>
    </row>
    <row r="241" spans="11:18" x14ac:dyDescent="0.25">
      <c r="K241" s="137">
        <v>-15</v>
      </c>
      <c r="L241" s="40">
        <v>2</v>
      </c>
      <c r="N241" t="str">
        <f t="shared" si="11"/>
        <v>0,21552050OK14</v>
      </c>
      <c r="P241" s="41">
        <f t="shared" si="10"/>
        <v>19</v>
      </c>
      <c r="R241">
        <f t="shared" si="12"/>
        <v>17</v>
      </c>
    </row>
    <row r="242" spans="11:18" x14ac:dyDescent="0.25">
      <c r="K242" s="8">
        <v>-15</v>
      </c>
      <c r="L242">
        <v>7</v>
      </c>
      <c r="N242" t="str">
        <f t="shared" si="11"/>
        <v>-----Frys innan täck</v>
      </c>
      <c r="P242" s="41">
        <f t="shared" si="10"/>
        <v>23</v>
      </c>
      <c r="R242">
        <f t="shared" si="12"/>
        <v>11</v>
      </c>
    </row>
    <row r="243" spans="11:18" x14ac:dyDescent="0.25">
      <c r="K243" s="137">
        <v>-15</v>
      </c>
      <c r="L243" s="40">
        <v>12</v>
      </c>
      <c r="N243" t="str">
        <f t="shared" si="11"/>
        <v>-----Frys innan täck</v>
      </c>
      <c r="P243" s="41">
        <f t="shared" si="10"/>
        <v>23</v>
      </c>
      <c r="R243">
        <f t="shared" si="12"/>
        <v>11</v>
      </c>
    </row>
    <row r="244" spans="11:18" x14ac:dyDescent="0.25">
      <c r="K244" s="8">
        <v>-15</v>
      </c>
      <c r="L244">
        <v>20</v>
      </c>
      <c r="N244" t="str">
        <f t="shared" si="11"/>
        <v>-----Frys innan täck</v>
      </c>
      <c r="P244" s="41">
        <f t="shared" si="10"/>
        <v>23</v>
      </c>
      <c r="R244">
        <f t="shared" si="12"/>
        <v>11</v>
      </c>
    </row>
    <row r="245" spans="11:18" x14ac:dyDescent="0.25">
      <c r="K245" s="137">
        <v>-20</v>
      </c>
      <c r="L245" s="40">
        <v>0</v>
      </c>
      <c r="N245" t="str">
        <f t="shared" si="11"/>
        <v>-----Når ej 70%</v>
      </c>
      <c r="P245" s="41">
        <f t="shared" si="10"/>
        <v>22</v>
      </c>
      <c r="R245">
        <f t="shared" si="12"/>
        <v>13</v>
      </c>
    </row>
    <row r="246" spans="11:18" x14ac:dyDescent="0.25">
      <c r="K246" s="8">
        <v>-20</v>
      </c>
      <c r="L246">
        <v>2</v>
      </c>
      <c r="N246" t="str">
        <f t="shared" si="11"/>
        <v>-----Når ej 70%</v>
      </c>
      <c r="P246" s="41">
        <f t="shared" si="10"/>
        <v>22</v>
      </c>
      <c r="R246">
        <f t="shared" si="12"/>
        <v>13</v>
      </c>
    </row>
    <row r="247" spans="11:18" x14ac:dyDescent="0.25">
      <c r="K247" s="137">
        <v>-20</v>
      </c>
      <c r="L247" s="40">
        <v>7</v>
      </c>
      <c r="N247" t="str">
        <f t="shared" si="11"/>
        <v>-----Frys innan täck</v>
      </c>
      <c r="P247" s="41">
        <f t="shared" si="10"/>
        <v>23</v>
      </c>
      <c r="R247">
        <f t="shared" si="12"/>
        <v>11</v>
      </c>
    </row>
    <row r="248" spans="11:18" x14ac:dyDescent="0.25">
      <c r="K248" s="8">
        <v>-20</v>
      </c>
      <c r="L248">
        <v>12</v>
      </c>
      <c r="N248" t="str">
        <f t="shared" si="11"/>
        <v>-----Frys innan täck</v>
      </c>
      <c r="P248" s="41">
        <f t="shared" si="10"/>
        <v>23</v>
      </c>
      <c r="R248">
        <f t="shared" si="12"/>
        <v>11</v>
      </c>
    </row>
    <row r="249" spans="11:18" ht="15.75" thickBot="1" x14ac:dyDescent="0.3">
      <c r="K249" s="138">
        <v>-20</v>
      </c>
      <c r="L249" s="134">
        <v>20</v>
      </c>
      <c r="N249" t="str">
        <f t="shared" si="11"/>
        <v>-----Frys innan täck</v>
      </c>
      <c r="P249" s="41">
        <f t="shared" si="10"/>
        <v>23</v>
      </c>
      <c r="R249">
        <f t="shared" si="12"/>
        <v>11</v>
      </c>
    </row>
    <row r="250" spans="11:18" x14ac:dyDescent="0.25">
      <c r="K250" s="135">
        <v>20</v>
      </c>
      <c r="L250" s="136">
        <v>0</v>
      </c>
      <c r="M250" t="s">
        <v>18</v>
      </c>
      <c r="N250" t="str">
        <f t="shared" ref="N250:N294" si="13">H2</f>
        <v>0,41520--OK14</v>
      </c>
      <c r="P250" s="41">
        <f t="shared" si="10"/>
        <v>1</v>
      </c>
      <c r="R250">
        <f t="shared" si="12"/>
        <v>1</v>
      </c>
    </row>
    <row r="251" spans="11:18" x14ac:dyDescent="0.25">
      <c r="K251" s="8">
        <v>20</v>
      </c>
      <c r="L251">
        <v>2</v>
      </c>
      <c r="N251" t="str">
        <f t="shared" si="13"/>
        <v>0,41520--OK14</v>
      </c>
      <c r="P251" s="41">
        <f t="shared" si="10"/>
        <v>1</v>
      </c>
      <c r="R251">
        <f t="shared" si="12"/>
        <v>1</v>
      </c>
    </row>
    <row r="252" spans="11:18" x14ac:dyDescent="0.25">
      <c r="K252" s="137">
        <v>20</v>
      </c>
      <c r="L252" s="40">
        <v>7</v>
      </c>
      <c r="N252" t="str">
        <f t="shared" si="13"/>
        <v>0,41520--OK14</v>
      </c>
      <c r="P252" s="41">
        <f t="shared" si="10"/>
        <v>1</v>
      </c>
      <c r="R252">
        <f t="shared" si="12"/>
        <v>1</v>
      </c>
    </row>
    <row r="253" spans="11:18" x14ac:dyDescent="0.25">
      <c r="K253" s="8">
        <v>20</v>
      </c>
      <c r="L253">
        <v>12</v>
      </c>
      <c r="N253" t="str">
        <f t="shared" si="13"/>
        <v>0,41520--OK14</v>
      </c>
      <c r="P253" s="41">
        <f t="shared" si="10"/>
        <v>1</v>
      </c>
      <c r="R253">
        <f t="shared" si="12"/>
        <v>1</v>
      </c>
    </row>
    <row r="254" spans="11:18" x14ac:dyDescent="0.25">
      <c r="K254" s="137">
        <v>20</v>
      </c>
      <c r="L254" s="40">
        <v>20</v>
      </c>
      <c r="N254" t="str">
        <f t="shared" si="13"/>
        <v>0,41520--OK14</v>
      </c>
      <c r="P254" s="41">
        <f t="shared" si="10"/>
        <v>1</v>
      </c>
      <c r="R254">
        <f t="shared" si="12"/>
        <v>1</v>
      </c>
    </row>
    <row r="255" spans="11:18" x14ac:dyDescent="0.25">
      <c r="K255" s="8">
        <v>15</v>
      </c>
      <c r="L255">
        <v>0</v>
      </c>
      <c r="N255" t="str">
        <f t="shared" si="13"/>
        <v>0,41515--OK14</v>
      </c>
      <c r="P255" s="41">
        <f t="shared" si="10"/>
        <v>2</v>
      </c>
      <c r="R255">
        <f t="shared" si="12"/>
        <v>2</v>
      </c>
    </row>
    <row r="256" spans="11:18" x14ac:dyDescent="0.25">
      <c r="K256" s="137">
        <v>15</v>
      </c>
      <c r="L256" s="40">
        <v>2</v>
      </c>
      <c r="N256" t="str">
        <f t="shared" si="13"/>
        <v>0,41515--OK14</v>
      </c>
      <c r="P256" s="41">
        <f t="shared" si="10"/>
        <v>2</v>
      </c>
      <c r="R256">
        <f t="shared" si="12"/>
        <v>2</v>
      </c>
    </row>
    <row r="257" spans="11:18" x14ac:dyDescent="0.25">
      <c r="K257" s="8">
        <v>15</v>
      </c>
      <c r="L257">
        <v>7</v>
      </c>
      <c r="N257" t="str">
        <f t="shared" si="13"/>
        <v>0,41515--OK14</v>
      </c>
      <c r="P257" s="41">
        <f t="shared" si="10"/>
        <v>2</v>
      </c>
      <c r="R257">
        <f t="shared" si="12"/>
        <v>2</v>
      </c>
    </row>
    <row r="258" spans="11:18" x14ac:dyDescent="0.25">
      <c r="K258" s="137">
        <v>15</v>
      </c>
      <c r="L258" s="40">
        <v>12</v>
      </c>
      <c r="N258" t="str">
        <f t="shared" si="13"/>
        <v>0,41515--OK14</v>
      </c>
      <c r="P258" s="41">
        <f t="shared" si="10"/>
        <v>2</v>
      </c>
      <c r="R258">
        <f t="shared" si="12"/>
        <v>2</v>
      </c>
    </row>
    <row r="259" spans="11:18" x14ac:dyDescent="0.25">
      <c r="K259" s="8">
        <v>15</v>
      </c>
      <c r="L259">
        <v>20</v>
      </c>
      <c r="N259" t="str">
        <f t="shared" si="13"/>
        <v>0,41515--OK14</v>
      </c>
      <c r="P259" s="41">
        <f t="shared" ref="P259:P322" si="14">MATCH(N259, _xlfn.UNIQUE($N$2:$N$339), 0)</f>
        <v>2</v>
      </c>
      <c r="R259">
        <f t="shared" si="12"/>
        <v>2</v>
      </c>
    </row>
    <row r="260" spans="11:18" x14ac:dyDescent="0.25">
      <c r="K260" s="137">
        <v>10</v>
      </c>
      <c r="L260" s="40">
        <v>0</v>
      </c>
      <c r="N260" t="str">
        <f t="shared" si="13"/>
        <v>0,41510--OK14</v>
      </c>
      <c r="P260" s="41">
        <f t="shared" si="14"/>
        <v>3</v>
      </c>
      <c r="R260">
        <f t="shared" si="12"/>
        <v>3</v>
      </c>
    </row>
    <row r="261" spans="11:18" x14ac:dyDescent="0.25">
      <c r="K261" s="8">
        <v>10</v>
      </c>
      <c r="L261">
        <v>2</v>
      </c>
      <c r="N261" t="str">
        <f t="shared" si="13"/>
        <v>0,41510--OK14</v>
      </c>
      <c r="P261" s="41">
        <f t="shared" si="14"/>
        <v>3</v>
      </c>
      <c r="R261">
        <f t="shared" si="12"/>
        <v>3</v>
      </c>
    </row>
    <row r="262" spans="11:18" x14ac:dyDescent="0.25">
      <c r="K262" s="137">
        <v>10</v>
      </c>
      <c r="L262" s="40">
        <v>7</v>
      </c>
      <c r="N262" t="str">
        <f t="shared" si="13"/>
        <v>0,41510--OK14</v>
      </c>
      <c r="P262" s="41">
        <f t="shared" si="14"/>
        <v>3</v>
      </c>
      <c r="R262">
        <f t="shared" si="12"/>
        <v>3</v>
      </c>
    </row>
    <row r="263" spans="11:18" x14ac:dyDescent="0.25">
      <c r="K263" s="8">
        <v>10</v>
      </c>
      <c r="L263">
        <v>12</v>
      </c>
      <c r="N263" t="str">
        <f t="shared" si="13"/>
        <v>0,41510--OK14</v>
      </c>
      <c r="P263" s="41">
        <f t="shared" si="14"/>
        <v>3</v>
      </c>
      <c r="R263">
        <f t="shared" si="12"/>
        <v>3</v>
      </c>
    </row>
    <row r="264" spans="11:18" x14ac:dyDescent="0.25">
      <c r="K264" s="137">
        <v>10</v>
      </c>
      <c r="L264" s="40">
        <v>20</v>
      </c>
      <c r="N264" t="str">
        <f t="shared" si="13"/>
        <v>0,41510--OK14</v>
      </c>
      <c r="P264" s="41">
        <f t="shared" si="14"/>
        <v>3</v>
      </c>
      <c r="R264">
        <f t="shared" si="12"/>
        <v>3</v>
      </c>
    </row>
    <row r="265" spans="11:18" x14ac:dyDescent="0.25">
      <c r="K265" s="8">
        <v>5</v>
      </c>
      <c r="L265">
        <v>0</v>
      </c>
      <c r="N265" t="str">
        <f t="shared" si="13"/>
        <v>0,4205010OK14</v>
      </c>
      <c r="P265" s="41">
        <f t="shared" si="14"/>
        <v>7</v>
      </c>
      <c r="R265">
        <f t="shared" si="12"/>
        <v>21</v>
      </c>
    </row>
    <row r="266" spans="11:18" x14ac:dyDescent="0.25">
      <c r="K266" s="137">
        <v>5</v>
      </c>
      <c r="L266" s="40">
        <v>2</v>
      </c>
      <c r="N266" t="str">
        <f t="shared" si="13"/>
        <v>0,4205010OK14</v>
      </c>
      <c r="P266" s="41">
        <f t="shared" si="14"/>
        <v>7</v>
      </c>
      <c r="R266">
        <f t="shared" si="12"/>
        <v>21</v>
      </c>
    </row>
    <row r="267" spans="11:18" x14ac:dyDescent="0.25">
      <c r="K267" s="8">
        <v>5</v>
      </c>
      <c r="L267">
        <v>7</v>
      </c>
      <c r="N267" t="str">
        <f t="shared" si="13"/>
        <v>0,4205020OK14</v>
      </c>
      <c r="P267" s="41">
        <f t="shared" si="14"/>
        <v>8</v>
      </c>
      <c r="R267">
        <f t="shared" si="12"/>
        <v>19</v>
      </c>
    </row>
    <row r="268" spans="11:18" x14ac:dyDescent="0.25">
      <c r="K268" s="137">
        <v>5</v>
      </c>
      <c r="L268" s="40">
        <v>12</v>
      </c>
      <c r="N268" t="str">
        <f t="shared" si="13"/>
        <v>0,4205010OK14</v>
      </c>
      <c r="P268" s="41">
        <f t="shared" si="14"/>
        <v>7</v>
      </c>
      <c r="R268">
        <f t="shared" si="12"/>
        <v>21</v>
      </c>
    </row>
    <row r="269" spans="11:18" x14ac:dyDescent="0.25">
      <c r="K269" s="8">
        <v>5</v>
      </c>
      <c r="L269">
        <v>20</v>
      </c>
      <c r="N269" t="str">
        <f t="shared" si="13"/>
        <v>0,4205020OK14</v>
      </c>
      <c r="P269" s="41">
        <f t="shared" si="14"/>
        <v>8</v>
      </c>
      <c r="R269">
        <f t="shared" si="12"/>
        <v>19</v>
      </c>
    </row>
    <row r="270" spans="11:18" x14ac:dyDescent="0.25">
      <c r="K270" s="137">
        <v>0</v>
      </c>
      <c r="L270" s="40">
        <v>0</v>
      </c>
      <c r="N270" t="str">
        <f t="shared" si="13"/>
        <v>0,420520PresenningOK14</v>
      </c>
      <c r="P270" s="41">
        <f t="shared" si="14"/>
        <v>12</v>
      </c>
      <c r="R270">
        <f t="shared" si="12"/>
        <v>6</v>
      </c>
    </row>
    <row r="271" spans="11:18" x14ac:dyDescent="0.25">
      <c r="K271" s="8">
        <v>0</v>
      </c>
      <c r="L271">
        <v>2</v>
      </c>
      <c r="N271" t="str">
        <f t="shared" si="13"/>
        <v>0,420520PresenningOK14</v>
      </c>
      <c r="P271" s="41">
        <f t="shared" si="14"/>
        <v>12</v>
      </c>
      <c r="R271">
        <f t="shared" si="12"/>
        <v>6</v>
      </c>
    </row>
    <row r="272" spans="11:18" x14ac:dyDescent="0.25">
      <c r="K272" s="137">
        <v>0</v>
      </c>
      <c r="L272" s="40">
        <v>7</v>
      </c>
      <c r="N272" t="str">
        <f t="shared" si="13"/>
        <v>0,42052010OK14</v>
      </c>
      <c r="P272" s="41">
        <f t="shared" si="14"/>
        <v>13</v>
      </c>
      <c r="R272">
        <f t="shared" si="12"/>
        <v>7</v>
      </c>
    </row>
    <row r="273" spans="11:18" x14ac:dyDescent="0.25">
      <c r="K273" s="8">
        <v>0</v>
      </c>
      <c r="L273">
        <v>12</v>
      </c>
      <c r="N273" t="str">
        <f t="shared" si="13"/>
        <v>0,42052010OK14</v>
      </c>
      <c r="P273" s="41">
        <f t="shared" si="14"/>
        <v>13</v>
      </c>
      <c r="R273">
        <f t="shared" si="12"/>
        <v>7</v>
      </c>
    </row>
    <row r="274" spans="11:18" x14ac:dyDescent="0.25">
      <c r="K274" s="137">
        <v>0</v>
      </c>
      <c r="L274" s="40">
        <v>20</v>
      </c>
      <c r="N274" t="str">
        <f t="shared" si="13"/>
        <v>0,42052010OK14</v>
      </c>
      <c r="P274" s="41">
        <f t="shared" si="14"/>
        <v>13</v>
      </c>
      <c r="R274">
        <f t="shared" si="12"/>
        <v>7</v>
      </c>
    </row>
    <row r="275" spans="11:18" x14ac:dyDescent="0.25">
      <c r="K275" s="8">
        <v>-5</v>
      </c>
      <c r="L275">
        <v>0</v>
      </c>
      <c r="N275" t="str">
        <f t="shared" si="13"/>
        <v>0,42052010OK14</v>
      </c>
      <c r="P275" s="41">
        <f t="shared" si="14"/>
        <v>13</v>
      </c>
      <c r="R275">
        <f t="shared" si="12"/>
        <v>7</v>
      </c>
    </row>
    <row r="276" spans="11:18" x14ac:dyDescent="0.25">
      <c r="K276" s="137">
        <v>-5</v>
      </c>
      <c r="L276" s="40">
        <v>2</v>
      </c>
      <c r="N276" t="str">
        <f t="shared" si="13"/>
        <v>0,42052010OK14</v>
      </c>
      <c r="P276" s="41">
        <f t="shared" si="14"/>
        <v>13</v>
      </c>
      <c r="R276">
        <f t="shared" si="12"/>
        <v>7</v>
      </c>
    </row>
    <row r="277" spans="11:18" x14ac:dyDescent="0.25">
      <c r="K277" s="8">
        <v>-5</v>
      </c>
      <c r="L277">
        <v>7</v>
      </c>
      <c r="N277" t="str">
        <f t="shared" si="13"/>
        <v>0,42052010OK14</v>
      </c>
      <c r="P277" s="41">
        <f t="shared" si="14"/>
        <v>13</v>
      </c>
      <c r="R277">
        <f t="shared" si="12"/>
        <v>7</v>
      </c>
    </row>
    <row r="278" spans="11:18" x14ac:dyDescent="0.25">
      <c r="K278" s="137">
        <v>-5</v>
      </c>
      <c r="L278" s="40">
        <v>12</v>
      </c>
      <c r="N278" t="str">
        <f t="shared" si="13"/>
        <v>0,42052010OK14</v>
      </c>
      <c r="P278" s="41">
        <f t="shared" si="14"/>
        <v>13</v>
      </c>
      <c r="R278">
        <f t="shared" si="12"/>
        <v>7</v>
      </c>
    </row>
    <row r="279" spans="11:18" x14ac:dyDescent="0.25">
      <c r="K279" s="8">
        <v>-5</v>
      </c>
      <c r="L279">
        <v>20</v>
      </c>
      <c r="N279" t="str">
        <f t="shared" si="13"/>
        <v>0,42052010OK14</v>
      </c>
      <c r="P279" s="41">
        <f t="shared" si="14"/>
        <v>13</v>
      </c>
      <c r="R279">
        <f t="shared" si="12"/>
        <v>7</v>
      </c>
    </row>
    <row r="280" spans="11:18" x14ac:dyDescent="0.25">
      <c r="K280" s="137">
        <v>-10</v>
      </c>
      <c r="L280" s="40">
        <v>0</v>
      </c>
      <c r="N280" t="str">
        <f t="shared" si="13"/>
        <v>0,42052020OK14</v>
      </c>
      <c r="P280" s="41">
        <f t="shared" si="14"/>
        <v>14</v>
      </c>
      <c r="R280">
        <f t="shared" si="12"/>
        <v>8</v>
      </c>
    </row>
    <row r="281" spans="11:18" x14ac:dyDescent="0.25">
      <c r="K281" s="8">
        <v>-10</v>
      </c>
      <c r="L281">
        <v>2</v>
      </c>
      <c r="N281" t="str">
        <f t="shared" si="13"/>
        <v>0,42052030OK14</v>
      </c>
      <c r="P281" s="41">
        <f t="shared" si="14"/>
        <v>15</v>
      </c>
      <c r="R281">
        <f t="shared" ref="R281:R339" si="15">MATCH(N281, _xlfn.UNIQUE($N$25:$N$339), 0)</f>
        <v>9</v>
      </c>
    </row>
    <row r="282" spans="11:18" x14ac:dyDescent="0.25">
      <c r="K282" s="137">
        <v>-10</v>
      </c>
      <c r="L282" s="40">
        <v>7</v>
      </c>
      <c r="N282" t="str">
        <f t="shared" si="13"/>
        <v>0,42052030OK14</v>
      </c>
      <c r="P282" s="41">
        <f t="shared" si="14"/>
        <v>15</v>
      </c>
      <c r="R282">
        <f t="shared" si="15"/>
        <v>9</v>
      </c>
    </row>
    <row r="283" spans="11:18" x14ac:dyDescent="0.25">
      <c r="K283" s="8">
        <v>-10</v>
      </c>
      <c r="L283">
        <v>12</v>
      </c>
      <c r="N283" t="str">
        <f t="shared" si="13"/>
        <v>-----Frys innan täck</v>
      </c>
      <c r="P283" s="41">
        <f t="shared" si="14"/>
        <v>23</v>
      </c>
      <c r="R283">
        <f t="shared" si="15"/>
        <v>11</v>
      </c>
    </row>
    <row r="284" spans="11:18" x14ac:dyDescent="0.25">
      <c r="K284" s="137">
        <v>-10</v>
      </c>
      <c r="L284" s="40">
        <v>20</v>
      </c>
      <c r="N284" t="str">
        <f t="shared" si="13"/>
        <v>-----Frys innan täck</v>
      </c>
      <c r="P284" s="41">
        <f t="shared" si="14"/>
        <v>23</v>
      </c>
      <c r="R284">
        <f t="shared" si="15"/>
        <v>11</v>
      </c>
    </row>
    <row r="285" spans="11:18" x14ac:dyDescent="0.25">
      <c r="K285" s="8">
        <v>-15</v>
      </c>
      <c r="L285">
        <v>0</v>
      </c>
      <c r="N285" t="str">
        <f t="shared" si="13"/>
        <v>0,31552050OK14</v>
      </c>
      <c r="P285" s="41">
        <f t="shared" si="14"/>
        <v>18</v>
      </c>
      <c r="R285">
        <f t="shared" si="15"/>
        <v>20</v>
      </c>
    </row>
    <row r="286" spans="11:18" x14ac:dyDescent="0.25">
      <c r="K286" s="137">
        <v>-15</v>
      </c>
      <c r="L286" s="40">
        <v>2</v>
      </c>
      <c r="N286" t="str">
        <f t="shared" si="13"/>
        <v>0,31552050OK14</v>
      </c>
      <c r="P286" s="41">
        <f t="shared" si="14"/>
        <v>18</v>
      </c>
      <c r="R286">
        <f t="shared" si="15"/>
        <v>20</v>
      </c>
    </row>
    <row r="287" spans="11:18" x14ac:dyDescent="0.25">
      <c r="K287" s="8">
        <v>-15</v>
      </c>
      <c r="L287">
        <v>7</v>
      </c>
      <c r="N287" t="str">
        <f t="shared" si="13"/>
        <v>-----Frys innan täck</v>
      </c>
      <c r="P287" s="41">
        <f t="shared" si="14"/>
        <v>23</v>
      </c>
      <c r="R287">
        <f t="shared" si="15"/>
        <v>11</v>
      </c>
    </row>
    <row r="288" spans="11:18" x14ac:dyDescent="0.25">
      <c r="K288" s="137">
        <v>-15</v>
      </c>
      <c r="L288" s="40">
        <v>12</v>
      </c>
      <c r="N288" t="str">
        <f t="shared" si="13"/>
        <v>-----Frys innan täck</v>
      </c>
      <c r="P288" s="41">
        <f t="shared" si="14"/>
        <v>23</v>
      </c>
      <c r="R288">
        <f t="shared" si="15"/>
        <v>11</v>
      </c>
    </row>
    <row r="289" spans="11:18" x14ac:dyDescent="0.25">
      <c r="K289" s="8">
        <v>-15</v>
      </c>
      <c r="L289">
        <v>20</v>
      </c>
      <c r="N289" t="str">
        <f t="shared" si="13"/>
        <v>-----Frys innan täck</v>
      </c>
      <c r="P289" s="41">
        <f t="shared" si="14"/>
        <v>23</v>
      </c>
      <c r="R289">
        <f t="shared" si="15"/>
        <v>11</v>
      </c>
    </row>
    <row r="290" spans="11:18" x14ac:dyDescent="0.25">
      <c r="K290" s="137">
        <v>-20</v>
      </c>
      <c r="L290" s="40">
        <v>0</v>
      </c>
      <c r="N290" t="str">
        <f t="shared" si="13"/>
        <v>0,11052050OK14</v>
      </c>
      <c r="P290" s="41">
        <f t="shared" si="14"/>
        <v>21</v>
      </c>
      <c r="R290">
        <f t="shared" si="15"/>
        <v>22</v>
      </c>
    </row>
    <row r="291" spans="11:18" x14ac:dyDescent="0.25">
      <c r="K291" s="8">
        <v>-20</v>
      </c>
      <c r="L291">
        <v>2</v>
      </c>
      <c r="N291" t="str">
        <f t="shared" si="13"/>
        <v>0,11052050OK14</v>
      </c>
      <c r="P291" s="41">
        <f t="shared" si="14"/>
        <v>21</v>
      </c>
      <c r="R291">
        <f t="shared" si="15"/>
        <v>22</v>
      </c>
    </row>
    <row r="292" spans="11:18" x14ac:dyDescent="0.25">
      <c r="K292" s="137">
        <v>-20</v>
      </c>
      <c r="L292" s="40">
        <v>7</v>
      </c>
      <c r="N292" t="str">
        <f t="shared" si="13"/>
        <v>-----Frys innan täck</v>
      </c>
      <c r="P292" s="41">
        <f t="shared" si="14"/>
        <v>23</v>
      </c>
      <c r="R292">
        <f t="shared" si="15"/>
        <v>11</v>
      </c>
    </row>
    <row r="293" spans="11:18" x14ac:dyDescent="0.25">
      <c r="K293" s="8">
        <v>-20</v>
      </c>
      <c r="L293">
        <v>12</v>
      </c>
      <c r="N293" t="str">
        <f t="shared" si="13"/>
        <v>-----Frys innan täck</v>
      </c>
      <c r="P293" s="41">
        <f t="shared" si="14"/>
        <v>23</v>
      </c>
      <c r="R293">
        <f t="shared" si="15"/>
        <v>11</v>
      </c>
    </row>
    <row r="294" spans="11:18" ht="15.75" thickBot="1" x14ac:dyDescent="0.3">
      <c r="K294" s="138">
        <v>-20</v>
      </c>
      <c r="L294" s="134">
        <v>20</v>
      </c>
      <c r="N294" t="str">
        <f t="shared" si="13"/>
        <v>-----Frys innan täck</v>
      </c>
      <c r="P294" s="41">
        <f t="shared" si="14"/>
        <v>23</v>
      </c>
      <c r="R294">
        <f t="shared" si="15"/>
        <v>11</v>
      </c>
    </row>
    <row r="295" spans="11:18" x14ac:dyDescent="0.25">
      <c r="K295" s="135">
        <v>20</v>
      </c>
      <c r="L295" s="136">
        <v>0</v>
      </c>
      <c r="M295" t="s">
        <v>20</v>
      </c>
      <c r="N295" t="str">
        <f t="shared" ref="N295:N339" si="16">I2</f>
        <v>0,41520--OK14</v>
      </c>
      <c r="P295" s="41">
        <f t="shared" si="14"/>
        <v>1</v>
      </c>
      <c r="R295">
        <f t="shared" si="15"/>
        <v>1</v>
      </c>
    </row>
    <row r="296" spans="11:18" x14ac:dyDescent="0.25">
      <c r="K296" s="8">
        <v>20</v>
      </c>
      <c r="L296">
        <v>2</v>
      </c>
      <c r="N296" t="str">
        <f t="shared" si="16"/>
        <v>0,41520--OK14</v>
      </c>
      <c r="P296" s="41">
        <f t="shared" si="14"/>
        <v>1</v>
      </c>
      <c r="R296">
        <f t="shared" si="15"/>
        <v>1</v>
      </c>
    </row>
    <row r="297" spans="11:18" x14ac:dyDescent="0.25">
      <c r="K297" s="137">
        <v>20</v>
      </c>
      <c r="L297" s="40">
        <v>7</v>
      </c>
      <c r="N297" t="str">
        <f t="shared" si="16"/>
        <v>0,41520--OK14</v>
      </c>
      <c r="P297" s="41">
        <f t="shared" si="14"/>
        <v>1</v>
      </c>
      <c r="R297">
        <f t="shared" si="15"/>
        <v>1</v>
      </c>
    </row>
    <row r="298" spans="11:18" x14ac:dyDescent="0.25">
      <c r="K298" s="8">
        <v>20</v>
      </c>
      <c r="L298">
        <v>12</v>
      </c>
      <c r="N298" t="str">
        <f t="shared" si="16"/>
        <v>0,41520--OK14</v>
      </c>
      <c r="P298" s="41">
        <f t="shared" si="14"/>
        <v>1</v>
      </c>
      <c r="R298">
        <f t="shared" si="15"/>
        <v>1</v>
      </c>
    </row>
    <row r="299" spans="11:18" x14ac:dyDescent="0.25">
      <c r="K299" s="137">
        <v>20</v>
      </c>
      <c r="L299" s="40">
        <v>20</v>
      </c>
      <c r="N299" t="str">
        <f t="shared" si="16"/>
        <v>0,41520--OK14</v>
      </c>
      <c r="P299" s="41">
        <f t="shared" si="14"/>
        <v>1</v>
      </c>
      <c r="R299">
        <f t="shared" si="15"/>
        <v>1</v>
      </c>
    </row>
    <row r="300" spans="11:18" x14ac:dyDescent="0.25">
      <c r="K300" s="8">
        <v>15</v>
      </c>
      <c r="L300">
        <v>0</v>
      </c>
      <c r="N300" t="str">
        <f t="shared" si="16"/>
        <v>0,41515--OK14</v>
      </c>
      <c r="P300" s="41">
        <f t="shared" si="14"/>
        <v>2</v>
      </c>
      <c r="R300">
        <f t="shared" si="15"/>
        <v>2</v>
      </c>
    </row>
    <row r="301" spans="11:18" x14ac:dyDescent="0.25">
      <c r="K301" s="137">
        <v>15</v>
      </c>
      <c r="L301" s="40">
        <v>2</v>
      </c>
      <c r="N301" t="str">
        <f t="shared" si="16"/>
        <v>0,41515--OK14</v>
      </c>
      <c r="P301" s="41">
        <f t="shared" si="14"/>
        <v>2</v>
      </c>
      <c r="R301">
        <f t="shared" si="15"/>
        <v>2</v>
      </c>
    </row>
    <row r="302" spans="11:18" x14ac:dyDescent="0.25">
      <c r="K302" s="8">
        <v>15</v>
      </c>
      <c r="L302">
        <v>7</v>
      </c>
      <c r="N302" t="str">
        <f t="shared" si="16"/>
        <v>0,41515--OK14</v>
      </c>
      <c r="P302" s="41">
        <f t="shared" si="14"/>
        <v>2</v>
      </c>
      <c r="R302">
        <f t="shared" si="15"/>
        <v>2</v>
      </c>
    </row>
    <row r="303" spans="11:18" x14ac:dyDescent="0.25">
      <c r="K303" s="137">
        <v>15</v>
      </c>
      <c r="L303" s="40">
        <v>12</v>
      </c>
      <c r="N303" t="str">
        <f t="shared" si="16"/>
        <v>0,41515--OK14</v>
      </c>
      <c r="P303" s="41">
        <f t="shared" si="14"/>
        <v>2</v>
      </c>
      <c r="R303">
        <f t="shared" si="15"/>
        <v>2</v>
      </c>
    </row>
    <row r="304" spans="11:18" x14ac:dyDescent="0.25">
      <c r="K304" s="8">
        <v>15</v>
      </c>
      <c r="L304">
        <v>20</v>
      </c>
      <c r="N304" t="str">
        <f t="shared" si="16"/>
        <v>0,41515--OK14</v>
      </c>
      <c r="P304" s="41">
        <f t="shared" si="14"/>
        <v>2</v>
      </c>
      <c r="R304">
        <f t="shared" si="15"/>
        <v>2</v>
      </c>
    </row>
    <row r="305" spans="11:18" x14ac:dyDescent="0.25">
      <c r="K305" s="137">
        <v>10</v>
      </c>
      <c r="L305" s="40">
        <v>0</v>
      </c>
      <c r="N305" t="str">
        <f t="shared" si="16"/>
        <v>0,41510--OK14</v>
      </c>
      <c r="P305" s="41">
        <f t="shared" si="14"/>
        <v>3</v>
      </c>
      <c r="R305">
        <f t="shared" si="15"/>
        <v>3</v>
      </c>
    </row>
    <row r="306" spans="11:18" x14ac:dyDescent="0.25">
      <c r="K306" s="8">
        <v>10</v>
      </c>
      <c r="L306">
        <v>2</v>
      </c>
      <c r="N306" t="str">
        <f t="shared" si="16"/>
        <v>0,41510--OK14</v>
      </c>
      <c r="P306" s="41">
        <f t="shared" si="14"/>
        <v>3</v>
      </c>
      <c r="R306">
        <f t="shared" si="15"/>
        <v>3</v>
      </c>
    </row>
    <row r="307" spans="11:18" x14ac:dyDescent="0.25">
      <c r="K307" s="137">
        <v>10</v>
      </c>
      <c r="L307" s="40">
        <v>7</v>
      </c>
      <c r="N307" t="str">
        <f t="shared" si="16"/>
        <v>0,41510--OK14</v>
      </c>
      <c r="P307" s="41">
        <f t="shared" si="14"/>
        <v>3</v>
      </c>
      <c r="R307">
        <f t="shared" si="15"/>
        <v>3</v>
      </c>
    </row>
    <row r="308" spans="11:18" x14ac:dyDescent="0.25">
      <c r="K308" s="8">
        <v>10</v>
      </c>
      <c r="L308">
        <v>12</v>
      </c>
      <c r="N308" t="str">
        <f t="shared" si="16"/>
        <v>0,41510--OK14</v>
      </c>
      <c r="P308" s="41">
        <f t="shared" si="14"/>
        <v>3</v>
      </c>
      <c r="R308">
        <f t="shared" si="15"/>
        <v>3</v>
      </c>
    </row>
    <row r="309" spans="11:18" x14ac:dyDescent="0.25">
      <c r="K309" s="137">
        <v>10</v>
      </c>
      <c r="L309" s="40">
        <v>20</v>
      </c>
      <c r="N309" t="str">
        <f t="shared" si="16"/>
        <v>0,41510--OK14</v>
      </c>
      <c r="P309" s="41">
        <f t="shared" si="14"/>
        <v>3</v>
      </c>
      <c r="R309">
        <f t="shared" si="15"/>
        <v>3</v>
      </c>
    </row>
    <row r="310" spans="11:18" x14ac:dyDescent="0.25">
      <c r="K310" s="8">
        <v>5</v>
      </c>
      <c r="L310">
        <v>0</v>
      </c>
      <c r="N310" t="str">
        <f t="shared" si="16"/>
        <v>0,42050PresenningOK14</v>
      </c>
      <c r="P310" s="41">
        <f t="shared" si="14"/>
        <v>5</v>
      </c>
      <c r="R310">
        <f t="shared" si="15"/>
        <v>23</v>
      </c>
    </row>
    <row r="311" spans="11:18" x14ac:dyDescent="0.25">
      <c r="K311" s="137">
        <v>5</v>
      </c>
      <c r="L311" s="40">
        <v>2</v>
      </c>
      <c r="N311" t="str">
        <f t="shared" si="16"/>
        <v>0,4205010OK14</v>
      </c>
      <c r="P311" s="41">
        <f t="shared" si="14"/>
        <v>7</v>
      </c>
      <c r="R311">
        <f t="shared" si="15"/>
        <v>21</v>
      </c>
    </row>
    <row r="312" spans="11:18" x14ac:dyDescent="0.25">
      <c r="K312" s="8">
        <v>5</v>
      </c>
      <c r="L312">
        <v>7</v>
      </c>
      <c r="N312" t="str">
        <f t="shared" si="16"/>
        <v>0,4205010OK14</v>
      </c>
      <c r="P312" s="41">
        <f t="shared" si="14"/>
        <v>7</v>
      </c>
      <c r="R312">
        <f t="shared" si="15"/>
        <v>21</v>
      </c>
    </row>
    <row r="313" spans="11:18" x14ac:dyDescent="0.25">
      <c r="K313" s="137">
        <v>5</v>
      </c>
      <c r="L313" s="40">
        <v>12</v>
      </c>
      <c r="N313" t="str">
        <f t="shared" si="16"/>
        <v>0,4205010OK14</v>
      </c>
      <c r="P313" s="41">
        <f t="shared" si="14"/>
        <v>7</v>
      </c>
      <c r="R313">
        <f t="shared" si="15"/>
        <v>21</v>
      </c>
    </row>
    <row r="314" spans="11:18" x14ac:dyDescent="0.25">
      <c r="K314" s="8">
        <v>5</v>
      </c>
      <c r="L314">
        <v>20</v>
      </c>
      <c r="N314" t="str">
        <f t="shared" si="16"/>
        <v>0,4205010OK14</v>
      </c>
      <c r="P314" s="41">
        <f t="shared" si="14"/>
        <v>7</v>
      </c>
      <c r="R314">
        <f t="shared" si="15"/>
        <v>21</v>
      </c>
    </row>
    <row r="315" spans="11:18" x14ac:dyDescent="0.25">
      <c r="K315" s="137">
        <v>0</v>
      </c>
      <c r="L315" s="40">
        <v>0</v>
      </c>
      <c r="N315" t="str">
        <f t="shared" si="16"/>
        <v>0,420520PresenningOK14</v>
      </c>
      <c r="P315" s="41">
        <f t="shared" si="14"/>
        <v>12</v>
      </c>
      <c r="R315">
        <f t="shared" si="15"/>
        <v>6</v>
      </c>
    </row>
    <row r="316" spans="11:18" x14ac:dyDescent="0.25">
      <c r="K316" s="8">
        <v>0</v>
      </c>
      <c r="L316">
        <v>2</v>
      </c>
      <c r="N316" t="str">
        <f t="shared" si="16"/>
        <v>0,420520PresenningOK14</v>
      </c>
      <c r="P316" s="41">
        <f t="shared" si="14"/>
        <v>12</v>
      </c>
      <c r="R316">
        <f t="shared" si="15"/>
        <v>6</v>
      </c>
    </row>
    <row r="317" spans="11:18" x14ac:dyDescent="0.25">
      <c r="K317" s="137">
        <v>0</v>
      </c>
      <c r="L317" s="40">
        <v>7</v>
      </c>
      <c r="N317" t="str">
        <f t="shared" si="16"/>
        <v>0,42052010OK14</v>
      </c>
      <c r="P317" s="41">
        <f t="shared" si="14"/>
        <v>13</v>
      </c>
      <c r="R317">
        <f t="shared" si="15"/>
        <v>7</v>
      </c>
    </row>
    <row r="318" spans="11:18" x14ac:dyDescent="0.25">
      <c r="K318" s="8">
        <v>0</v>
      </c>
      <c r="L318">
        <v>12</v>
      </c>
      <c r="N318" t="str">
        <f t="shared" si="16"/>
        <v>0,42052010OK14</v>
      </c>
      <c r="P318" s="41">
        <f t="shared" si="14"/>
        <v>13</v>
      </c>
      <c r="R318">
        <f t="shared" si="15"/>
        <v>7</v>
      </c>
    </row>
    <row r="319" spans="11:18" x14ac:dyDescent="0.25">
      <c r="K319" s="137">
        <v>0</v>
      </c>
      <c r="L319" s="40">
        <v>20</v>
      </c>
      <c r="N319" t="str">
        <f t="shared" si="16"/>
        <v>0,42052010OK14</v>
      </c>
      <c r="P319" s="41">
        <f t="shared" si="14"/>
        <v>13</v>
      </c>
      <c r="R319">
        <f t="shared" si="15"/>
        <v>7</v>
      </c>
    </row>
    <row r="320" spans="11:18" x14ac:dyDescent="0.25">
      <c r="K320" s="8">
        <v>-5</v>
      </c>
      <c r="L320">
        <v>0</v>
      </c>
      <c r="N320" t="str">
        <f t="shared" si="16"/>
        <v>0,420520PresenningOK14</v>
      </c>
      <c r="P320" s="41">
        <f t="shared" si="14"/>
        <v>12</v>
      </c>
      <c r="R320">
        <f t="shared" si="15"/>
        <v>6</v>
      </c>
    </row>
    <row r="321" spans="11:18" x14ac:dyDescent="0.25">
      <c r="K321" s="137">
        <v>-5</v>
      </c>
      <c r="L321" s="40">
        <v>2</v>
      </c>
      <c r="N321" t="str">
        <f t="shared" si="16"/>
        <v>0,42052010OK14</v>
      </c>
      <c r="P321" s="41">
        <f t="shared" si="14"/>
        <v>13</v>
      </c>
      <c r="R321">
        <f t="shared" si="15"/>
        <v>7</v>
      </c>
    </row>
    <row r="322" spans="11:18" x14ac:dyDescent="0.25">
      <c r="K322" s="8">
        <v>-5</v>
      </c>
      <c r="L322">
        <v>7</v>
      </c>
      <c r="N322" t="str">
        <f t="shared" si="16"/>
        <v>0,42052010OK14</v>
      </c>
      <c r="P322" s="41">
        <f t="shared" si="14"/>
        <v>13</v>
      </c>
      <c r="R322">
        <f t="shared" si="15"/>
        <v>7</v>
      </c>
    </row>
    <row r="323" spans="11:18" x14ac:dyDescent="0.25">
      <c r="K323" s="137">
        <v>-5</v>
      </c>
      <c r="L323" s="40">
        <v>12</v>
      </c>
      <c r="N323" t="str">
        <f t="shared" si="16"/>
        <v>0,42052010OK14</v>
      </c>
      <c r="P323" s="41">
        <f t="shared" ref="P323:P339" si="17">MATCH(N323, _xlfn.UNIQUE($N$2:$N$339), 0)</f>
        <v>13</v>
      </c>
      <c r="R323">
        <f t="shared" si="15"/>
        <v>7</v>
      </c>
    </row>
    <row r="324" spans="11:18" x14ac:dyDescent="0.25">
      <c r="K324" s="8">
        <v>-5</v>
      </c>
      <c r="L324">
        <v>20</v>
      </c>
      <c r="N324" t="str">
        <f t="shared" si="16"/>
        <v>0,42052010OK14</v>
      </c>
      <c r="P324" s="41">
        <f t="shared" si="17"/>
        <v>13</v>
      </c>
      <c r="R324">
        <f t="shared" si="15"/>
        <v>7</v>
      </c>
    </row>
    <row r="325" spans="11:18" x14ac:dyDescent="0.25">
      <c r="K325" s="137">
        <v>-10</v>
      </c>
      <c r="L325" s="40">
        <v>0</v>
      </c>
      <c r="N325" t="str">
        <f t="shared" si="16"/>
        <v>0,42052020OK14</v>
      </c>
      <c r="P325" s="41">
        <f t="shared" si="17"/>
        <v>14</v>
      </c>
      <c r="R325">
        <f t="shared" si="15"/>
        <v>8</v>
      </c>
    </row>
    <row r="326" spans="11:18" x14ac:dyDescent="0.25">
      <c r="K326" s="8">
        <v>-10</v>
      </c>
      <c r="L326">
        <v>2</v>
      </c>
      <c r="N326" t="str">
        <f t="shared" si="16"/>
        <v>0,42052020OK14</v>
      </c>
      <c r="P326" s="41">
        <f t="shared" si="17"/>
        <v>14</v>
      </c>
      <c r="R326">
        <f t="shared" si="15"/>
        <v>8</v>
      </c>
    </row>
    <row r="327" spans="11:18" x14ac:dyDescent="0.25">
      <c r="K327" s="137">
        <v>-10</v>
      </c>
      <c r="L327" s="40">
        <v>7</v>
      </c>
      <c r="N327" t="str">
        <f t="shared" si="16"/>
        <v>0,42052030OK14</v>
      </c>
      <c r="P327" s="41">
        <f t="shared" si="17"/>
        <v>15</v>
      </c>
      <c r="R327">
        <f t="shared" si="15"/>
        <v>9</v>
      </c>
    </row>
    <row r="328" spans="11:18" x14ac:dyDescent="0.25">
      <c r="K328" s="8">
        <v>-10</v>
      </c>
      <c r="L328">
        <v>12</v>
      </c>
      <c r="N328" t="str">
        <f t="shared" si="16"/>
        <v>-----Frys innan täck</v>
      </c>
      <c r="P328" s="41">
        <f t="shared" si="17"/>
        <v>23</v>
      </c>
      <c r="R328">
        <f t="shared" si="15"/>
        <v>11</v>
      </c>
    </row>
    <row r="329" spans="11:18" x14ac:dyDescent="0.25">
      <c r="K329" s="137">
        <v>-10</v>
      </c>
      <c r="L329" s="40">
        <v>20</v>
      </c>
      <c r="N329" t="str">
        <f t="shared" si="16"/>
        <v>-----Frys innan täck</v>
      </c>
      <c r="P329" s="41">
        <f t="shared" si="17"/>
        <v>23</v>
      </c>
      <c r="R329">
        <f t="shared" si="15"/>
        <v>11</v>
      </c>
    </row>
    <row r="330" spans="11:18" x14ac:dyDescent="0.25">
      <c r="K330" s="8">
        <v>-15</v>
      </c>
      <c r="L330">
        <v>0</v>
      </c>
      <c r="N330" t="str">
        <f t="shared" si="16"/>
        <v>0,31552050OK14</v>
      </c>
      <c r="P330" s="41">
        <f t="shared" si="17"/>
        <v>18</v>
      </c>
      <c r="R330">
        <f t="shared" si="15"/>
        <v>20</v>
      </c>
    </row>
    <row r="331" spans="11:18" x14ac:dyDescent="0.25">
      <c r="K331" s="137">
        <v>-15</v>
      </c>
      <c r="L331" s="40">
        <v>2</v>
      </c>
      <c r="N331" t="str">
        <f t="shared" si="16"/>
        <v>0,31552050OK14</v>
      </c>
      <c r="P331" s="41">
        <f t="shared" si="17"/>
        <v>18</v>
      </c>
      <c r="R331">
        <f t="shared" si="15"/>
        <v>20</v>
      </c>
    </row>
    <row r="332" spans="11:18" x14ac:dyDescent="0.25">
      <c r="K332" s="8">
        <v>-15</v>
      </c>
      <c r="L332">
        <v>7</v>
      </c>
      <c r="N332" t="str">
        <f t="shared" si="16"/>
        <v>-----Frys innan täck</v>
      </c>
      <c r="P332" s="41">
        <f t="shared" si="17"/>
        <v>23</v>
      </c>
      <c r="R332">
        <f t="shared" si="15"/>
        <v>11</v>
      </c>
    </row>
    <row r="333" spans="11:18" x14ac:dyDescent="0.25">
      <c r="K333" s="137">
        <v>-15</v>
      </c>
      <c r="L333" s="40">
        <v>12</v>
      </c>
      <c r="N333" t="str">
        <f t="shared" si="16"/>
        <v>-----Frys innan täck</v>
      </c>
      <c r="P333" s="41">
        <f t="shared" si="17"/>
        <v>23</v>
      </c>
      <c r="R333">
        <f t="shared" si="15"/>
        <v>11</v>
      </c>
    </row>
    <row r="334" spans="11:18" x14ac:dyDescent="0.25">
      <c r="K334" s="8">
        <v>-15</v>
      </c>
      <c r="L334">
        <v>20</v>
      </c>
      <c r="N334" t="str">
        <f t="shared" si="16"/>
        <v>-----Frys innan täck</v>
      </c>
      <c r="P334" s="41">
        <f t="shared" si="17"/>
        <v>23</v>
      </c>
      <c r="R334">
        <f t="shared" si="15"/>
        <v>11</v>
      </c>
    </row>
    <row r="335" spans="11:18" x14ac:dyDescent="0.25">
      <c r="K335" s="137">
        <v>-20</v>
      </c>
      <c r="L335" s="40">
        <v>0</v>
      </c>
      <c r="N335" t="str">
        <f t="shared" si="16"/>
        <v>0,11052050OK14</v>
      </c>
      <c r="P335" s="41">
        <f t="shared" si="17"/>
        <v>21</v>
      </c>
      <c r="R335">
        <f t="shared" si="15"/>
        <v>22</v>
      </c>
    </row>
    <row r="336" spans="11:18" x14ac:dyDescent="0.25">
      <c r="K336" s="8">
        <v>-20</v>
      </c>
      <c r="L336">
        <v>2</v>
      </c>
      <c r="N336" t="str">
        <f t="shared" si="16"/>
        <v>0,11052050OK14</v>
      </c>
      <c r="P336" s="41">
        <f t="shared" si="17"/>
        <v>21</v>
      </c>
      <c r="R336">
        <f t="shared" si="15"/>
        <v>22</v>
      </c>
    </row>
    <row r="337" spans="11:18" x14ac:dyDescent="0.25">
      <c r="K337" s="137">
        <v>-20</v>
      </c>
      <c r="L337" s="40">
        <v>7</v>
      </c>
      <c r="N337" t="str">
        <f t="shared" si="16"/>
        <v>-----Frys innan täck</v>
      </c>
      <c r="P337" s="41">
        <f t="shared" si="17"/>
        <v>23</v>
      </c>
      <c r="R337">
        <f t="shared" si="15"/>
        <v>11</v>
      </c>
    </row>
    <row r="338" spans="11:18" x14ac:dyDescent="0.25">
      <c r="K338" s="8">
        <v>-20</v>
      </c>
      <c r="L338">
        <v>12</v>
      </c>
      <c r="N338" t="str">
        <f t="shared" si="16"/>
        <v>-----Frys innan täck</v>
      </c>
      <c r="P338" s="41">
        <f t="shared" si="17"/>
        <v>23</v>
      </c>
      <c r="R338">
        <f t="shared" si="15"/>
        <v>11</v>
      </c>
    </row>
    <row r="339" spans="11:18" x14ac:dyDescent="0.25">
      <c r="K339" s="137">
        <v>-20</v>
      </c>
      <c r="L339" s="40">
        <v>20</v>
      </c>
      <c r="N339" t="str">
        <f t="shared" si="16"/>
        <v>-----Frys innan täck</v>
      </c>
      <c r="P339" s="41">
        <f t="shared" si="17"/>
        <v>23</v>
      </c>
      <c r="R339">
        <f t="shared" si="15"/>
        <v>11</v>
      </c>
    </row>
    <row r="340" spans="11:18" x14ac:dyDescent="0.25">
      <c r="P340" s="41">
        <f>MAX(P25:P339)</f>
        <v>23</v>
      </c>
      <c r="R340">
        <f>MAX(R25:R339)</f>
        <v>23</v>
      </c>
    </row>
  </sheetData>
  <phoneticPr fontId="3" type="noConversion"/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312B-888F-407C-991A-2707E6692E9A}">
  <sheetPr codeName="Sheet5"/>
  <dimension ref="A1:R84"/>
  <sheetViews>
    <sheetView topLeftCell="A36" zoomScale="85" zoomScaleNormal="85" workbookViewId="0">
      <selection activeCell="D25" sqref="D25"/>
    </sheetView>
  </sheetViews>
  <sheetFormatPr defaultRowHeight="15" x14ac:dyDescent="0.25"/>
  <cols>
    <col min="1" max="1" width="14.5703125" customWidth="1"/>
    <col min="2" max="2" width="12" customWidth="1"/>
    <col min="3" max="9" width="12.140625" customWidth="1"/>
    <col min="10" max="10" width="6.7109375" customWidth="1"/>
    <col min="12" max="12" width="13.42578125" customWidth="1"/>
    <col min="13" max="13" width="14.85546875" customWidth="1"/>
    <col min="14" max="14" width="20.5703125" customWidth="1"/>
    <col min="15" max="15" width="14.42578125" customWidth="1"/>
    <col min="16" max="16" width="10.7109375" customWidth="1"/>
    <col min="17" max="17" width="14.42578125" bestFit="1" customWidth="1"/>
  </cols>
  <sheetData>
    <row r="1" spans="1:9" ht="18" customHeight="1" thickBot="1" x14ac:dyDescent="0.3">
      <c r="A1" s="76" t="s">
        <v>32</v>
      </c>
      <c r="B1" s="77" t="s">
        <v>33</v>
      </c>
      <c r="C1" s="103" t="s">
        <v>12</v>
      </c>
      <c r="D1" s="103" t="s">
        <v>22</v>
      </c>
      <c r="E1" s="103" t="s">
        <v>97</v>
      </c>
      <c r="F1" s="104" t="s">
        <v>49</v>
      </c>
      <c r="G1" s="104" t="s">
        <v>52</v>
      </c>
      <c r="H1" s="104" t="s">
        <v>18</v>
      </c>
      <c r="I1" s="104" t="s">
        <v>20</v>
      </c>
    </row>
    <row r="2" spans="1:9" ht="15" customHeight="1" x14ac:dyDescent="0.25">
      <c r="A2" s="54"/>
      <c r="B2" s="66">
        <v>0</v>
      </c>
      <c r="C2" s="51">
        <f>'Data till Lathund, Kådgenererin'!P25</f>
        <v>1</v>
      </c>
      <c r="D2" s="42">
        <f>'Data till Lathund, Kådgenererin'!P70</f>
        <v>1</v>
      </c>
      <c r="E2" s="42">
        <f>'Data till Lathund, Kådgenererin'!P115</f>
        <v>1</v>
      </c>
      <c r="F2" s="42">
        <f>'Data till Lathund, Kådgenererin'!P160</f>
        <v>1</v>
      </c>
      <c r="G2" s="48">
        <f>'Data till Lathund, Kådgenererin'!P205</f>
        <v>1</v>
      </c>
      <c r="H2" s="42">
        <f>'Data till Lathund, Kådgenererin'!P250</f>
        <v>1</v>
      </c>
      <c r="I2" s="48">
        <f>'Data till Lathund, Kådgenererin'!P295</f>
        <v>1</v>
      </c>
    </row>
    <row r="3" spans="1:9" ht="15" customHeight="1" x14ac:dyDescent="0.25">
      <c r="A3" s="55"/>
      <c r="B3" s="67">
        <v>2</v>
      </c>
      <c r="C3" s="52">
        <f>'Data till Lathund, Kådgenererin'!P26</f>
        <v>1</v>
      </c>
      <c r="D3" s="44">
        <f>'Data till Lathund, Kådgenererin'!P71</f>
        <v>1</v>
      </c>
      <c r="E3" s="44">
        <f>'Data till Lathund, Kådgenererin'!P116</f>
        <v>1</v>
      </c>
      <c r="F3" s="44">
        <f>'Data till Lathund, Kådgenererin'!P161</f>
        <v>1</v>
      </c>
      <c r="G3" s="48">
        <f>'Data till Lathund, Kådgenererin'!P206</f>
        <v>1</v>
      </c>
      <c r="H3" s="44">
        <f>'Data till Lathund, Kådgenererin'!P251</f>
        <v>1</v>
      </c>
      <c r="I3" s="48">
        <f>'Data till Lathund, Kådgenererin'!P296</f>
        <v>1</v>
      </c>
    </row>
    <row r="4" spans="1:9" ht="15" customHeight="1" x14ac:dyDescent="0.25">
      <c r="A4" s="55">
        <v>20</v>
      </c>
      <c r="B4" s="68">
        <v>7</v>
      </c>
      <c r="C4" s="52">
        <f>'Data till Lathund, Kådgenererin'!P27</f>
        <v>1</v>
      </c>
      <c r="D4" s="44">
        <f>'Data till Lathund, Kådgenererin'!P72</f>
        <v>1</v>
      </c>
      <c r="E4" s="44">
        <f>'Data till Lathund, Kådgenererin'!P117</f>
        <v>1</v>
      </c>
      <c r="F4" s="44">
        <f>'Data till Lathund, Kådgenererin'!P162</f>
        <v>1</v>
      </c>
      <c r="G4" s="48">
        <f>'Data till Lathund, Kådgenererin'!P207</f>
        <v>1</v>
      </c>
      <c r="H4" s="44">
        <f>'Data till Lathund, Kådgenererin'!P252</f>
        <v>1</v>
      </c>
      <c r="I4" s="48">
        <f>'Data till Lathund, Kådgenererin'!P297</f>
        <v>1</v>
      </c>
    </row>
    <row r="5" spans="1:9" ht="15" customHeight="1" x14ac:dyDescent="0.25">
      <c r="A5" s="55"/>
      <c r="B5" s="67">
        <v>12</v>
      </c>
      <c r="C5" s="52">
        <f>'Data till Lathund, Kådgenererin'!P28</f>
        <v>1</v>
      </c>
      <c r="D5" s="44">
        <f>'Data till Lathund, Kådgenererin'!P73</f>
        <v>1</v>
      </c>
      <c r="E5" s="44">
        <f>'Data till Lathund, Kådgenererin'!P118</f>
        <v>1</v>
      </c>
      <c r="F5" s="44">
        <f>'Data till Lathund, Kådgenererin'!P163</f>
        <v>1</v>
      </c>
      <c r="G5" s="48">
        <f>'Data till Lathund, Kådgenererin'!P208</f>
        <v>1</v>
      </c>
      <c r="H5" s="44">
        <f>'Data till Lathund, Kådgenererin'!P253</f>
        <v>1</v>
      </c>
      <c r="I5" s="48">
        <f>'Data till Lathund, Kådgenererin'!P298</f>
        <v>1</v>
      </c>
    </row>
    <row r="6" spans="1:9" ht="15" customHeight="1" thickBot="1" x14ac:dyDescent="0.3">
      <c r="A6" s="56"/>
      <c r="B6" s="69">
        <v>20</v>
      </c>
      <c r="C6" s="53">
        <f>'Data till Lathund, Kådgenererin'!P29</f>
        <v>1</v>
      </c>
      <c r="D6" s="45">
        <f>'Data till Lathund, Kådgenererin'!P74</f>
        <v>1</v>
      </c>
      <c r="E6" s="45">
        <f>'Data till Lathund, Kådgenererin'!P119</f>
        <v>1</v>
      </c>
      <c r="F6" s="45">
        <f>'Data till Lathund, Kådgenererin'!P164</f>
        <v>1</v>
      </c>
      <c r="G6" s="49">
        <f>'Data till Lathund, Kådgenererin'!P209</f>
        <v>1</v>
      </c>
      <c r="H6" s="45">
        <f>'Data till Lathund, Kådgenererin'!P254</f>
        <v>1</v>
      </c>
      <c r="I6" s="49">
        <f>'Data till Lathund, Kådgenererin'!P299</f>
        <v>1</v>
      </c>
    </row>
    <row r="7" spans="1:9" ht="15" customHeight="1" x14ac:dyDescent="0.25">
      <c r="A7" s="57"/>
      <c r="B7" s="70">
        <v>0</v>
      </c>
      <c r="C7" s="51">
        <f>'Data till Lathund, Kådgenererin'!P30</f>
        <v>2</v>
      </c>
      <c r="D7" s="42">
        <f>'Data till Lathund, Kådgenererin'!P75</f>
        <v>2</v>
      </c>
      <c r="E7" s="42">
        <f>'Data till Lathund, Kådgenererin'!P120</f>
        <v>2</v>
      </c>
      <c r="F7" s="42">
        <f>'Data till Lathund, Kådgenererin'!P165</f>
        <v>2</v>
      </c>
      <c r="G7" s="50">
        <f>'Data till Lathund, Kådgenererin'!P210</f>
        <v>2</v>
      </c>
      <c r="H7" s="42">
        <f>'Data till Lathund, Kådgenererin'!P255</f>
        <v>2</v>
      </c>
      <c r="I7" s="50">
        <f>'Data till Lathund, Kådgenererin'!P300</f>
        <v>2</v>
      </c>
    </row>
    <row r="8" spans="1:9" ht="15" customHeight="1" x14ac:dyDescent="0.25">
      <c r="A8" s="58"/>
      <c r="B8" s="68">
        <v>2</v>
      </c>
      <c r="C8" s="52">
        <f>'Data till Lathund, Kådgenererin'!P31</f>
        <v>2</v>
      </c>
      <c r="D8" s="44">
        <f>'Data till Lathund, Kådgenererin'!P76</f>
        <v>2</v>
      </c>
      <c r="E8" s="44">
        <f>'Data till Lathund, Kådgenererin'!P121</f>
        <v>2</v>
      </c>
      <c r="F8" s="44">
        <f>'Data till Lathund, Kådgenererin'!P166</f>
        <v>2</v>
      </c>
      <c r="G8" s="48">
        <f>'Data till Lathund, Kådgenererin'!P211</f>
        <v>2</v>
      </c>
      <c r="H8" s="44">
        <f>'Data till Lathund, Kådgenererin'!P256</f>
        <v>2</v>
      </c>
      <c r="I8" s="48">
        <f>'Data till Lathund, Kådgenererin'!P301</f>
        <v>2</v>
      </c>
    </row>
    <row r="9" spans="1:9" ht="15" customHeight="1" x14ac:dyDescent="0.25">
      <c r="A9" s="58">
        <v>15</v>
      </c>
      <c r="B9" s="67">
        <v>7</v>
      </c>
      <c r="C9" s="52">
        <f>'Data till Lathund, Kådgenererin'!P32</f>
        <v>2</v>
      </c>
      <c r="D9" s="44">
        <f>'Data till Lathund, Kådgenererin'!P77</f>
        <v>2</v>
      </c>
      <c r="E9" s="44">
        <f>'Data till Lathund, Kådgenererin'!P122</f>
        <v>2</v>
      </c>
      <c r="F9" s="44">
        <f>'Data till Lathund, Kådgenererin'!P167</f>
        <v>2</v>
      </c>
      <c r="G9" s="48">
        <f>'Data till Lathund, Kådgenererin'!P212</f>
        <v>2</v>
      </c>
      <c r="H9" s="44">
        <f>'Data till Lathund, Kådgenererin'!P257</f>
        <v>2</v>
      </c>
      <c r="I9" s="48">
        <f>'Data till Lathund, Kådgenererin'!P302</f>
        <v>2</v>
      </c>
    </row>
    <row r="10" spans="1:9" ht="15" customHeight="1" x14ac:dyDescent="0.25">
      <c r="A10" s="58"/>
      <c r="B10" s="68">
        <v>12</v>
      </c>
      <c r="C10" s="52">
        <f>'Data till Lathund, Kådgenererin'!P33</f>
        <v>2</v>
      </c>
      <c r="D10" s="44">
        <f>'Data till Lathund, Kådgenererin'!P78</f>
        <v>2</v>
      </c>
      <c r="E10" s="44">
        <f>'Data till Lathund, Kådgenererin'!P123</f>
        <v>2</v>
      </c>
      <c r="F10" s="44">
        <f>'Data till Lathund, Kådgenererin'!P168</f>
        <v>2</v>
      </c>
      <c r="G10" s="48">
        <f>'Data till Lathund, Kådgenererin'!P213</f>
        <v>2</v>
      </c>
      <c r="H10" s="44">
        <f>'Data till Lathund, Kådgenererin'!P258</f>
        <v>2</v>
      </c>
      <c r="I10" s="48">
        <f>'Data till Lathund, Kådgenererin'!P303</f>
        <v>2</v>
      </c>
    </row>
    <row r="11" spans="1:9" ht="15" customHeight="1" thickBot="1" x14ac:dyDescent="0.3">
      <c r="A11" s="59"/>
      <c r="B11" s="71">
        <v>20</v>
      </c>
      <c r="C11" s="53">
        <f>'Data till Lathund, Kådgenererin'!P34</f>
        <v>2</v>
      </c>
      <c r="D11" s="45">
        <f>'Data till Lathund, Kådgenererin'!P79</f>
        <v>2</v>
      </c>
      <c r="E11" s="45">
        <f>'Data till Lathund, Kådgenererin'!P124</f>
        <v>2</v>
      </c>
      <c r="F11" s="45">
        <f>'Data till Lathund, Kådgenererin'!P169</f>
        <v>2</v>
      </c>
      <c r="G11" s="49">
        <f>'Data till Lathund, Kådgenererin'!P214</f>
        <v>2</v>
      </c>
      <c r="H11" s="45">
        <f>'Data till Lathund, Kådgenererin'!P259</f>
        <v>2</v>
      </c>
      <c r="I11" s="49">
        <f>'Data till Lathund, Kådgenererin'!P304</f>
        <v>2</v>
      </c>
    </row>
    <row r="12" spans="1:9" ht="15" customHeight="1" x14ac:dyDescent="0.25">
      <c r="A12" s="54"/>
      <c r="B12" s="66">
        <v>0</v>
      </c>
      <c r="C12" s="51">
        <f>'Data till Lathund, Kådgenererin'!P35</f>
        <v>3</v>
      </c>
      <c r="D12" s="42">
        <f>'Data till Lathund, Kådgenererin'!P80</f>
        <v>3</v>
      </c>
      <c r="E12" s="42">
        <f>'Data till Lathund, Kådgenererin'!P125</f>
        <v>3</v>
      </c>
      <c r="F12" s="42">
        <f>'Data till Lathund, Kådgenererin'!P170</f>
        <v>3</v>
      </c>
      <c r="G12" s="50">
        <f>'Data till Lathund, Kådgenererin'!P215</f>
        <v>3</v>
      </c>
      <c r="H12" s="42">
        <f>'Data till Lathund, Kådgenererin'!P260</f>
        <v>3</v>
      </c>
      <c r="I12" s="50">
        <f>'Data till Lathund, Kådgenererin'!P305</f>
        <v>3</v>
      </c>
    </row>
    <row r="13" spans="1:9" ht="15" customHeight="1" x14ac:dyDescent="0.25">
      <c r="A13" s="55"/>
      <c r="B13" s="67">
        <v>2</v>
      </c>
      <c r="C13" s="52">
        <f>'Data till Lathund, Kådgenererin'!P36</f>
        <v>6</v>
      </c>
      <c r="D13" s="44">
        <f>'Data till Lathund, Kådgenererin'!P81</f>
        <v>3</v>
      </c>
      <c r="E13" s="44">
        <f>'Data till Lathund, Kådgenererin'!P126</f>
        <v>3</v>
      </c>
      <c r="F13" s="44">
        <f>'Data till Lathund, Kådgenererin'!P171</f>
        <v>3</v>
      </c>
      <c r="G13" s="48">
        <f>'Data till Lathund, Kådgenererin'!P216</f>
        <v>3</v>
      </c>
      <c r="H13" s="44">
        <f>'Data till Lathund, Kådgenererin'!P261</f>
        <v>3</v>
      </c>
      <c r="I13" s="48">
        <f>'Data till Lathund, Kådgenererin'!P306</f>
        <v>3</v>
      </c>
    </row>
    <row r="14" spans="1:9" ht="15" customHeight="1" x14ac:dyDescent="0.25">
      <c r="A14" s="55">
        <v>10</v>
      </c>
      <c r="B14" s="68">
        <v>7</v>
      </c>
      <c r="C14" s="52">
        <f>'Data till Lathund, Kådgenererin'!P37</f>
        <v>6</v>
      </c>
      <c r="D14" s="44">
        <f>'Data till Lathund, Kådgenererin'!P82</f>
        <v>3</v>
      </c>
      <c r="E14" s="44">
        <f>'Data till Lathund, Kådgenererin'!P127</f>
        <v>3</v>
      </c>
      <c r="F14" s="44">
        <f>'Data till Lathund, Kådgenererin'!P172</f>
        <v>3</v>
      </c>
      <c r="G14" s="48">
        <f>'Data till Lathund, Kådgenererin'!P217</f>
        <v>3</v>
      </c>
      <c r="H14" s="44">
        <f>'Data till Lathund, Kådgenererin'!P262</f>
        <v>3</v>
      </c>
      <c r="I14" s="48">
        <f>'Data till Lathund, Kådgenererin'!P307</f>
        <v>3</v>
      </c>
    </row>
    <row r="15" spans="1:9" ht="15" customHeight="1" x14ac:dyDescent="0.25">
      <c r="A15" s="55"/>
      <c r="B15" s="67">
        <v>12</v>
      </c>
      <c r="C15" s="52">
        <f>'Data till Lathund, Kådgenererin'!P38</f>
        <v>6</v>
      </c>
      <c r="D15" s="44">
        <f>'Data till Lathund, Kådgenererin'!P83</f>
        <v>3</v>
      </c>
      <c r="E15" s="44">
        <f>'Data till Lathund, Kådgenererin'!P128</f>
        <v>3</v>
      </c>
      <c r="F15" s="44">
        <f>'Data till Lathund, Kådgenererin'!P173</f>
        <v>3</v>
      </c>
      <c r="G15" s="48">
        <f>'Data till Lathund, Kådgenererin'!P218</f>
        <v>3</v>
      </c>
      <c r="H15" s="44">
        <f>'Data till Lathund, Kådgenererin'!P263</f>
        <v>3</v>
      </c>
      <c r="I15" s="48">
        <f>'Data till Lathund, Kådgenererin'!P308</f>
        <v>3</v>
      </c>
    </row>
    <row r="16" spans="1:9" ht="15" customHeight="1" thickBot="1" x14ac:dyDescent="0.3">
      <c r="A16" s="56"/>
      <c r="B16" s="69">
        <v>20</v>
      </c>
      <c r="C16" s="53">
        <f>'Data till Lathund, Kådgenererin'!P39</f>
        <v>6</v>
      </c>
      <c r="D16" s="45">
        <f>'Data till Lathund, Kådgenererin'!P84</f>
        <v>4</v>
      </c>
      <c r="E16" s="45">
        <f>'Data till Lathund, Kådgenererin'!P129</f>
        <v>3</v>
      </c>
      <c r="F16" s="45">
        <f>'Data till Lathund, Kådgenererin'!P174</f>
        <v>3</v>
      </c>
      <c r="G16" s="49">
        <f>'Data till Lathund, Kådgenererin'!P219</f>
        <v>3</v>
      </c>
      <c r="H16" s="45">
        <f>'Data till Lathund, Kådgenererin'!P264</f>
        <v>3</v>
      </c>
      <c r="I16" s="49">
        <f>'Data till Lathund, Kådgenererin'!P309</f>
        <v>3</v>
      </c>
    </row>
    <row r="17" spans="1:9" ht="15" customHeight="1" x14ac:dyDescent="0.25">
      <c r="A17" s="57"/>
      <c r="B17" s="70">
        <v>0</v>
      </c>
      <c r="C17" s="51">
        <f>'Data till Lathund, Kådgenererin'!P40</f>
        <v>11</v>
      </c>
      <c r="D17" s="42">
        <f>'Data till Lathund, Kådgenererin'!P85</f>
        <v>11</v>
      </c>
      <c r="E17" s="42">
        <f>'Data till Lathund, Kådgenererin'!P130</f>
        <v>10</v>
      </c>
      <c r="F17" s="42">
        <f>'Data till Lathund, Kådgenererin'!P175</f>
        <v>9</v>
      </c>
      <c r="G17" s="50">
        <f>'Data till Lathund, Kådgenererin'!P220</f>
        <v>8</v>
      </c>
      <c r="H17" s="42">
        <f>'Data till Lathund, Kådgenererin'!P265</f>
        <v>7</v>
      </c>
      <c r="I17" s="50">
        <f>'Data till Lathund, Kådgenererin'!P310</f>
        <v>5</v>
      </c>
    </row>
    <row r="18" spans="1:9" ht="15" customHeight="1" x14ac:dyDescent="0.25">
      <c r="A18" s="58"/>
      <c r="B18" s="68">
        <v>2</v>
      </c>
      <c r="C18" s="52">
        <f>'Data till Lathund, Kådgenererin'!P41</f>
        <v>11</v>
      </c>
      <c r="D18" s="44">
        <f>'Data till Lathund, Kådgenererin'!P86</f>
        <v>11</v>
      </c>
      <c r="E18" s="44">
        <f>'Data till Lathund, Kådgenererin'!P131</f>
        <v>11</v>
      </c>
      <c r="F18" s="44">
        <f>'Data till Lathund, Kådgenererin'!P176</f>
        <v>10</v>
      </c>
      <c r="G18" s="48">
        <f>'Data till Lathund, Kådgenererin'!P221</f>
        <v>8</v>
      </c>
      <c r="H18" s="44">
        <f>'Data till Lathund, Kådgenererin'!P266</f>
        <v>7</v>
      </c>
      <c r="I18" s="48">
        <f>'Data till Lathund, Kådgenererin'!P311</f>
        <v>7</v>
      </c>
    </row>
    <row r="19" spans="1:9" ht="15" customHeight="1" x14ac:dyDescent="0.25">
      <c r="A19" s="58">
        <v>5</v>
      </c>
      <c r="B19" s="67">
        <v>7</v>
      </c>
      <c r="C19" s="52">
        <f>'Data till Lathund, Kådgenererin'!P42</f>
        <v>12</v>
      </c>
      <c r="D19" s="44">
        <f>'Data till Lathund, Kådgenererin'!P87</f>
        <v>12</v>
      </c>
      <c r="E19" s="44">
        <f>'Data till Lathund, Kådgenererin'!P132</f>
        <v>11</v>
      </c>
      <c r="F19" s="44">
        <f>'Data till Lathund, Kådgenererin'!P177</f>
        <v>10</v>
      </c>
      <c r="G19" s="48">
        <f>'Data till Lathund, Kådgenererin'!P222</f>
        <v>8</v>
      </c>
      <c r="H19" s="44">
        <f>'Data till Lathund, Kådgenererin'!P267</f>
        <v>8</v>
      </c>
      <c r="I19" s="48">
        <f>'Data till Lathund, Kådgenererin'!P312</f>
        <v>7</v>
      </c>
    </row>
    <row r="20" spans="1:9" ht="15" customHeight="1" x14ac:dyDescent="0.25">
      <c r="A20" s="58"/>
      <c r="B20" s="68">
        <v>12</v>
      </c>
      <c r="C20" s="52">
        <f>'Data till Lathund, Kådgenererin'!P43</f>
        <v>12</v>
      </c>
      <c r="D20" s="44">
        <f>'Data till Lathund, Kådgenererin'!P88</f>
        <v>12</v>
      </c>
      <c r="E20" s="44">
        <f>'Data till Lathund, Kådgenererin'!P133</f>
        <v>11</v>
      </c>
      <c r="F20" s="44">
        <f>'Data till Lathund, Kådgenererin'!P178</f>
        <v>10</v>
      </c>
      <c r="G20" s="48">
        <f>'Data till Lathund, Kådgenererin'!P223</f>
        <v>9</v>
      </c>
      <c r="H20" s="44">
        <f>'Data till Lathund, Kådgenererin'!P268</f>
        <v>7</v>
      </c>
      <c r="I20" s="48">
        <f>'Data till Lathund, Kådgenererin'!P313</f>
        <v>7</v>
      </c>
    </row>
    <row r="21" spans="1:9" ht="15" customHeight="1" thickBot="1" x14ac:dyDescent="0.3">
      <c r="A21" s="59"/>
      <c r="B21" s="71">
        <v>20</v>
      </c>
      <c r="C21" s="53">
        <f>'Data till Lathund, Kådgenererin'!P44</f>
        <v>12</v>
      </c>
      <c r="D21" s="45">
        <f>'Data till Lathund, Kådgenererin'!P89</f>
        <v>12</v>
      </c>
      <c r="E21" s="45">
        <f>'Data till Lathund, Kådgenererin'!P134</f>
        <v>12</v>
      </c>
      <c r="F21" s="45">
        <f>'Data till Lathund, Kådgenererin'!P179</f>
        <v>10</v>
      </c>
      <c r="G21" s="49">
        <f>'Data till Lathund, Kådgenererin'!P224</f>
        <v>9</v>
      </c>
      <c r="H21" s="45">
        <f>'Data till Lathund, Kådgenererin'!P269</f>
        <v>8</v>
      </c>
      <c r="I21" s="49">
        <f>'Data till Lathund, Kådgenererin'!P314</f>
        <v>7</v>
      </c>
    </row>
    <row r="22" spans="1:9" ht="15" customHeight="1" x14ac:dyDescent="0.25">
      <c r="A22" s="54"/>
      <c r="B22" s="66">
        <v>0</v>
      </c>
      <c r="C22" s="51">
        <f>'Data till Lathund, Kådgenererin'!P45</f>
        <v>12</v>
      </c>
      <c r="D22" s="42">
        <f>'Data till Lathund, Kådgenererin'!P90</f>
        <v>11</v>
      </c>
      <c r="E22" s="42">
        <f>'Data till Lathund, Kådgenererin'!P135</f>
        <v>11</v>
      </c>
      <c r="F22" s="42">
        <f>'Data till Lathund, Kådgenererin'!P180</f>
        <v>11</v>
      </c>
      <c r="G22" s="50">
        <f>'Data till Lathund, Kådgenererin'!P225</f>
        <v>11</v>
      </c>
      <c r="H22" s="42">
        <f>'Data till Lathund, Kådgenererin'!P270</f>
        <v>12</v>
      </c>
      <c r="I22" s="50">
        <f>'Data till Lathund, Kådgenererin'!P315</f>
        <v>12</v>
      </c>
    </row>
    <row r="23" spans="1:9" ht="15" customHeight="1" x14ac:dyDescent="0.25">
      <c r="A23" s="55"/>
      <c r="B23" s="67">
        <v>2</v>
      </c>
      <c r="C23" s="52">
        <f>'Data till Lathund, Kådgenererin'!P46</f>
        <v>13</v>
      </c>
      <c r="D23" s="44">
        <f>'Data till Lathund, Kådgenererin'!P91</f>
        <v>13</v>
      </c>
      <c r="E23" s="44">
        <f>'Data till Lathund, Kådgenererin'!P136</f>
        <v>13</v>
      </c>
      <c r="F23" s="44">
        <f>'Data till Lathund, Kådgenererin'!P181</f>
        <v>12</v>
      </c>
      <c r="G23" s="48">
        <f>'Data till Lathund, Kådgenererin'!P226</f>
        <v>12</v>
      </c>
      <c r="H23" s="44">
        <f>'Data till Lathund, Kådgenererin'!P271</f>
        <v>12</v>
      </c>
      <c r="I23" s="48">
        <f>'Data till Lathund, Kådgenererin'!P316</f>
        <v>12</v>
      </c>
    </row>
    <row r="24" spans="1:9" ht="15" customHeight="1" x14ac:dyDescent="0.25">
      <c r="A24" s="55">
        <v>0</v>
      </c>
      <c r="B24" s="68">
        <v>7</v>
      </c>
      <c r="C24" s="52">
        <f>'Data till Lathund, Kådgenererin'!P47</f>
        <v>13</v>
      </c>
      <c r="D24" s="44">
        <f>'Data till Lathund, Kådgenererin'!P92</f>
        <v>13</v>
      </c>
      <c r="E24" s="44">
        <f>'Data till Lathund, Kådgenererin'!P137</f>
        <v>13</v>
      </c>
      <c r="F24" s="44">
        <f>'Data till Lathund, Kådgenererin'!P182</f>
        <v>13</v>
      </c>
      <c r="G24" s="48">
        <f>'Data till Lathund, Kådgenererin'!P227</f>
        <v>13</v>
      </c>
      <c r="H24" s="44">
        <f>'Data till Lathund, Kådgenererin'!P272</f>
        <v>13</v>
      </c>
      <c r="I24" s="48">
        <f>'Data till Lathund, Kådgenererin'!P317</f>
        <v>13</v>
      </c>
    </row>
    <row r="25" spans="1:9" ht="15" customHeight="1" x14ac:dyDescent="0.25">
      <c r="A25" s="55"/>
      <c r="B25" s="67">
        <v>12</v>
      </c>
      <c r="C25" s="52">
        <f>'Data till Lathund, Kådgenererin'!P48</f>
        <v>13</v>
      </c>
      <c r="D25" s="44">
        <f>'Data till Lathund, Kådgenererin'!P93</f>
        <v>13</v>
      </c>
      <c r="E25" s="44">
        <f>'Data till Lathund, Kådgenererin'!P138</f>
        <v>13</v>
      </c>
      <c r="F25" s="44">
        <f>'Data till Lathund, Kådgenererin'!P183</f>
        <v>13</v>
      </c>
      <c r="G25" s="48">
        <f>'Data till Lathund, Kådgenererin'!P228</f>
        <v>13</v>
      </c>
      <c r="H25" s="44">
        <f>'Data till Lathund, Kådgenererin'!P273</f>
        <v>13</v>
      </c>
      <c r="I25" s="48">
        <f>'Data till Lathund, Kådgenererin'!P318</f>
        <v>13</v>
      </c>
    </row>
    <row r="26" spans="1:9" ht="15" customHeight="1" thickBot="1" x14ac:dyDescent="0.3">
      <c r="A26" s="56"/>
      <c r="B26" s="69">
        <v>20</v>
      </c>
      <c r="C26" s="53">
        <f>'Data till Lathund, Kådgenererin'!P49</f>
        <v>13</v>
      </c>
      <c r="D26" s="45">
        <f>'Data till Lathund, Kådgenererin'!P94</f>
        <v>13</v>
      </c>
      <c r="E26" s="45">
        <f>'Data till Lathund, Kådgenererin'!P139</f>
        <v>13</v>
      </c>
      <c r="F26" s="45">
        <f>'Data till Lathund, Kådgenererin'!P184</f>
        <v>13</v>
      </c>
      <c r="G26" s="49">
        <f>'Data till Lathund, Kådgenererin'!P229</f>
        <v>13</v>
      </c>
      <c r="H26" s="45">
        <f>'Data till Lathund, Kådgenererin'!P274</f>
        <v>13</v>
      </c>
      <c r="I26" s="49">
        <f>'Data till Lathund, Kådgenererin'!P319</f>
        <v>13</v>
      </c>
    </row>
    <row r="27" spans="1:9" ht="15" customHeight="1" x14ac:dyDescent="0.25">
      <c r="A27" s="60"/>
      <c r="B27" s="70">
        <v>0</v>
      </c>
      <c r="C27" s="51">
        <f>'Data till Lathund, Kådgenererin'!P50</f>
        <v>14</v>
      </c>
      <c r="D27" s="42">
        <f>'Data till Lathund, Kådgenererin'!P95</f>
        <v>13</v>
      </c>
      <c r="E27" s="42">
        <f>'Data till Lathund, Kådgenererin'!P140</f>
        <v>13</v>
      </c>
      <c r="F27" s="42">
        <f>'Data till Lathund, Kådgenererin'!P185</f>
        <v>13</v>
      </c>
      <c r="G27" s="50">
        <f>'Data till Lathund, Kådgenererin'!P230</f>
        <v>13</v>
      </c>
      <c r="H27" s="42">
        <f>'Data till Lathund, Kådgenererin'!P275</f>
        <v>13</v>
      </c>
      <c r="I27" s="50">
        <f>'Data till Lathund, Kådgenererin'!P320</f>
        <v>12</v>
      </c>
    </row>
    <row r="28" spans="1:9" ht="15" customHeight="1" x14ac:dyDescent="0.25">
      <c r="A28" s="61"/>
      <c r="B28" s="68">
        <v>2</v>
      </c>
      <c r="C28" s="52">
        <f>'Data till Lathund, Kådgenererin'!P51</f>
        <v>14</v>
      </c>
      <c r="D28" s="44">
        <f>'Data till Lathund, Kådgenererin'!P96</f>
        <v>14</v>
      </c>
      <c r="E28" s="44">
        <f>'Data till Lathund, Kådgenererin'!P141</f>
        <v>14</v>
      </c>
      <c r="F28" s="44">
        <f>'Data till Lathund, Kådgenererin'!P186</f>
        <v>13</v>
      </c>
      <c r="G28" s="48">
        <f>'Data till Lathund, Kådgenererin'!P231</f>
        <v>13</v>
      </c>
      <c r="H28" s="44">
        <f>'Data till Lathund, Kådgenererin'!P276</f>
        <v>13</v>
      </c>
      <c r="I28" s="48">
        <f>'Data till Lathund, Kådgenererin'!P321</f>
        <v>13</v>
      </c>
    </row>
    <row r="29" spans="1:9" ht="15" customHeight="1" x14ac:dyDescent="0.25">
      <c r="A29" s="61">
        <v>-5</v>
      </c>
      <c r="B29" s="67">
        <v>7</v>
      </c>
      <c r="C29" s="52">
        <f>'Data till Lathund, Kådgenererin'!P52</f>
        <v>15</v>
      </c>
      <c r="D29" s="44">
        <f>'Data till Lathund, Kådgenererin'!P97</f>
        <v>14</v>
      </c>
      <c r="E29" s="44">
        <f>'Data till Lathund, Kådgenererin'!P142</f>
        <v>14</v>
      </c>
      <c r="F29" s="44">
        <f>'Data till Lathund, Kådgenererin'!P187</f>
        <v>14</v>
      </c>
      <c r="G29" s="48">
        <f>'Data till Lathund, Kådgenererin'!P232</f>
        <v>13</v>
      </c>
      <c r="H29" s="44">
        <f>'Data till Lathund, Kådgenererin'!P277</f>
        <v>13</v>
      </c>
      <c r="I29" s="48">
        <f>'Data till Lathund, Kådgenererin'!P322</f>
        <v>13</v>
      </c>
    </row>
    <row r="30" spans="1:9" ht="15" customHeight="1" x14ac:dyDescent="0.25">
      <c r="A30" s="61"/>
      <c r="B30" s="68">
        <v>12</v>
      </c>
      <c r="C30" s="52">
        <f>'Data till Lathund, Kådgenererin'!P53</f>
        <v>15</v>
      </c>
      <c r="D30" s="44">
        <f>'Data till Lathund, Kådgenererin'!P98</f>
        <v>14</v>
      </c>
      <c r="E30" s="44">
        <f>'Data till Lathund, Kådgenererin'!P143</f>
        <v>14</v>
      </c>
      <c r="F30" s="44">
        <f>'Data till Lathund, Kådgenererin'!P188</f>
        <v>14</v>
      </c>
      <c r="G30" s="48">
        <f>'Data till Lathund, Kådgenererin'!P233</f>
        <v>14</v>
      </c>
      <c r="H30" s="44">
        <f>'Data till Lathund, Kådgenererin'!P278</f>
        <v>13</v>
      </c>
      <c r="I30" s="48">
        <f>'Data till Lathund, Kådgenererin'!P323</f>
        <v>13</v>
      </c>
    </row>
    <row r="31" spans="1:9" ht="15" customHeight="1" thickBot="1" x14ac:dyDescent="0.3">
      <c r="A31" s="62"/>
      <c r="B31" s="71">
        <v>20</v>
      </c>
      <c r="C31" s="53">
        <f>'Data till Lathund, Kådgenererin'!P54</f>
        <v>15</v>
      </c>
      <c r="D31" s="45">
        <f>'Data till Lathund, Kådgenererin'!P99</f>
        <v>14</v>
      </c>
      <c r="E31" s="45">
        <f>'Data till Lathund, Kådgenererin'!P144</f>
        <v>14</v>
      </c>
      <c r="F31" s="45">
        <f>'Data till Lathund, Kådgenererin'!P189</f>
        <v>14</v>
      </c>
      <c r="G31" s="49">
        <f>'Data till Lathund, Kådgenererin'!P234</f>
        <v>14</v>
      </c>
      <c r="H31" s="45">
        <f>'Data till Lathund, Kådgenererin'!P279</f>
        <v>13</v>
      </c>
      <c r="I31" s="49">
        <f>'Data till Lathund, Kådgenererin'!P324</f>
        <v>13</v>
      </c>
    </row>
    <row r="32" spans="1:9" ht="15" customHeight="1" x14ac:dyDescent="0.25">
      <c r="A32" s="63"/>
      <c r="B32" s="66">
        <v>0</v>
      </c>
      <c r="C32" s="51">
        <f>'Data till Lathund, Kådgenererin'!P55</f>
        <v>17</v>
      </c>
      <c r="D32" s="42">
        <f>'Data till Lathund, Kådgenererin'!P100</f>
        <v>16</v>
      </c>
      <c r="E32" s="42">
        <f>'Data till Lathund, Kådgenererin'!P145</f>
        <v>15</v>
      </c>
      <c r="F32" s="42">
        <f>'Data till Lathund, Kådgenererin'!P190</f>
        <v>15</v>
      </c>
      <c r="G32" s="50">
        <f>'Data till Lathund, Kådgenererin'!P235</f>
        <v>14</v>
      </c>
      <c r="H32" s="42">
        <f>'Data till Lathund, Kådgenererin'!P280</f>
        <v>14</v>
      </c>
      <c r="I32" s="50">
        <f>'Data till Lathund, Kådgenererin'!P325</f>
        <v>14</v>
      </c>
    </row>
    <row r="33" spans="1:9" ht="15" customHeight="1" x14ac:dyDescent="0.25">
      <c r="A33" s="64"/>
      <c r="B33" s="67">
        <v>2</v>
      </c>
      <c r="C33" s="52">
        <f>'Data till Lathund, Kådgenererin'!P56</f>
        <v>17</v>
      </c>
      <c r="D33" s="44">
        <f>'Data till Lathund, Kådgenererin'!P101</f>
        <v>16</v>
      </c>
      <c r="E33" s="44">
        <f>'Data till Lathund, Kådgenererin'!P146</f>
        <v>16</v>
      </c>
      <c r="F33" s="44">
        <f>'Data till Lathund, Kådgenererin'!P191</f>
        <v>15</v>
      </c>
      <c r="G33" s="48">
        <f>'Data till Lathund, Kådgenererin'!P236</f>
        <v>15</v>
      </c>
      <c r="H33" s="44">
        <f>'Data till Lathund, Kådgenererin'!P281</f>
        <v>15</v>
      </c>
      <c r="I33" s="48">
        <f>'Data till Lathund, Kådgenererin'!P326</f>
        <v>14</v>
      </c>
    </row>
    <row r="34" spans="1:9" ht="15" customHeight="1" x14ac:dyDescent="0.25">
      <c r="A34" s="64">
        <v>-10</v>
      </c>
      <c r="B34" s="68">
        <v>7</v>
      </c>
      <c r="C34" s="52">
        <f>'Data till Lathund, Kådgenererin'!P57</f>
        <v>17</v>
      </c>
      <c r="D34" s="44">
        <f>'Data till Lathund, Kådgenererin'!P102</f>
        <v>16</v>
      </c>
      <c r="E34" s="44">
        <f>'Data till Lathund, Kådgenererin'!P147</f>
        <v>16</v>
      </c>
      <c r="F34" s="44">
        <f>'Data till Lathund, Kådgenererin'!P192</f>
        <v>16</v>
      </c>
      <c r="G34" s="48">
        <f>'Data till Lathund, Kådgenererin'!P237</f>
        <v>15</v>
      </c>
      <c r="H34" s="44">
        <f>'Data till Lathund, Kådgenererin'!P282</f>
        <v>15</v>
      </c>
      <c r="I34" s="48">
        <f>'Data till Lathund, Kådgenererin'!P327</f>
        <v>15</v>
      </c>
    </row>
    <row r="35" spans="1:9" ht="15" customHeight="1" x14ac:dyDescent="0.25">
      <c r="A35" s="64"/>
      <c r="B35" s="67">
        <v>12</v>
      </c>
      <c r="C35" s="52">
        <f>'Data till Lathund, Kådgenererin'!P58</f>
        <v>23</v>
      </c>
      <c r="D35" s="44">
        <f>'Data till Lathund, Kådgenererin'!P103</f>
        <v>23</v>
      </c>
      <c r="E35" s="44">
        <f>'Data till Lathund, Kådgenererin'!P148</f>
        <v>23</v>
      </c>
      <c r="F35" s="44">
        <f>'Data till Lathund, Kådgenererin'!P193</f>
        <v>23</v>
      </c>
      <c r="G35" s="48">
        <f>'Data till Lathund, Kådgenererin'!P238</f>
        <v>23</v>
      </c>
      <c r="H35" s="44">
        <f>'Data till Lathund, Kådgenererin'!P283</f>
        <v>23</v>
      </c>
      <c r="I35" s="48">
        <f>'Data till Lathund, Kådgenererin'!P328</f>
        <v>23</v>
      </c>
    </row>
    <row r="36" spans="1:9" ht="15" customHeight="1" thickBot="1" x14ac:dyDescent="0.3">
      <c r="A36" s="65"/>
      <c r="B36" s="69">
        <v>20</v>
      </c>
      <c r="C36" s="53">
        <f>'Data till Lathund, Kådgenererin'!P59</f>
        <v>23</v>
      </c>
      <c r="D36" s="45">
        <f>'Data till Lathund, Kådgenererin'!P104</f>
        <v>23</v>
      </c>
      <c r="E36" s="45">
        <f>'Data till Lathund, Kådgenererin'!P149</f>
        <v>23</v>
      </c>
      <c r="F36" s="45">
        <f>'Data till Lathund, Kådgenererin'!P194</f>
        <v>23</v>
      </c>
      <c r="G36" s="49">
        <f>'Data till Lathund, Kådgenererin'!P239</f>
        <v>23</v>
      </c>
      <c r="H36" s="45">
        <f>'Data till Lathund, Kådgenererin'!P284</f>
        <v>23</v>
      </c>
      <c r="I36" s="49">
        <f>'Data till Lathund, Kådgenererin'!P329</f>
        <v>23</v>
      </c>
    </row>
    <row r="37" spans="1:9" ht="15" customHeight="1" x14ac:dyDescent="0.25">
      <c r="A37" s="60"/>
      <c r="B37" s="70">
        <v>0</v>
      </c>
      <c r="C37" s="51">
        <f>'Data till Lathund, Kådgenererin'!P60</f>
        <v>20</v>
      </c>
      <c r="D37" s="42">
        <f>'Data till Lathund, Kådgenererin'!P105</f>
        <v>20</v>
      </c>
      <c r="E37" s="42">
        <f>'Data till Lathund, Kådgenererin'!P150</f>
        <v>19</v>
      </c>
      <c r="F37" s="42">
        <f>'Data till Lathund, Kådgenererin'!P195</f>
        <v>19</v>
      </c>
      <c r="G37" s="50">
        <f>'Data till Lathund, Kådgenererin'!P240</f>
        <v>18</v>
      </c>
      <c r="H37" s="42">
        <f>'Data till Lathund, Kådgenererin'!P285</f>
        <v>18</v>
      </c>
      <c r="I37" s="50">
        <f>'Data till Lathund, Kådgenererin'!P330</f>
        <v>18</v>
      </c>
    </row>
    <row r="38" spans="1:9" ht="15" customHeight="1" x14ac:dyDescent="0.25">
      <c r="A38" s="61"/>
      <c r="B38" s="68">
        <v>2</v>
      </c>
      <c r="C38" s="52">
        <f>'Data till Lathund, Kådgenererin'!P61</f>
        <v>20</v>
      </c>
      <c r="D38" s="44">
        <f>'Data till Lathund, Kådgenererin'!P106</f>
        <v>20</v>
      </c>
      <c r="E38" s="44">
        <f>'Data till Lathund, Kådgenererin'!P151</f>
        <v>19</v>
      </c>
      <c r="F38" s="44">
        <f>'Data till Lathund, Kådgenererin'!P196</f>
        <v>20</v>
      </c>
      <c r="G38" s="48">
        <f>'Data till Lathund, Kådgenererin'!P241</f>
        <v>19</v>
      </c>
      <c r="H38" s="44">
        <f>'Data till Lathund, Kådgenererin'!P286</f>
        <v>18</v>
      </c>
      <c r="I38" s="48">
        <f>'Data till Lathund, Kådgenererin'!P331</f>
        <v>18</v>
      </c>
    </row>
    <row r="39" spans="1:9" ht="15" customHeight="1" x14ac:dyDescent="0.25">
      <c r="A39" s="61">
        <v>-15</v>
      </c>
      <c r="B39" s="67">
        <v>7</v>
      </c>
      <c r="C39" s="52">
        <f>'Data till Lathund, Kådgenererin'!P62</f>
        <v>23</v>
      </c>
      <c r="D39" s="44">
        <f>'Data till Lathund, Kådgenererin'!P107</f>
        <v>23</v>
      </c>
      <c r="E39" s="44">
        <f>'Data till Lathund, Kådgenererin'!P152</f>
        <v>23</v>
      </c>
      <c r="F39" s="44">
        <f>'Data till Lathund, Kådgenererin'!P197</f>
        <v>23</v>
      </c>
      <c r="G39" s="48">
        <f>'Data till Lathund, Kådgenererin'!P242</f>
        <v>23</v>
      </c>
      <c r="H39" s="44">
        <f>'Data till Lathund, Kådgenererin'!P287</f>
        <v>23</v>
      </c>
      <c r="I39" s="48">
        <f>'Data till Lathund, Kådgenererin'!P332</f>
        <v>23</v>
      </c>
    </row>
    <row r="40" spans="1:9" ht="15" customHeight="1" x14ac:dyDescent="0.25">
      <c r="A40" s="61"/>
      <c r="B40" s="68">
        <v>12</v>
      </c>
      <c r="C40" s="52">
        <f>'Data till Lathund, Kådgenererin'!P63</f>
        <v>23</v>
      </c>
      <c r="D40" s="44">
        <f>'Data till Lathund, Kådgenererin'!P108</f>
        <v>23</v>
      </c>
      <c r="E40" s="44">
        <f>'Data till Lathund, Kådgenererin'!P153</f>
        <v>23</v>
      </c>
      <c r="F40" s="44">
        <f>'Data till Lathund, Kådgenererin'!P198</f>
        <v>23</v>
      </c>
      <c r="G40" s="48">
        <f>'Data till Lathund, Kådgenererin'!P243</f>
        <v>23</v>
      </c>
      <c r="H40" s="44">
        <f>'Data till Lathund, Kådgenererin'!P288</f>
        <v>23</v>
      </c>
      <c r="I40" s="48">
        <f>'Data till Lathund, Kådgenererin'!P333</f>
        <v>23</v>
      </c>
    </row>
    <row r="41" spans="1:9" ht="15" customHeight="1" thickBot="1" x14ac:dyDescent="0.3">
      <c r="A41" s="62"/>
      <c r="B41" s="71">
        <v>20</v>
      </c>
      <c r="C41" s="53">
        <f>'Data till Lathund, Kådgenererin'!P64</f>
        <v>23</v>
      </c>
      <c r="D41" s="45">
        <f>'Data till Lathund, Kådgenererin'!P109</f>
        <v>23</v>
      </c>
      <c r="E41" s="45">
        <f>'Data till Lathund, Kådgenererin'!P154</f>
        <v>23</v>
      </c>
      <c r="F41" s="45">
        <f>'Data till Lathund, Kådgenererin'!P199</f>
        <v>23</v>
      </c>
      <c r="G41" s="49">
        <f>'Data till Lathund, Kådgenererin'!P244</f>
        <v>23</v>
      </c>
      <c r="H41" s="45">
        <f>'Data till Lathund, Kådgenererin'!P289</f>
        <v>23</v>
      </c>
      <c r="I41" s="49">
        <f>'Data till Lathund, Kådgenererin'!P334</f>
        <v>23</v>
      </c>
    </row>
    <row r="42" spans="1:9" ht="15" customHeight="1" x14ac:dyDescent="0.25">
      <c r="A42" s="63"/>
      <c r="B42" s="66">
        <v>0</v>
      </c>
      <c r="C42" s="73">
        <f>'Data till Lathund, Kådgenererin'!P65</f>
        <v>22</v>
      </c>
      <c r="D42" s="42">
        <f>'Data till Lathund, Kådgenererin'!P110</f>
        <v>22</v>
      </c>
      <c r="E42" s="42">
        <f>'Data till Lathund, Kådgenererin'!P155</f>
        <v>22</v>
      </c>
      <c r="F42" s="42">
        <f>'Data till Lathund, Kådgenererin'!P200</f>
        <v>22</v>
      </c>
      <c r="G42" s="50">
        <f>'Data till Lathund, Kådgenererin'!P245</f>
        <v>22</v>
      </c>
      <c r="H42" s="42">
        <f>'Data till Lathund, Kådgenererin'!P290</f>
        <v>21</v>
      </c>
      <c r="I42" s="47">
        <f>'Data till Lathund, Kådgenererin'!P335</f>
        <v>21</v>
      </c>
    </row>
    <row r="43" spans="1:9" ht="15" customHeight="1" x14ac:dyDescent="0.25">
      <c r="A43" s="64"/>
      <c r="B43" s="67">
        <v>2</v>
      </c>
      <c r="C43" s="74">
        <f>'Data till Lathund, Kådgenererin'!P66</f>
        <v>22</v>
      </c>
      <c r="D43" s="44">
        <f>'Data till Lathund, Kådgenererin'!P111</f>
        <v>22</v>
      </c>
      <c r="E43" s="44">
        <f>'Data till Lathund, Kådgenererin'!P156</f>
        <v>22</v>
      </c>
      <c r="F43" s="44">
        <f>'Data till Lathund, Kådgenererin'!P201</f>
        <v>22</v>
      </c>
      <c r="G43" s="48">
        <f>'Data till Lathund, Kådgenererin'!P246</f>
        <v>22</v>
      </c>
      <c r="H43" s="44">
        <f>'Data till Lathund, Kådgenererin'!P291</f>
        <v>21</v>
      </c>
      <c r="I43" s="43">
        <f>'Data till Lathund, Kådgenererin'!P336</f>
        <v>21</v>
      </c>
    </row>
    <row r="44" spans="1:9" ht="15" customHeight="1" x14ac:dyDescent="0.25">
      <c r="A44" s="64">
        <v>-20</v>
      </c>
      <c r="B44" s="68">
        <v>7</v>
      </c>
      <c r="C44" s="74">
        <f>'Data till Lathund, Kådgenererin'!P67</f>
        <v>23</v>
      </c>
      <c r="D44" s="44">
        <f>'Data till Lathund, Kådgenererin'!P112</f>
        <v>23</v>
      </c>
      <c r="E44" s="44">
        <f>'Data till Lathund, Kådgenererin'!P157</f>
        <v>23</v>
      </c>
      <c r="F44" s="44">
        <f>'Data till Lathund, Kådgenererin'!P202</f>
        <v>23</v>
      </c>
      <c r="G44" s="48">
        <f>'Data till Lathund, Kådgenererin'!P247</f>
        <v>23</v>
      </c>
      <c r="H44" s="44">
        <f>'Data till Lathund, Kådgenererin'!P292</f>
        <v>23</v>
      </c>
      <c r="I44" s="43">
        <f>'Data till Lathund, Kådgenererin'!P337</f>
        <v>23</v>
      </c>
    </row>
    <row r="45" spans="1:9" ht="15" customHeight="1" x14ac:dyDescent="0.25">
      <c r="A45" s="64"/>
      <c r="B45" s="67">
        <v>12</v>
      </c>
      <c r="C45" s="74">
        <f>'Data till Lathund, Kådgenererin'!P68</f>
        <v>23</v>
      </c>
      <c r="D45" s="44">
        <f>'Data till Lathund, Kådgenererin'!P113</f>
        <v>23</v>
      </c>
      <c r="E45" s="44">
        <f>'Data till Lathund, Kådgenererin'!P158</f>
        <v>23</v>
      </c>
      <c r="F45" s="44">
        <f>'Data till Lathund, Kådgenererin'!P203</f>
        <v>23</v>
      </c>
      <c r="G45" s="48">
        <f>'Data till Lathund, Kådgenererin'!P248</f>
        <v>23</v>
      </c>
      <c r="H45" s="44">
        <f>'Data till Lathund, Kådgenererin'!P293</f>
        <v>23</v>
      </c>
      <c r="I45" s="43">
        <f>'Data till Lathund, Kådgenererin'!P338</f>
        <v>23</v>
      </c>
    </row>
    <row r="46" spans="1:9" ht="15" customHeight="1" thickBot="1" x14ac:dyDescent="0.3">
      <c r="A46" s="65"/>
      <c r="B46" s="69">
        <v>20</v>
      </c>
      <c r="C46" s="75">
        <f>'Data till Lathund, Kådgenererin'!P69</f>
        <v>23</v>
      </c>
      <c r="D46" s="45">
        <f>'Data till Lathund, Kådgenererin'!P114</f>
        <v>23</v>
      </c>
      <c r="E46" s="45">
        <f>'Data till Lathund, Kådgenererin'!P159</f>
        <v>23</v>
      </c>
      <c r="F46" s="45">
        <f>'Data till Lathund, Kådgenererin'!P204</f>
        <v>23</v>
      </c>
      <c r="G46" s="49">
        <f>'Data till Lathund, Kådgenererin'!P249</f>
        <v>23</v>
      </c>
      <c r="H46" s="45">
        <f>'Data till Lathund, Kådgenererin'!P294</f>
        <v>23</v>
      </c>
      <c r="I46" s="46">
        <f>'Data till Lathund, Kådgenererin'!P339</f>
        <v>23</v>
      </c>
    </row>
    <row r="50" spans="11:18" ht="45" x14ac:dyDescent="0.25">
      <c r="K50" s="78" t="s">
        <v>27</v>
      </c>
      <c r="L50" s="79" t="s">
        <v>98</v>
      </c>
      <c r="M50" s="79" t="s">
        <v>0</v>
      </c>
      <c r="N50" s="79" t="s">
        <v>1</v>
      </c>
      <c r="O50" s="79" t="s">
        <v>34</v>
      </c>
      <c r="P50" s="80" t="s">
        <v>3</v>
      </c>
      <c r="Q50" s="79" t="s">
        <v>35</v>
      </c>
      <c r="R50" s="79" t="s">
        <v>36</v>
      </c>
    </row>
    <row r="51" spans="11:18" x14ac:dyDescent="0.25">
      <c r="K51" s="72">
        <v>1</v>
      </c>
      <c r="L51" s="139">
        <v>0.4</v>
      </c>
      <c r="M51" s="81">
        <v>15</v>
      </c>
      <c r="N51" s="81">
        <v>20</v>
      </c>
      <c r="O51" s="81" t="s">
        <v>13</v>
      </c>
      <c r="P51" s="81" t="s">
        <v>13</v>
      </c>
      <c r="Q51" s="105" t="s">
        <v>14</v>
      </c>
      <c r="R51" s="105"/>
    </row>
    <row r="52" spans="11:18" x14ac:dyDescent="0.25">
      <c r="K52" s="72">
        <v>2</v>
      </c>
      <c r="L52" s="139">
        <v>0.4</v>
      </c>
      <c r="M52" s="81">
        <v>15</v>
      </c>
      <c r="N52" s="81">
        <v>15</v>
      </c>
      <c r="O52" s="81" t="s">
        <v>13</v>
      </c>
      <c r="P52" s="81" t="s">
        <v>13</v>
      </c>
      <c r="Q52" s="105" t="s">
        <v>14</v>
      </c>
      <c r="R52" s="105"/>
    </row>
    <row r="53" spans="11:18" x14ac:dyDescent="0.25">
      <c r="K53" s="72">
        <v>3</v>
      </c>
      <c r="L53" s="139">
        <v>0.4</v>
      </c>
      <c r="M53" s="81">
        <v>15</v>
      </c>
      <c r="N53" s="81">
        <v>10</v>
      </c>
      <c r="O53" s="81" t="s">
        <v>13</v>
      </c>
      <c r="P53" s="81" t="s">
        <v>13</v>
      </c>
      <c r="Q53" s="105" t="s">
        <v>14</v>
      </c>
      <c r="R53" s="105"/>
    </row>
    <row r="54" spans="11:18" x14ac:dyDescent="0.25">
      <c r="K54" s="72">
        <v>4</v>
      </c>
      <c r="L54" s="139">
        <v>0.4</v>
      </c>
      <c r="M54" s="81">
        <v>15</v>
      </c>
      <c r="N54" s="81">
        <v>10</v>
      </c>
      <c r="O54" s="81">
        <v>0</v>
      </c>
      <c r="P54" s="81" t="s">
        <v>13</v>
      </c>
      <c r="Q54" s="105" t="s">
        <v>14</v>
      </c>
      <c r="R54" s="105"/>
    </row>
    <row r="55" spans="11:18" x14ac:dyDescent="0.25">
      <c r="K55" s="72">
        <v>5</v>
      </c>
      <c r="L55" s="139">
        <v>0.4</v>
      </c>
      <c r="M55" s="81">
        <v>20</v>
      </c>
      <c r="N55" s="81">
        <v>5</v>
      </c>
      <c r="O55" s="81">
        <v>20</v>
      </c>
      <c r="P55" s="81" t="s">
        <v>13</v>
      </c>
      <c r="Q55" s="105" t="s">
        <v>14</v>
      </c>
      <c r="R55" s="105"/>
    </row>
    <row r="56" spans="11:18" x14ac:dyDescent="0.25">
      <c r="K56" s="72">
        <v>6</v>
      </c>
      <c r="L56" s="139">
        <v>0.4</v>
      </c>
      <c r="M56" s="81">
        <v>20</v>
      </c>
      <c r="N56" s="81">
        <v>5</v>
      </c>
      <c r="O56" s="81">
        <v>0</v>
      </c>
      <c r="P56" s="81" t="s">
        <v>15</v>
      </c>
      <c r="Q56" s="105" t="s">
        <v>14</v>
      </c>
      <c r="R56" s="105"/>
    </row>
    <row r="57" spans="11:18" x14ac:dyDescent="0.25">
      <c r="K57" s="72">
        <v>7</v>
      </c>
      <c r="L57" s="139">
        <v>0.4</v>
      </c>
      <c r="M57" s="81">
        <v>20</v>
      </c>
      <c r="N57" s="81">
        <v>5</v>
      </c>
      <c r="O57" s="81">
        <v>20</v>
      </c>
      <c r="P57" s="81" t="s">
        <v>15</v>
      </c>
      <c r="Q57" s="105" t="s">
        <v>14</v>
      </c>
      <c r="R57" s="105"/>
    </row>
    <row r="58" spans="11:18" x14ac:dyDescent="0.25">
      <c r="K58" s="72">
        <v>8</v>
      </c>
      <c r="L58" s="139">
        <v>0.4</v>
      </c>
      <c r="M58" s="81">
        <v>15</v>
      </c>
      <c r="N58" s="81">
        <v>10</v>
      </c>
      <c r="O58" s="81">
        <v>0</v>
      </c>
      <c r="P58" s="81">
        <v>10</v>
      </c>
      <c r="Q58" s="105" t="s">
        <v>14</v>
      </c>
      <c r="R58" s="105"/>
    </row>
    <row r="59" spans="11:18" x14ac:dyDescent="0.25">
      <c r="K59" s="72">
        <v>9</v>
      </c>
      <c r="L59" s="139">
        <v>0.4</v>
      </c>
      <c r="M59" s="81">
        <v>20</v>
      </c>
      <c r="N59" s="81">
        <v>5</v>
      </c>
      <c r="O59" s="81">
        <v>0</v>
      </c>
      <c r="P59" s="81">
        <v>30</v>
      </c>
      <c r="Q59" s="105" t="s">
        <v>14</v>
      </c>
      <c r="R59" s="105"/>
    </row>
    <row r="60" spans="11:18" x14ac:dyDescent="0.25">
      <c r="K60" s="72">
        <v>10</v>
      </c>
      <c r="L60" s="139">
        <v>0.4</v>
      </c>
      <c r="M60" s="81">
        <v>20</v>
      </c>
      <c r="N60" s="81">
        <v>5</v>
      </c>
      <c r="O60" s="81">
        <v>0</v>
      </c>
      <c r="P60" s="81">
        <v>20</v>
      </c>
      <c r="Q60" s="105" t="s">
        <v>14</v>
      </c>
      <c r="R60" s="105"/>
    </row>
    <row r="61" spans="11:18" x14ac:dyDescent="0.25">
      <c r="K61" s="72">
        <v>11</v>
      </c>
      <c r="L61" s="139">
        <v>0.4</v>
      </c>
      <c r="M61" s="81">
        <v>20</v>
      </c>
      <c r="N61" s="81">
        <v>5</v>
      </c>
      <c r="O61" s="81">
        <v>0</v>
      </c>
      <c r="P61" s="81">
        <v>10</v>
      </c>
      <c r="Q61" s="105" t="s">
        <v>14</v>
      </c>
      <c r="R61" s="105"/>
    </row>
    <row r="62" spans="11:18" x14ac:dyDescent="0.25">
      <c r="K62" s="72">
        <v>12</v>
      </c>
      <c r="L62" s="139">
        <v>0.4</v>
      </c>
      <c r="M62" s="81">
        <v>20</v>
      </c>
      <c r="N62" s="81">
        <v>5</v>
      </c>
      <c r="O62" s="81">
        <v>0</v>
      </c>
      <c r="P62" s="81">
        <v>50</v>
      </c>
      <c r="Q62" s="105" t="s">
        <v>14</v>
      </c>
      <c r="R62" s="105"/>
    </row>
    <row r="63" spans="11:18" x14ac:dyDescent="0.25">
      <c r="K63" s="72">
        <v>13</v>
      </c>
      <c r="L63" s="139">
        <v>0.4</v>
      </c>
      <c r="M63" s="81">
        <v>20</v>
      </c>
      <c r="N63" s="81">
        <v>5</v>
      </c>
      <c r="O63" s="81">
        <v>20</v>
      </c>
      <c r="P63" s="81">
        <v>10</v>
      </c>
      <c r="Q63" s="105" t="s">
        <v>14</v>
      </c>
      <c r="R63" s="105"/>
    </row>
    <row r="64" spans="11:18" x14ac:dyDescent="0.25">
      <c r="K64" s="72">
        <v>14</v>
      </c>
      <c r="L64" s="139">
        <v>0.4</v>
      </c>
      <c r="M64" s="81">
        <v>20</v>
      </c>
      <c r="N64" s="81">
        <v>5</v>
      </c>
      <c r="O64" s="81">
        <v>20</v>
      </c>
      <c r="P64" s="81">
        <v>20</v>
      </c>
      <c r="Q64" s="105" t="s">
        <v>14</v>
      </c>
      <c r="R64" s="105"/>
    </row>
    <row r="65" spans="11:18" x14ac:dyDescent="0.25">
      <c r="K65" s="72">
        <v>15</v>
      </c>
      <c r="L65" s="139">
        <v>0.4</v>
      </c>
      <c r="M65" s="81">
        <v>20</v>
      </c>
      <c r="N65" s="81">
        <v>5</v>
      </c>
      <c r="O65" s="81">
        <v>20</v>
      </c>
      <c r="P65" s="81">
        <v>30</v>
      </c>
      <c r="Q65" s="105" t="s">
        <v>14</v>
      </c>
      <c r="R65" s="105"/>
    </row>
    <row r="66" spans="11:18" x14ac:dyDescent="0.25">
      <c r="K66" s="72">
        <v>16</v>
      </c>
      <c r="L66" s="139">
        <v>0.4</v>
      </c>
      <c r="M66" s="81">
        <v>20</v>
      </c>
      <c r="N66" s="81">
        <v>5</v>
      </c>
      <c r="O66" s="81">
        <v>20</v>
      </c>
      <c r="P66" s="81">
        <v>50</v>
      </c>
      <c r="Q66" s="105" t="s">
        <v>14</v>
      </c>
      <c r="R66" s="105"/>
    </row>
    <row r="67" spans="11:18" x14ac:dyDescent="0.25">
      <c r="K67" s="72">
        <v>17</v>
      </c>
      <c r="L67" s="139">
        <v>0.3</v>
      </c>
      <c r="M67" s="81">
        <v>20</v>
      </c>
      <c r="N67" s="81">
        <v>5</v>
      </c>
      <c r="O67" s="81">
        <v>20</v>
      </c>
      <c r="P67" s="81">
        <v>50</v>
      </c>
      <c r="Q67" s="105" t="s">
        <v>14</v>
      </c>
      <c r="R67" s="105"/>
    </row>
    <row r="68" spans="11:18" x14ac:dyDescent="0.25">
      <c r="K68" s="72">
        <v>18</v>
      </c>
      <c r="L68" s="139">
        <v>0.3</v>
      </c>
      <c r="M68" s="81">
        <v>15</v>
      </c>
      <c r="N68" s="81">
        <v>5</v>
      </c>
      <c r="O68" s="81">
        <v>20</v>
      </c>
      <c r="P68" s="81">
        <v>50</v>
      </c>
      <c r="Q68" s="105" t="s">
        <v>14</v>
      </c>
      <c r="R68" s="105"/>
    </row>
    <row r="69" spans="11:18" x14ac:dyDescent="0.25">
      <c r="K69" s="72">
        <v>19</v>
      </c>
      <c r="L69" s="139">
        <v>0.2</v>
      </c>
      <c r="M69" s="81">
        <v>15</v>
      </c>
      <c r="N69" s="81">
        <v>5</v>
      </c>
      <c r="O69" s="81">
        <v>20</v>
      </c>
      <c r="P69" s="81">
        <v>50</v>
      </c>
      <c r="Q69" s="105" t="s">
        <v>14</v>
      </c>
      <c r="R69" s="105"/>
    </row>
    <row r="70" spans="11:18" x14ac:dyDescent="0.25">
      <c r="K70" s="72">
        <v>20</v>
      </c>
      <c r="L70" s="139">
        <v>0.1</v>
      </c>
      <c r="M70" s="81">
        <v>15</v>
      </c>
      <c r="N70" s="81">
        <v>5</v>
      </c>
      <c r="O70" s="81">
        <v>20</v>
      </c>
      <c r="P70" s="81">
        <v>50</v>
      </c>
      <c r="Q70" s="105" t="s">
        <v>14</v>
      </c>
      <c r="R70" s="105"/>
    </row>
    <row r="71" spans="11:18" x14ac:dyDescent="0.25">
      <c r="K71" s="72">
        <v>21</v>
      </c>
      <c r="L71" s="139">
        <v>0.1</v>
      </c>
      <c r="M71" s="81">
        <v>10</v>
      </c>
      <c r="N71" s="81">
        <v>5</v>
      </c>
      <c r="O71" s="81">
        <v>20</v>
      </c>
      <c r="P71" s="81">
        <v>50</v>
      </c>
      <c r="Q71" s="105" t="s">
        <v>14</v>
      </c>
      <c r="R71" s="105"/>
    </row>
    <row r="72" spans="11:18" x14ac:dyDescent="0.25">
      <c r="K72" s="140">
        <v>22</v>
      </c>
      <c r="L72" s="139" t="s">
        <v>13</v>
      </c>
      <c r="M72" s="81" t="s">
        <v>13</v>
      </c>
      <c r="N72" s="81" t="s">
        <v>13</v>
      </c>
      <c r="O72" s="81" t="s">
        <v>13</v>
      </c>
      <c r="P72" s="81" t="s">
        <v>13</v>
      </c>
      <c r="Q72" s="105" t="s">
        <v>23</v>
      </c>
      <c r="R72" s="105"/>
    </row>
    <row r="73" spans="11:18" x14ac:dyDescent="0.25">
      <c r="K73" s="72">
        <v>23</v>
      </c>
      <c r="L73" s="139" t="s">
        <v>13</v>
      </c>
      <c r="M73" s="81" t="s">
        <v>13</v>
      </c>
      <c r="N73" s="81" t="s">
        <v>13</v>
      </c>
      <c r="O73" s="81" t="s">
        <v>13</v>
      </c>
      <c r="P73" s="81" t="s">
        <v>13</v>
      </c>
      <c r="Q73" s="105" t="s">
        <v>16</v>
      </c>
      <c r="R73" s="105"/>
    </row>
    <row r="75" spans="11:18" x14ac:dyDescent="0.25">
      <c r="K75" s="84" t="s">
        <v>37</v>
      </c>
      <c r="L75" s="85" t="s">
        <v>38</v>
      </c>
      <c r="M75" s="86" t="s">
        <v>39</v>
      </c>
      <c r="N75" s="19" t="s">
        <v>40</v>
      </c>
      <c r="O75" s="87" t="s">
        <v>0</v>
      </c>
    </row>
    <row r="76" spans="11:18" x14ac:dyDescent="0.25">
      <c r="K76" s="81">
        <v>20</v>
      </c>
      <c r="L76" s="95">
        <v>0</v>
      </c>
      <c r="M76" s="96">
        <f t="shared" ref="M76:M84" si="0">L76+K76</f>
        <v>20</v>
      </c>
      <c r="N76" s="91">
        <v>20</v>
      </c>
      <c r="O76" s="92">
        <v>15</v>
      </c>
    </row>
    <row r="77" spans="11:18" x14ac:dyDescent="0.25">
      <c r="K77" s="81">
        <v>15</v>
      </c>
      <c r="L77" s="95">
        <v>0</v>
      </c>
      <c r="M77" s="96">
        <f t="shared" si="0"/>
        <v>15</v>
      </c>
      <c r="N77" s="91">
        <v>15</v>
      </c>
      <c r="O77" s="92">
        <v>15</v>
      </c>
    </row>
    <row r="78" spans="11:18" x14ac:dyDescent="0.25">
      <c r="K78" s="81">
        <v>10</v>
      </c>
      <c r="L78" s="95">
        <v>10</v>
      </c>
      <c r="M78" s="96">
        <f t="shared" si="0"/>
        <v>20</v>
      </c>
      <c r="N78" s="91">
        <v>10</v>
      </c>
      <c r="O78" s="92">
        <v>15</v>
      </c>
    </row>
    <row r="79" spans="11:18" x14ac:dyDescent="0.25">
      <c r="K79" s="81">
        <v>5</v>
      </c>
      <c r="L79" s="95">
        <v>15</v>
      </c>
      <c r="M79" s="96">
        <f t="shared" si="0"/>
        <v>20</v>
      </c>
      <c r="N79" s="91">
        <v>5</v>
      </c>
      <c r="O79" s="92">
        <v>20</v>
      </c>
    </row>
    <row r="80" spans="11:18" x14ac:dyDescent="0.25">
      <c r="K80" s="81">
        <v>0</v>
      </c>
      <c r="L80" s="95">
        <v>20</v>
      </c>
      <c r="M80" s="96">
        <f t="shared" si="0"/>
        <v>20</v>
      </c>
      <c r="N80" s="91">
        <v>5</v>
      </c>
      <c r="O80" s="92">
        <v>20</v>
      </c>
    </row>
    <row r="81" spans="11:15" x14ac:dyDescent="0.25">
      <c r="K81" s="81">
        <v>-5</v>
      </c>
      <c r="L81" s="95">
        <v>20</v>
      </c>
      <c r="M81" s="96">
        <f t="shared" si="0"/>
        <v>15</v>
      </c>
      <c r="N81" s="91">
        <v>5</v>
      </c>
      <c r="O81" s="92">
        <v>20</v>
      </c>
    </row>
    <row r="82" spans="11:15" x14ac:dyDescent="0.25">
      <c r="K82" s="81">
        <v>-10</v>
      </c>
      <c r="L82" s="95">
        <v>20</v>
      </c>
      <c r="M82" s="96">
        <f t="shared" si="0"/>
        <v>10</v>
      </c>
      <c r="N82" s="91">
        <v>5</v>
      </c>
      <c r="O82" s="92">
        <v>20</v>
      </c>
    </row>
    <row r="83" spans="11:15" x14ac:dyDescent="0.25">
      <c r="K83" s="81">
        <v>-15</v>
      </c>
      <c r="L83" s="95">
        <v>20</v>
      </c>
      <c r="M83" s="96">
        <f t="shared" si="0"/>
        <v>5</v>
      </c>
      <c r="N83" s="91">
        <v>5</v>
      </c>
      <c r="O83" s="92">
        <v>15</v>
      </c>
    </row>
    <row r="84" spans="11:15" x14ac:dyDescent="0.25">
      <c r="K84" s="93">
        <v>-20</v>
      </c>
      <c r="L84" s="97">
        <v>20</v>
      </c>
      <c r="M84" s="98">
        <f t="shared" si="0"/>
        <v>0</v>
      </c>
      <c r="N84" s="91">
        <v>5</v>
      </c>
      <c r="O84" s="94">
        <v>10</v>
      </c>
    </row>
  </sheetData>
  <phoneticPr fontId="3" type="noConversion"/>
  <conditionalFormatting sqref="C2:I46 K51:K73">
    <cfRule type="colorScale" priority="4">
      <colorScale>
        <cfvo type="num" val="1"/>
        <cfvo type="percentile" val="50"/>
        <cfvo type="num" val="22"/>
        <color rgb="FF63BE7B"/>
        <color rgb="FFFFEB84"/>
        <color rgb="FFF8696B"/>
      </colorScale>
    </cfRule>
  </conditionalFormatting>
  <conditionalFormatting sqref="C2:I46 K72:K73">
    <cfRule type="cellIs" dxfId="1" priority="1" operator="equal">
      <formula>22</formula>
    </cfRule>
    <cfRule type="containsText" dxfId="0" priority="3" operator="containsText" text="23">
      <formula>NOT(ISERROR(SEARCH("23",C2)))</formula>
    </cfRule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76FB-0A89-4AC3-98E3-5CE194A5E586}">
  <sheetPr codeName="Sheet4"/>
  <dimension ref="A1:J49"/>
  <sheetViews>
    <sheetView workbookViewId="0">
      <selection activeCell="F12" sqref="F12"/>
    </sheetView>
  </sheetViews>
  <sheetFormatPr defaultRowHeight="15" x14ac:dyDescent="0.25"/>
  <cols>
    <col min="2" max="2" width="16.140625" customWidth="1"/>
    <col min="3" max="3" width="29.7109375" customWidth="1"/>
    <col min="4" max="4" width="28.5703125" customWidth="1"/>
    <col min="5" max="5" width="24.42578125" customWidth="1"/>
    <col min="6" max="6" width="16.28515625" customWidth="1"/>
    <col min="7" max="7" width="24.5703125" customWidth="1"/>
    <col min="8" max="8" width="24.7109375" bestFit="1" customWidth="1"/>
    <col min="9" max="9" width="31.5703125" customWidth="1"/>
    <col min="10" max="10" width="16.85546875" bestFit="1" customWidth="1"/>
    <col min="13" max="13" width="23.42578125" bestFit="1" customWidth="1"/>
  </cols>
  <sheetData>
    <row r="1" spans="1:10" x14ac:dyDescent="0.25">
      <c r="A1" t="s">
        <v>27</v>
      </c>
      <c r="B1" t="s">
        <v>95</v>
      </c>
      <c r="C1" t="s">
        <v>29</v>
      </c>
      <c r="D1" t="s">
        <v>1</v>
      </c>
      <c r="E1" t="s">
        <v>2</v>
      </c>
      <c r="F1" t="s">
        <v>3</v>
      </c>
      <c r="G1" t="s">
        <v>19</v>
      </c>
      <c r="H1" t="s">
        <v>30</v>
      </c>
      <c r="I1" t="s">
        <v>24</v>
      </c>
      <c r="J1" t="s">
        <v>31</v>
      </c>
    </row>
    <row r="2" spans="1:10" x14ac:dyDescent="0.25">
      <c r="A2">
        <v>1</v>
      </c>
      <c r="B2" s="2">
        <v>0.4</v>
      </c>
      <c r="C2" s="2">
        <v>15</v>
      </c>
      <c r="D2" s="2">
        <v>20</v>
      </c>
      <c r="E2" s="2" t="s">
        <v>13</v>
      </c>
      <c r="F2" s="2" t="s">
        <v>13</v>
      </c>
      <c r="G2" s="2" t="s">
        <v>14</v>
      </c>
      <c r="H2" s="2"/>
      <c r="I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0,41520--OK14</v>
      </c>
      <c r="J2">
        <f>Table8[[#This Row],[Paket]]</f>
        <v>1</v>
      </c>
    </row>
    <row r="3" spans="1:10" x14ac:dyDescent="0.25">
      <c r="A3">
        <v>2</v>
      </c>
      <c r="B3" s="2">
        <v>0.4</v>
      </c>
      <c r="C3" s="2">
        <v>15</v>
      </c>
      <c r="D3" s="2">
        <v>15</v>
      </c>
      <c r="E3" s="2" t="s">
        <v>13</v>
      </c>
      <c r="F3" s="2" t="s">
        <v>13</v>
      </c>
      <c r="G3" s="2" t="s">
        <v>14</v>
      </c>
      <c r="H3" s="2"/>
      <c r="I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0,41515--OK14</v>
      </c>
      <c r="J3">
        <f>Table8[[#This Row],[Paket]]</f>
        <v>2</v>
      </c>
    </row>
    <row r="4" spans="1:10" x14ac:dyDescent="0.25">
      <c r="A4">
        <v>3</v>
      </c>
      <c r="B4" s="2">
        <v>0.4</v>
      </c>
      <c r="C4" s="2">
        <v>15</v>
      </c>
      <c r="D4" s="2">
        <v>10</v>
      </c>
      <c r="E4" s="2" t="s">
        <v>13</v>
      </c>
      <c r="F4" s="2" t="s">
        <v>13</v>
      </c>
      <c r="G4" s="2" t="s">
        <v>14</v>
      </c>
      <c r="H4" s="2"/>
      <c r="I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0,41510--OK14</v>
      </c>
      <c r="J4">
        <f>Table8[[#This Row],[Paket]]</f>
        <v>3</v>
      </c>
    </row>
    <row r="5" spans="1:10" x14ac:dyDescent="0.25">
      <c r="A5">
        <v>4</v>
      </c>
      <c r="B5" s="2">
        <v>0.4</v>
      </c>
      <c r="C5" s="2">
        <v>15</v>
      </c>
      <c r="D5" s="2">
        <v>10</v>
      </c>
      <c r="E5" s="2">
        <v>0</v>
      </c>
      <c r="F5" s="2" t="s">
        <v>13</v>
      </c>
      <c r="G5" s="2" t="s">
        <v>14</v>
      </c>
      <c r="H5" s="2"/>
      <c r="I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0,415100-OK14</v>
      </c>
      <c r="J5">
        <f>Table8[[#This Row],[Paket]]</f>
        <v>4</v>
      </c>
    </row>
    <row r="6" spans="1:10" x14ac:dyDescent="0.25">
      <c r="A6">
        <v>5</v>
      </c>
      <c r="B6" s="2">
        <v>0.4</v>
      </c>
      <c r="C6" s="2">
        <v>20</v>
      </c>
      <c r="D6" s="2">
        <v>5</v>
      </c>
      <c r="E6" s="2">
        <v>0</v>
      </c>
      <c r="F6" s="2" t="s">
        <v>15</v>
      </c>
      <c r="G6" s="2" t="s">
        <v>14</v>
      </c>
      <c r="H6" s="2"/>
      <c r="I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0,42050PresenningOK14</v>
      </c>
      <c r="J6">
        <f>Table8[[#This Row],[Paket]]</f>
        <v>5</v>
      </c>
    </row>
    <row r="7" spans="1:10" x14ac:dyDescent="0.25">
      <c r="A7">
        <v>6</v>
      </c>
      <c r="B7" s="2">
        <v>0.4</v>
      </c>
      <c r="C7" s="2">
        <v>15</v>
      </c>
      <c r="D7" s="2">
        <v>10</v>
      </c>
      <c r="E7" s="2">
        <v>0</v>
      </c>
      <c r="F7" s="2">
        <v>10</v>
      </c>
      <c r="G7" s="2" t="s">
        <v>14</v>
      </c>
      <c r="H7" s="2"/>
      <c r="I7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0,41510010OK14</v>
      </c>
      <c r="J7">
        <f>Table8[[#This Row],[Paket]]</f>
        <v>6</v>
      </c>
    </row>
    <row r="8" spans="1:10" x14ac:dyDescent="0.25">
      <c r="A8">
        <v>7</v>
      </c>
      <c r="B8" s="2">
        <v>0.4</v>
      </c>
      <c r="C8" s="2">
        <v>20</v>
      </c>
      <c r="D8" s="2">
        <v>5</v>
      </c>
      <c r="E8" s="2">
        <v>0</v>
      </c>
      <c r="F8" s="2">
        <v>10</v>
      </c>
      <c r="G8" s="2" t="s">
        <v>14</v>
      </c>
      <c r="H8" s="2"/>
      <c r="I8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0,4205010OK14</v>
      </c>
      <c r="J8">
        <f>Table8[[#This Row],[Paket]]</f>
        <v>7</v>
      </c>
    </row>
    <row r="9" spans="1:10" x14ac:dyDescent="0.25">
      <c r="A9">
        <v>8</v>
      </c>
      <c r="B9" s="2">
        <v>0.4</v>
      </c>
      <c r="C9" s="2">
        <v>20</v>
      </c>
      <c r="D9" s="2">
        <v>5</v>
      </c>
      <c r="E9" s="2">
        <v>0</v>
      </c>
      <c r="F9" s="2">
        <v>20</v>
      </c>
      <c r="G9" s="2" t="s">
        <v>14</v>
      </c>
      <c r="H9" s="2"/>
      <c r="I9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0,4205020OK14</v>
      </c>
      <c r="J9">
        <f>Table8[[#This Row],[Paket]]</f>
        <v>8</v>
      </c>
    </row>
    <row r="10" spans="1:10" x14ac:dyDescent="0.25">
      <c r="A10">
        <v>9</v>
      </c>
      <c r="B10" s="2">
        <v>0.4</v>
      </c>
      <c r="C10" s="2">
        <v>20</v>
      </c>
      <c r="D10" s="2">
        <v>5</v>
      </c>
      <c r="E10" s="2">
        <v>0</v>
      </c>
      <c r="F10" s="2">
        <v>30</v>
      </c>
      <c r="G10" s="2" t="s">
        <v>14</v>
      </c>
      <c r="H10" s="2"/>
      <c r="I10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0,4205030OK14</v>
      </c>
      <c r="J10">
        <f>Table8[[#This Row],[Paket]]</f>
        <v>9</v>
      </c>
    </row>
    <row r="11" spans="1:10" x14ac:dyDescent="0.25">
      <c r="A11">
        <v>10</v>
      </c>
      <c r="B11" s="2">
        <v>0.4</v>
      </c>
      <c r="C11" s="2">
        <v>20</v>
      </c>
      <c r="D11" s="2">
        <v>5</v>
      </c>
      <c r="E11" s="2">
        <v>0</v>
      </c>
      <c r="F11" s="2">
        <v>50</v>
      </c>
      <c r="G11" s="2" t="s">
        <v>14</v>
      </c>
      <c r="H11" s="2"/>
      <c r="I11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0,4205050OK14</v>
      </c>
      <c r="J11">
        <f>Table8[[#This Row],[Paket]]</f>
        <v>10</v>
      </c>
    </row>
    <row r="12" spans="1:10" x14ac:dyDescent="0.25">
      <c r="A12">
        <v>11</v>
      </c>
      <c r="B12" s="2">
        <v>0.4</v>
      </c>
      <c r="C12" s="2">
        <v>20</v>
      </c>
      <c r="D12" s="2">
        <v>5</v>
      </c>
      <c r="E12" s="2">
        <v>20</v>
      </c>
      <c r="F12" s="2" t="s">
        <v>13</v>
      </c>
      <c r="G12" s="2" t="s">
        <v>14</v>
      </c>
      <c r="H12" s="2"/>
      <c r="I1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0,420520-OK14</v>
      </c>
      <c r="J12">
        <f>Table8[[#This Row],[Paket]]</f>
        <v>11</v>
      </c>
    </row>
    <row r="13" spans="1:10" x14ac:dyDescent="0.25">
      <c r="A13">
        <v>12</v>
      </c>
      <c r="B13" s="2">
        <v>0.4</v>
      </c>
      <c r="C13" s="2">
        <v>20</v>
      </c>
      <c r="D13" s="2">
        <v>5</v>
      </c>
      <c r="E13" s="2">
        <v>20</v>
      </c>
      <c r="F13" s="2" t="s">
        <v>15</v>
      </c>
      <c r="G13" s="2" t="s">
        <v>14</v>
      </c>
      <c r="H13" s="2"/>
      <c r="I1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0,420520PresenningOK14</v>
      </c>
      <c r="J13">
        <f>Table8[[#This Row],[Paket]]</f>
        <v>12</v>
      </c>
    </row>
    <row r="14" spans="1:10" x14ac:dyDescent="0.25">
      <c r="A14">
        <v>13</v>
      </c>
      <c r="B14" s="2">
        <v>0.4</v>
      </c>
      <c r="C14" s="2">
        <v>20</v>
      </c>
      <c r="D14" s="2">
        <v>5</v>
      </c>
      <c r="E14" s="2">
        <v>20</v>
      </c>
      <c r="F14" s="2">
        <v>10</v>
      </c>
      <c r="G14" s="2" t="s">
        <v>14</v>
      </c>
      <c r="H14" s="2"/>
      <c r="I1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0,42052010OK14</v>
      </c>
      <c r="J14">
        <f>Table8[[#This Row],[Paket]]</f>
        <v>13</v>
      </c>
    </row>
    <row r="15" spans="1:10" x14ac:dyDescent="0.25">
      <c r="A15">
        <v>14</v>
      </c>
      <c r="B15" s="2">
        <v>0.4</v>
      </c>
      <c r="C15" s="2">
        <v>20</v>
      </c>
      <c r="D15" s="2">
        <v>5</v>
      </c>
      <c r="E15" s="2">
        <v>20</v>
      </c>
      <c r="F15" s="2">
        <v>20</v>
      </c>
      <c r="G15" s="2" t="s">
        <v>14</v>
      </c>
      <c r="H15" s="2"/>
      <c r="I1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0,42052020OK14</v>
      </c>
      <c r="J15">
        <f>Table8[[#This Row],[Paket]]</f>
        <v>14</v>
      </c>
    </row>
    <row r="16" spans="1:10" x14ac:dyDescent="0.25">
      <c r="A16">
        <v>15</v>
      </c>
      <c r="B16" s="2">
        <v>0.4</v>
      </c>
      <c r="C16" s="2">
        <v>20</v>
      </c>
      <c r="D16" s="2">
        <v>5</v>
      </c>
      <c r="E16" s="2">
        <v>20</v>
      </c>
      <c r="F16" s="2">
        <v>30</v>
      </c>
      <c r="G16" s="2" t="s">
        <v>14</v>
      </c>
      <c r="H16" s="2"/>
      <c r="I1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0,42052030OK14</v>
      </c>
      <c r="J16">
        <f>Table8[[#This Row],[Paket]]</f>
        <v>15</v>
      </c>
    </row>
    <row r="17" spans="1:10" x14ac:dyDescent="0.25">
      <c r="A17">
        <v>16</v>
      </c>
      <c r="B17" s="2">
        <v>0.4</v>
      </c>
      <c r="C17" s="2">
        <v>20</v>
      </c>
      <c r="D17" s="2">
        <v>5</v>
      </c>
      <c r="E17" s="2">
        <v>20</v>
      </c>
      <c r="F17" s="2">
        <v>50</v>
      </c>
      <c r="G17" s="2" t="s">
        <v>14</v>
      </c>
      <c r="H17" s="2"/>
      <c r="I17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0,42052050OK14</v>
      </c>
      <c r="J17">
        <f>Table8[[#This Row],[Paket]]</f>
        <v>16</v>
      </c>
    </row>
    <row r="18" spans="1:10" x14ac:dyDescent="0.25">
      <c r="A18">
        <v>17</v>
      </c>
      <c r="B18" s="2">
        <v>0.3</v>
      </c>
      <c r="C18" s="2">
        <v>20</v>
      </c>
      <c r="D18" s="2">
        <v>5</v>
      </c>
      <c r="E18" s="2">
        <v>20</v>
      </c>
      <c r="F18" s="2">
        <v>50</v>
      </c>
      <c r="G18" s="2" t="s">
        <v>14</v>
      </c>
      <c r="H18" s="2"/>
      <c r="I18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0,32052050OK14</v>
      </c>
      <c r="J18">
        <f>Table8[[#This Row],[Paket]]</f>
        <v>17</v>
      </c>
    </row>
    <row r="19" spans="1:10" x14ac:dyDescent="0.25">
      <c r="A19">
        <v>18</v>
      </c>
      <c r="B19" s="2">
        <v>0.3</v>
      </c>
      <c r="C19" s="2">
        <v>15</v>
      </c>
      <c r="D19" s="2">
        <v>5</v>
      </c>
      <c r="E19" s="2">
        <v>20</v>
      </c>
      <c r="F19" s="2">
        <v>50</v>
      </c>
      <c r="G19" s="2" t="s">
        <v>14</v>
      </c>
      <c r="H19" s="2"/>
      <c r="I19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0,31552050OK14</v>
      </c>
      <c r="J19">
        <f>Table8[[#This Row],[Paket]]</f>
        <v>18</v>
      </c>
    </row>
    <row r="20" spans="1:10" x14ac:dyDescent="0.25">
      <c r="A20">
        <v>19</v>
      </c>
      <c r="B20" s="2">
        <v>0.2</v>
      </c>
      <c r="C20" s="2">
        <v>15</v>
      </c>
      <c r="D20" s="2">
        <v>5</v>
      </c>
      <c r="E20" s="2">
        <v>20</v>
      </c>
      <c r="F20" s="2">
        <v>50</v>
      </c>
      <c r="G20" s="2" t="s">
        <v>14</v>
      </c>
      <c r="H20" s="2"/>
      <c r="I20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0,21552050OK14</v>
      </c>
      <c r="J20">
        <f>Table8[[#This Row],[Paket]]</f>
        <v>19</v>
      </c>
    </row>
    <row r="21" spans="1:10" x14ac:dyDescent="0.25">
      <c r="A21">
        <v>20</v>
      </c>
      <c r="B21" s="2">
        <v>0.1</v>
      </c>
      <c r="C21" s="2">
        <v>15</v>
      </c>
      <c r="D21" s="2">
        <v>5</v>
      </c>
      <c r="E21" s="2">
        <v>20</v>
      </c>
      <c r="F21" s="2">
        <v>50</v>
      </c>
      <c r="G21" s="2" t="s">
        <v>14</v>
      </c>
      <c r="H21" s="2"/>
      <c r="I21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0,11552050OK14</v>
      </c>
      <c r="J21">
        <f>Table8[[#This Row],[Paket]]</f>
        <v>20</v>
      </c>
    </row>
    <row r="22" spans="1:10" x14ac:dyDescent="0.25">
      <c r="A22">
        <v>21</v>
      </c>
      <c r="B22" s="2">
        <v>0.1</v>
      </c>
      <c r="C22" s="2">
        <v>10</v>
      </c>
      <c r="D22" s="2">
        <v>5</v>
      </c>
      <c r="E22" s="2">
        <v>20</v>
      </c>
      <c r="F22" s="2">
        <v>50</v>
      </c>
      <c r="G22" s="2" t="s">
        <v>14</v>
      </c>
      <c r="H22" s="2"/>
      <c r="I2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0,11052050OK14</v>
      </c>
      <c r="J22">
        <f>Table8[[#This Row],[Paket]]</f>
        <v>21</v>
      </c>
    </row>
    <row r="23" spans="1:10" x14ac:dyDescent="0.25">
      <c r="A23">
        <v>22</v>
      </c>
      <c r="B23" s="2" t="s">
        <v>13</v>
      </c>
      <c r="C23" s="2" t="s">
        <v>13</v>
      </c>
      <c r="D23" s="2" t="s">
        <v>13</v>
      </c>
      <c r="E23" s="2" t="s">
        <v>13</v>
      </c>
      <c r="F23" s="2" t="s">
        <v>13</v>
      </c>
      <c r="G23" s="2" t="s">
        <v>23</v>
      </c>
      <c r="H23" s="2"/>
      <c r="I2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-----Når ej 70%</v>
      </c>
      <c r="J23">
        <f>Table8[[#This Row],[Paket]]</f>
        <v>22</v>
      </c>
    </row>
    <row r="24" spans="1:10" x14ac:dyDescent="0.25">
      <c r="A24">
        <v>23</v>
      </c>
      <c r="B24" s="2" t="s">
        <v>13</v>
      </c>
      <c r="C24" s="2" t="s">
        <v>13</v>
      </c>
      <c r="D24" s="2" t="s">
        <v>13</v>
      </c>
      <c r="E24" s="2" t="s">
        <v>13</v>
      </c>
      <c r="F24" s="2" t="s">
        <v>13</v>
      </c>
      <c r="G24" s="2" t="s">
        <v>16</v>
      </c>
      <c r="H24" s="2"/>
      <c r="I2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-----Frys innan täck</v>
      </c>
      <c r="J24">
        <f>Table8[[#This Row],[Paket]]</f>
        <v>23</v>
      </c>
    </row>
    <row r="26" spans="1:10" x14ac:dyDescent="0.25">
      <c r="I26" t="s">
        <v>96</v>
      </c>
    </row>
    <row r="27" spans="1:10" x14ac:dyDescent="0.25">
      <c r="A27">
        <v>1</v>
      </c>
      <c r="B27">
        <v>0.4</v>
      </c>
      <c r="C27">
        <v>15</v>
      </c>
      <c r="D27">
        <v>20</v>
      </c>
      <c r="E27" t="s">
        <v>13</v>
      </c>
      <c r="F27" t="s">
        <v>13</v>
      </c>
      <c r="G27" t="s">
        <v>14</v>
      </c>
      <c r="H27" t="str">
        <f>B27&amp;C27&amp;D27&amp;E27&amp;F27&amp;G27</f>
        <v>0,41520--OK14</v>
      </c>
      <c r="I27" t="s">
        <v>72</v>
      </c>
      <c r="J27">
        <f t="shared" ref="J27:J49" si="0">MATCH(H27,I27)</f>
        <v>1</v>
      </c>
    </row>
    <row r="28" spans="1:10" x14ac:dyDescent="0.25">
      <c r="A28">
        <v>2</v>
      </c>
      <c r="B28">
        <v>0.4</v>
      </c>
      <c r="C28">
        <v>15</v>
      </c>
      <c r="D28">
        <v>15</v>
      </c>
      <c r="E28" t="s">
        <v>13</v>
      </c>
      <c r="F28" t="s">
        <v>13</v>
      </c>
      <c r="G28" t="s">
        <v>14</v>
      </c>
      <c r="H28" t="str">
        <f t="shared" ref="H28:H49" si="1">B28&amp;C28&amp;D28&amp;E28&amp;F28&amp;G28</f>
        <v>0,41515--OK14</v>
      </c>
      <c r="I28" t="s">
        <v>73</v>
      </c>
      <c r="J28">
        <f t="shared" si="0"/>
        <v>1</v>
      </c>
    </row>
    <row r="29" spans="1:10" x14ac:dyDescent="0.25">
      <c r="A29">
        <v>3</v>
      </c>
      <c r="B29">
        <v>0.4</v>
      </c>
      <c r="C29">
        <v>15</v>
      </c>
      <c r="D29">
        <v>10</v>
      </c>
      <c r="E29" t="s">
        <v>13</v>
      </c>
      <c r="F29" t="s">
        <v>13</v>
      </c>
      <c r="G29" t="s">
        <v>14</v>
      </c>
      <c r="H29" t="str">
        <f t="shared" si="1"/>
        <v>0,41510--OK14</v>
      </c>
      <c r="I29" t="s">
        <v>74</v>
      </c>
      <c r="J29">
        <f t="shared" si="0"/>
        <v>1</v>
      </c>
    </row>
    <row r="30" spans="1:10" x14ac:dyDescent="0.25">
      <c r="A30">
        <v>4</v>
      </c>
      <c r="B30">
        <v>0.4</v>
      </c>
      <c r="C30">
        <v>15</v>
      </c>
      <c r="D30">
        <v>10</v>
      </c>
      <c r="E30">
        <v>0</v>
      </c>
      <c r="F30">
        <v>10</v>
      </c>
      <c r="G30" t="s">
        <v>14</v>
      </c>
      <c r="H30" t="str">
        <f t="shared" si="1"/>
        <v>0,41510010OK14</v>
      </c>
      <c r="I30" t="s">
        <v>75</v>
      </c>
      <c r="J30">
        <f t="shared" si="0"/>
        <v>1</v>
      </c>
    </row>
    <row r="31" spans="1:10" x14ac:dyDescent="0.25">
      <c r="A31">
        <v>5</v>
      </c>
      <c r="B31">
        <v>0.4</v>
      </c>
      <c r="C31">
        <v>20</v>
      </c>
      <c r="D31">
        <v>5</v>
      </c>
      <c r="E31">
        <v>20</v>
      </c>
      <c r="F31" t="s">
        <v>13</v>
      </c>
      <c r="G31" t="s">
        <v>14</v>
      </c>
      <c r="H31" t="str">
        <f t="shared" si="1"/>
        <v>0,420520-OK14</v>
      </c>
      <c r="I31" t="s">
        <v>76</v>
      </c>
      <c r="J31">
        <f t="shared" si="0"/>
        <v>1</v>
      </c>
    </row>
    <row r="32" spans="1:10" x14ac:dyDescent="0.25">
      <c r="A32">
        <v>6</v>
      </c>
      <c r="B32">
        <v>0.4</v>
      </c>
      <c r="C32">
        <v>20</v>
      </c>
      <c r="D32">
        <v>5</v>
      </c>
      <c r="E32">
        <v>20</v>
      </c>
      <c r="F32" t="s">
        <v>15</v>
      </c>
      <c r="G32" t="s">
        <v>14</v>
      </c>
      <c r="H32" t="str">
        <f t="shared" si="1"/>
        <v>0,420520PresenningOK14</v>
      </c>
      <c r="I32" t="s">
        <v>77</v>
      </c>
      <c r="J32">
        <f t="shared" si="0"/>
        <v>1</v>
      </c>
    </row>
    <row r="33" spans="1:10" x14ac:dyDescent="0.25">
      <c r="A33">
        <v>7</v>
      </c>
      <c r="B33">
        <v>0.4</v>
      </c>
      <c r="C33">
        <v>20</v>
      </c>
      <c r="D33">
        <v>5</v>
      </c>
      <c r="E33">
        <v>20</v>
      </c>
      <c r="F33">
        <v>10</v>
      </c>
      <c r="G33" t="s">
        <v>14</v>
      </c>
      <c r="H33" t="str">
        <f t="shared" si="1"/>
        <v>0,42052010OK14</v>
      </c>
      <c r="I33" t="s">
        <v>78</v>
      </c>
      <c r="J33">
        <f t="shared" si="0"/>
        <v>1</v>
      </c>
    </row>
    <row r="34" spans="1:10" x14ac:dyDescent="0.25">
      <c r="A34">
        <v>8</v>
      </c>
      <c r="B34">
        <v>0.4</v>
      </c>
      <c r="C34">
        <v>20</v>
      </c>
      <c r="D34">
        <v>5</v>
      </c>
      <c r="E34">
        <v>20</v>
      </c>
      <c r="F34">
        <v>20</v>
      </c>
      <c r="G34" t="s">
        <v>14</v>
      </c>
      <c r="H34" t="str">
        <f t="shared" si="1"/>
        <v>0,42052020OK14</v>
      </c>
      <c r="I34" t="s">
        <v>79</v>
      </c>
      <c r="J34">
        <f t="shared" si="0"/>
        <v>1</v>
      </c>
    </row>
    <row r="35" spans="1:10" x14ac:dyDescent="0.25">
      <c r="A35">
        <v>9</v>
      </c>
      <c r="B35">
        <v>0.4</v>
      </c>
      <c r="C35">
        <v>20</v>
      </c>
      <c r="D35">
        <v>5</v>
      </c>
      <c r="E35">
        <v>20</v>
      </c>
      <c r="F35">
        <v>30</v>
      </c>
      <c r="G35" t="s">
        <v>14</v>
      </c>
      <c r="H35" t="str">
        <f t="shared" si="1"/>
        <v>0,42052030OK14</v>
      </c>
      <c r="I35" t="s">
        <v>80</v>
      </c>
      <c r="J35">
        <f t="shared" si="0"/>
        <v>1</v>
      </c>
    </row>
    <row r="36" spans="1:10" x14ac:dyDescent="0.25">
      <c r="A36">
        <v>10</v>
      </c>
      <c r="B36">
        <v>0.3</v>
      </c>
      <c r="C36">
        <v>20</v>
      </c>
      <c r="D36">
        <v>5</v>
      </c>
      <c r="E36">
        <v>20</v>
      </c>
      <c r="F36">
        <v>50</v>
      </c>
      <c r="G36" t="s">
        <v>14</v>
      </c>
      <c r="H36" t="str">
        <f t="shared" si="1"/>
        <v>0,32052050OK14</v>
      </c>
      <c r="I36" t="s">
        <v>81</v>
      </c>
      <c r="J36">
        <f t="shared" si="0"/>
        <v>1</v>
      </c>
    </row>
    <row r="37" spans="1:10" x14ac:dyDescent="0.25">
      <c r="A37">
        <v>11</v>
      </c>
      <c r="B37" t="s">
        <v>13</v>
      </c>
      <c r="C37" t="s">
        <v>13</v>
      </c>
      <c r="D37" t="s">
        <v>13</v>
      </c>
      <c r="E37" t="s">
        <v>13</v>
      </c>
      <c r="F37" t="s">
        <v>13</v>
      </c>
      <c r="G37" t="s">
        <v>16</v>
      </c>
      <c r="H37" t="str">
        <f t="shared" si="1"/>
        <v>-----Frys innan täck</v>
      </c>
      <c r="I37" t="s">
        <v>82</v>
      </c>
      <c r="J37">
        <f t="shared" si="0"/>
        <v>1</v>
      </c>
    </row>
    <row r="38" spans="1:10" x14ac:dyDescent="0.25">
      <c r="A38">
        <v>12</v>
      </c>
      <c r="B38">
        <v>0.1</v>
      </c>
      <c r="C38">
        <v>15</v>
      </c>
      <c r="D38">
        <v>5</v>
      </c>
      <c r="E38">
        <v>20</v>
      </c>
      <c r="F38">
        <v>50</v>
      </c>
      <c r="G38" t="s">
        <v>14</v>
      </c>
      <c r="H38" t="str">
        <f t="shared" si="1"/>
        <v>0,11552050OK14</v>
      </c>
      <c r="I38" t="s">
        <v>83</v>
      </c>
      <c r="J38">
        <f t="shared" si="0"/>
        <v>1</v>
      </c>
    </row>
    <row r="39" spans="1:10" x14ac:dyDescent="0.25">
      <c r="A39">
        <v>13</v>
      </c>
      <c r="B39" t="s">
        <v>13</v>
      </c>
      <c r="C39" t="s">
        <v>13</v>
      </c>
      <c r="D39" t="s">
        <v>13</v>
      </c>
      <c r="E39" t="s">
        <v>13</v>
      </c>
      <c r="F39" t="s">
        <v>13</v>
      </c>
      <c r="G39" t="s">
        <v>23</v>
      </c>
      <c r="H39" t="str">
        <f t="shared" si="1"/>
        <v>-----Når ej 70%</v>
      </c>
      <c r="I39" t="s">
        <v>84</v>
      </c>
      <c r="J39">
        <f t="shared" si="0"/>
        <v>1</v>
      </c>
    </row>
    <row r="40" spans="1:10" x14ac:dyDescent="0.25">
      <c r="A40">
        <v>14</v>
      </c>
      <c r="B40">
        <v>0.4</v>
      </c>
      <c r="C40">
        <v>15</v>
      </c>
      <c r="D40">
        <v>10</v>
      </c>
      <c r="E40">
        <v>0</v>
      </c>
      <c r="F40" t="s">
        <v>13</v>
      </c>
      <c r="G40" t="s">
        <v>14</v>
      </c>
      <c r="H40" t="str">
        <f t="shared" si="1"/>
        <v>0,415100-OK14</v>
      </c>
      <c r="I40" t="s">
        <v>85</v>
      </c>
      <c r="J40">
        <f t="shared" si="0"/>
        <v>1</v>
      </c>
    </row>
    <row r="41" spans="1:10" x14ac:dyDescent="0.25">
      <c r="A41">
        <v>15</v>
      </c>
      <c r="B41">
        <v>0.4</v>
      </c>
      <c r="C41">
        <v>20</v>
      </c>
      <c r="D41">
        <v>5</v>
      </c>
      <c r="E41">
        <v>20</v>
      </c>
      <c r="F41">
        <v>50</v>
      </c>
      <c r="G41" t="s">
        <v>14</v>
      </c>
      <c r="H41" t="str">
        <f t="shared" si="1"/>
        <v>0,42052050OK14</v>
      </c>
      <c r="I41" t="s">
        <v>86</v>
      </c>
      <c r="J41">
        <f t="shared" si="0"/>
        <v>1</v>
      </c>
    </row>
    <row r="42" spans="1:10" x14ac:dyDescent="0.25">
      <c r="A42">
        <v>16</v>
      </c>
      <c r="B42">
        <v>0.4</v>
      </c>
      <c r="C42">
        <v>20</v>
      </c>
      <c r="D42">
        <v>5</v>
      </c>
      <c r="E42">
        <v>0</v>
      </c>
      <c r="F42">
        <v>50</v>
      </c>
      <c r="G42" t="s">
        <v>14</v>
      </c>
      <c r="H42" t="str">
        <f t="shared" si="1"/>
        <v>0,4205050OK14</v>
      </c>
      <c r="I42" t="s">
        <v>87</v>
      </c>
      <c r="J42">
        <f t="shared" si="0"/>
        <v>1</v>
      </c>
    </row>
    <row r="43" spans="1:10" x14ac:dyDescent="0.25">
      <c r="A43">
        <v>17</v>
      </c>
      <c r="B43">
        <v>0.2</v>
      </c>
      <c r="C43">
        <v>15</v>
      </c>
      <c r="D43">
        <v>5</v>
      </c>
      <c r="E43">
        <v>20</v>
      </c>
      <c r="F43">
        <v>50</v>
      </c>
      <c r="G43" t="s">
        <v>14</v>
      </c>
      <c r="H43" t="str">
        <f t="shared" si="1"/>
        <v>0,21552050OK14</v>
      </c>
      <c r="I43" t="s">
        <v>88</v>
      </c>
      <c r="J43">
        <f t="shared" si="0"/>
        <v>1</v>
      </c>
    </row>
    <row r="44" spans="1:10" x14ac:dyDescent="0.25">
      <c r="A44">
        <v>18</v>
      </c>
      <c r="B44">
        <v>0.4</v>
      </c>
      <c r="C44">
        <v>20</v>
      </c>
      <c r="D44">
        <v>5</v>
      </c>
      <c r="E44">
        <v>0</v>
      </c>
      <c r="F44">
        <v>30</v>
      </c>
      <c r="G44" t="s">
        <v>14</v>
      </c>
      <c r="H44" t="str">
        <f t="shared" si="1"/>
        <v>0,4205030OK14</v>
      </c>
      <c r="I44" t="s">
        <v>89</v>
      </c>
      <c r="J44">
        <f t="shared" si="0"/>
        <v>1</v>
      </c>
    </row>
    <row r="45" spans="1:10" x14ac:dyDescent="0.25">
      <c r="A45">
        <v>19</v>
      </c>
      <c r="B45">
        <v>0.4</v>
      </c>
      <c r="C45">
        <v>20</v>
      </c>
      <c r="D45">
        <v>5</v>
      </c>
      <c r="E45">
        <v>0</v>
      </c>
      <c r="F45">
        <v>20</v>
      </c>
      <c r="G45" t="s">
        <v>14</v>
      </c>
      <c r="H45" t="str">
        <f t="shared" si="1"/>
        <v>0,4205020OK14</v>
      </c>
      <c r="I45" t="s">
        <v>90</v>
      </c>
      <c r="J45">
        <f t="shared" si="0"/>
        <v>1</v>
      </c>
    </row>
    <row r="46" spans="1:10" x14ac:dyDescent="0.25">
      <c r="A46">
        <v>20</v>
      </c>
      <c r="B46">
        <v>0.3</v>
      </c>
      <c r="C46">
        <v>15</v>
      </c>
      <c r="D46">
        <v>5</v>
      </c>
      <c r="E46">
        <v>20</v>
      </c>
      <c r="F46">
        <v>50</v>
      </c>
      <c r="G46" t="s">
        <v>14</v>
      </c>
      <c r="H46" t="str">
        <f t="shared" si="1"/>
        <v>0,31552050OK14</v>
      </c>
      <c r="I46" t="s">
        <v>91</v>
      </c>
      <c r="J46">
        <f t="shared" si="0"/>
        <v>1</v>
      </c>
    </row>
    <row r="47" spans="1:10" x14ac:dyDescent="0.25">
      <c r="A47">
        <v>21</v>
      </c>
      <c r="B47">
        <v>0.4</v>
      </c>
      <c r="C47">
        <v>20</v>
      </c>
      <c r="D47">
        <v>5</v>
      </c>
      <c r="E47">
        <v>0</v>
      </c>
      <c r="F47">
        <v>10</v>
      </c>
      <c r="G47" t="s">
        <v>14</v>
      </c>
      <c r="H47" t="str">
        <f t="shared" si="1"/>
        <v>0,4205010OK14</v>
      </c>
      <c r="I47" t="s">
        <v>92</v>
      </c>
      <c r="J47">
        <f t="shared" si="0"/>
        <v>1</v>
      </c>
    </row>
    <row r="48" spans="1:10" x14ac:dyDescent="0.25">
      <c r="A48">
        <v>22</v>
      </c>
      <c r="B48">
        <v>0.1</v>
      </c>
      <c r="C48">
        <v>10</v>
      </c>
      <c r="D48">
        <v>5</v>
      </c>
      <c r="E48">
        <v>20</v>
      </c>
      <c r="F48">
        <v>50</v>
      </c>
      <c r="G48" t="s">
        <v>14</v>
      </c>
      <c r="H48" t="str">
        <f t="shared" si="1"/>
        <v>0,11052050OK14</v>
      </c>
      <c r="I48" t="s">
        <v>94</v>
      </c>
      <c r="J48">
        <f t="shared" si="0"/>
        <v>1</v>
      </c>
    </row>
    <row r="49" spans="1:10" x14ac:dyDescent="0.25">
      <c r="A49">
        <v>23</v>
      </c>
      <c r="B49">
        <v>0.4</v>
      </c>
      <c r="C49">
        <v>20</v>
      </c>
      <c r="D49">
        <v>5</v>
      </c>
      <c r="E49">
        <v>0</v>
      </c>
      <c r="F49" t="s">
        <v>15</v>
      </c>
      <c r="G49" t="s">
        <v>14</v>
      </c>
      <c r="H49" t="str">
        <f t="shared" si="1"/>
        <v>0,42050PresenningOK14</v>
      </c>
      <c r="I49" t="s">
        <v>93</v>
      </c>
      <c r="J49">
        <f t="shared" si="0"/>
        <v>1</v>
      </c>
    </row>
  </sheetData>
  <phoneticPr fontId="3" type="noConversion"/>
  <dataValidations count="4">
    <dataValidation type="list" allowBlank="1" showInputMessage="1" showErrorMessage="1" sqref="C2:C24" xr:uid="{17E13913-F335-496B-B2BA-16112119B815}">
      <formula1>"10,15,20,25,-"</formula1>
    </dataValidation>
    <dataValidation type="list" allowBlank="1" showInputMessage="1" showErrorMessage="1" sqref="D2:D24" xr:uid="{B9779B60-0F9E-4898-AFD4-704DCEA47B05}">
      <formula1>"5,10,15,20,-"</formula1>
    </dataValidation>
    <dataValidation type="list" allowBlank="1" showInputMessage="1" showErrorMessage="1" sqref="E2:E24" xr:uid="{540FD120-1526-4F5A-ACAF-2A894C5105C1}">
      <formula1>"0,5,10,15,20,-"</formula1>
    </dataValidation>
    <dataValidation type="list" allowBlank="1" showInputMessage="1" showErrorMessage="1" sqref="F2:F24" xr:uid="{C0A791BA-07B7-46A8-8C12-EAEA8BF1B078}">
      <formula1>"0,Presenning,10,20,30,50,100,-"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1589423-A127-4D6C-A300-B39A4647BF39}">
          <x14:formula1>
            <xm:f>Förutsättningar!$F$2:$F$4</xm:f>
          </x14:formula1>
          <xm:sqref>G2:G24</xm:sqref>
        </x14:dataValidation>
        <x14:dataValidation type="list" allowBlank="1" showInputMessage="1" showErrorMessage="1" xr:uid="{F363F602-EC61-477D-9710-D42E73C53D53}">
          <x14:formula1>
            <xm:f>Förutsättningar!$G$2</xm:f>
          </x14:formula1>
          <xm:sqref>H2:H24</xm:sqref>
        </x14:dataValidation>
        <x14:dataValidation type="list" allowBlank="1" showInputMessage="1" showErrorMessage="1" xr:uid="{D0D63FD0-0223-4363-8FB6-82A0E437943D}">
          <x14:formula1>
            <xm:f>Förutsättningar!$H$2:$H$6</xm:f>
          </x14:formula1>
          <xm:sqref>B2:B24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53D2-7EF9-4EED-ADCE-DED938AD7E2D}">
  <sheetPr codeName="Sheet6"/>
  <dimension ref="A1:R26"/>
  <sheetViews>
    <sheetView workbookViewId="0">
      <selection activeCell="A9" sqref="A3:A9"/>
    </sheetView>
  </sheetViews>
  <sheetFormatPr defaultRowHeight="15" x14ac:dyDescent="0.25"/>
  <cols>
    <col min="2" max="2" width="20.140625" customWidth="1"/>
    <col min="3" max="3" width="25.85546875" customWidth="1"/>
    <col min="4" max="4" width="18" customWidth="1"/>
    <col min="5" max="5" width="22.28515625" customWidth="1"/>
    <col min="6" max="6" width="13.5703125" customWidth="1"/>
    <col min="7" max="7" width="19.140625" customWidth="1"/>
    <col min="8" max="8" width="29.140625" customWidth="1"/>
    <col min="9" max="9" width="13.5703125" customWidth="1"/>
    <col min="10" max="10" width="22.28515625" customWidth="1"/>
    <col min="11" max="11" width="24.5703125" customWidth="1"/>
    <col min="12" max="12" width="21" customWidth="1"/>
    <col min="13" max="13" width="31.140625" customWidth="1"/>
    <col min="14" max="14" width="19.7109375" customWidth="1"/>
    <col min="17" max="21" width="12.5703125" customWidth="1"/>
  </cols>
  <sheetData>
    <row r="1" spans="1:18" ht="27" thickBot="1" x14ac:dyDescent="0.3">
      <c r="A1" s="99" t="s">
        <v>28</v>
      </c>
      <c r="B1" s="100" t="s">
        <v>0</v>
      </c>
      <c r="C1" t="s">
        <v>1</v>
      </c>
      <c r="D1" t="s">
        <v>2</v>
      </c>
      <c r="E1" t="s">
        <v>3</v>
      </c>
      <c r="F1" t="s">
        <v>41</v>
      </c>
      <c r="G1" t="s">
        <v>42</v>
      </c>
      <c r="H1" t="s">
        <v>56</v>
      </c>
      <c r="I1" t="s">
        <v>70</v>
      </c>
    </row>
    <row r="2" spans="1:18" x14ac:dyDescent="0.25">
      <c r="A2" s="85" t="s">
        <v>13</v>
      </c>
      <c r="B2" t="s">
        <v>13</v>
      </c>
      <c r="C2">
        <v>5</v>
      </c>
      <c r="D2">
        <v>0</v>
      </c>
      <c r="E2">
        <v>0</v>
      </c>
      <c r="F2" t="s">
        <v>14</v>
      </c>
      <c r="G2" t="s">
        <v>21</v>
      </c>
      <c r="H2" s="107">
        <v>0.1</v>
      </c>
      <c r="I2" s="107" t="s">
        <v>16</v>
      </c>
      <c r="J2" s="107"/>
    </row>
    <row r="3" spans="1:18" x14ac:dyDescent="0.25">
      <c r="A3" s="101" t="s">
        <v>12</v>
      </c>
      <c r="B3" s="102">
        <v>10</v>
      </c>
      <c r="C3">
        <v>10</v>
      </c>
      <c r="D3">
        <v>20</v>
      </c>
      <c r="E3" t="s">
        <v>15</v>
      </c>
      <c r="F3" s="107" t="s">
        <v>16</v>
      </c>
      <c r="H3" s="106">
        <v>0.2</v>
      </c>
      <c r="I3" s="106" t="s">
        <v>23</v>
      </c>
      <c r="J3" s="106"/>
      <c r="Q3" s="84" t="s">
        <v>43</v>
      </c>
      <c r="R3" s="89" t="s">
        <v>44</v>
      </c>
    </row>
    <row r="4" spans="1:18" x14ac:dyDescent="0.25">
      <c r="A4" s="101" t="s">
        <v>22</v>
      </c>
      <c r="B4" s="102">
        <v>15</v>
      </c>
      <c r="C4">
        <v>15</v>
      </c>
      <c r="D4" t="s">
        <v>13</v>
      </c>
      <c r="E4">
        <v>10</v>
      </c>
      <c r="F4" s="106" t="s">
        <v>23</v>
      </c>
      <c r="H4" s="106">
        <v>0.3</v>
      </c>
      <c r="I4" s="106"/>
      <c r="J4">
        <v>1</v>
      </c>
      <c r="K4" t="s">
        <v>63</v>
      </c>
      <c r="L4" t="s">
        <v>58</v>
      </c>
      <c r="M4" t="s">
        <v>58</v>
      </c>
      <c r="N4" t="s">
        <v>28</v>
      </c>
      <c r="O4" t="s">
        <v>50</v>
      </c>
      <c r="Q4" s="83" t="s">
        <v>45</v>
      </c>
      <c r="R4" s="82" t="s">
        <v>46</v>
      </c>
    </row>
    <row r="5" spans="1:18" x14ac:dyDescent="0.25">
      <c r="A5" s="101" t="s">
        <v>17</v>
      </c>
      <c r="B5" s="102">
        <v>20</v>
      </c>
      <c r="C5">
        <v>20</v>
      </c>
      <c r="E5">
        <v>20</v>
      </c>
      <c r="H5" s="106">
        <v>0.4</v>
      </c>
      <c r="I5" s="106"/>
      <c r="J5">
        <v>2</v>
      </c>
      <c r="K5" t="s">
        <v>59</v>
      </c>
      <c r="M5" t="s">
        <v>60</v>
      </c>
      <c r="N5" t="s">
        <v>12</v>
      </c>
      <c r="O5" t="s">
        <v>64</v>
      </c>
      <c r="Q5" s="83" t="s">
        <v>47</v>
      </c>
      <c r="R5" s="82" t="s">
        <v>48</v>
      </c>
    </row>
    <row r="6" spans="1:18" x14ac:dyDescent="0.25">
      <c r="A6" s="101" t="s">
        <v>49</v>
      </c>
      <c r="B6" s="102">
        <v>25</v>
      </c>
      <c r="C6" t="s">
        <v>13</v>
      </c>
      <c r="E6">
        <v>30</v>
      </c>
      <c r="H6" t="s">
        <v>13</v>
      </c>
      <c r="J6">
        <v>3</v>
      </c>
      <c r="K6" t="s">
        <v>61</v>
      </c>
      <c r="L6" t="s">
        <v>68</v>
      </c>
      <c r="M6" t="s">
        <v>60</v>
      </c>
      <c r="N6" t="s">
        <v>22</v>
      </c>
      <c r="O6">
        <v>21</v>
      </c>
      <c r="Q6" s="83" t="s">
        <v>50</v>
      </c>
      <c r="R6" s="82" t="s">
        <v>51</v>
      </c>
    </row>
    <row r="7" spans="1:18" x14ac:dyDescent="0.25">
      <c r="A7" s="101" t="s">
        <v>52</v>
      </c>
      <c r="B7" s="102"/>
      <c r="E7">
        <v>50</v>
      </c>
      <c r="J7">
        <v>4</v>
      </c>
      <c r="K7" t="s">
        <v>69</v>
      </c>
      <c r="L7" t="s">
        <v>60</v>
      </c>
      <c r="M7" t="s">
        <v>60</v>
      </c>
      <c r="N7" t="s">
        <v>17</v>
      </c>
      <c r="O7" t="s">
        <v>65</v>
      </c>
      <c r="Q7" s="83" t="s">
        <v>53</v>
      </c>
      <c r="R7" s="82"/>
    </row>
    <row r="8" spans="1:18" x14ac:dyDescent="0.25">
      <c r="A8" s="101" t="s">
        <v>18</v>
      </c>
      <c r="B8" s="102"/>
      <c r="E8">
        <v>100</v>
      </c>
      <c r="J8">
        <v>5</v>
      </c>
      <c r="K8" t="s">
        <v>62</v>
      </c>
      <c r="M8" t="s">
        <v>60</v>
      </c>
      <c r="N8" t="s">
        <v>49</v>
      </c>
      <c r="O8" t="s">
        <v>66</v>
      </c>
      <c r="Q8" s="88" t="s">
        <v>54</v>
      </c>
      <c r="R8" s="90" t="s">
        <v>55</v>
      </c>
    </row>
    <row r="9" spans="1:18" x14ac:dyDescent="0.25">
      <c r="A9" s="101" t="s">
        <v>20</v>
      </c>
      <c r="E9" t="s">
        <v>13</v>
      </c>
      <c r="N9" t="s">
        <v>52</v>
      </c>
      <c r="O9">
        <v>28</v>
      </c>
    </row>
    <row r="10" spans="1:18" x14ac:dyDescent="0.25">
      <c r="N10" t="s">
        <v>18</v>
      </c>
      <c r="O10" t="s">
        <v>67</v>
      </c>
    </row>
    <row r="11" spans="1:18" x14ac:dyDescent="0.25">
      <c r="N11" t="s">
        <v>20</v>
      </c>
      <c r="O11">
        <v>35</v>
      </c>
    </row>
    <row r="17" spans="10:14" x14ac:dyDescent="0.25">
      <c r="J17" s="84" t="s">
        <v>37</v>
      </c>
      <c r="K17" s="85" t="s">
        <v>38</v>
      </c>
      <c r="L17" s="86" t="s">
        <v>39</v>
      </c>
      <c r="M17" s="87" t="s">
        <v>0</v>
      </c>
      <c r="N17" s="19" t="s">
        <v>40</v>
      </c>
    </row>
    <row r="18" spans="10:14" x14ac:dyDescent="0.25">
      <c r="J18" s="81">
        <v>20</v>
      </c>
      <c r="K18" s="95">
        <v>0</v>
      </c>
      <c r="L18" s="113">
        <f t="shared" ref="L18:L26" si="0">K18+J18</f>
        <v>20</v>
      </c>
      <c r="M18" s="115">
        <v>15</v>
      </c>
      <c r="N18" s="117">
        <v>20</v>
      </c>
    </row>
    <row r="19" spans="10:14" x14ac:dyDescent="0.25">
      <c r="J19" s="81">
        <v>15</v>
      </c>
      <c r="K19" s="95">
        <v>0</v>
      </c>
      <c r="L19" s="113">
        <f t="shared" si="0"/>
        <v>15</v>
      </c>
      <c r="M19" s="115">
        <v>15</v>
      </c>
      <c r="N19" s="117">
        <v>15</v>
      </c>
    </row>
    <row r="20" spans="10:14" x14ac:dyDescent="0.25">
      <c r="J20" s="81">
        <v>10</v>
      </c>
      <c r="K20" s="95">
        <v>10</v>
      </c>
      <c r="L20" s="113">
        <f t="shared" si="0"/>
        <v>20</v>
      </c>
      <c r="M20" s="115">
        <v>15</v>
      </c>
      <c r="N20" s="117">
        <v>10</v>
      </c>
    </row>
    <row r="21" spans="10:14" x14ac:dyDescent="0.25">
      <c r="J21" s="81">
        <v>5</v>
      </c>
      <c r="K21" s="95">
        <v>15</v>
      </c>
      <c r="L21" s="113">
        <f t="shared" si="0"/>
        <v>20</v>
      </c>
      <c r="M21" s="115">
        <v>20</v>
      </c>
      <c r="N21" s="117">
        <v>5</v>
      </c>
    </row>
    <row r="22" spans="10:14" x14ac:dyDescent="0.25">
      <c r="J22" s="81">
        <v>0</v>
      </c>
      <c r="K22" s="95">
        <v>20</v>
      </c>
      <c r="L22" s="113">
        <f t="shared" si="0"/>
        <v>20</v>
      </c>
      <c r="M22" s="115">
        <v>20</v>
      </c>
      <c r="N22" s="117">
        <v>5</v>
      </c>
    </row>
    <row r="23" spans="10:14" x14ac:dyDescent="0.25">
      <c r="J23" s="81">
        <v>-5</v>
      </c>
      <c r="K23" s="95">
        <v>20</v>
      </c>
      <c r="L23" s="113">
        <f t="shared" si="0"/>
        <v>15</v>
      </c>
      <c r="M23" s="115">
        <v>20</v>
      </c>
      <c r="N23" s="117">
        <v>5</v>
      </c>
    </row>
    <row r="24" spans="10:14" x14ac:dyDescent="0.25">
      <c r="J24" s="81">
        <v>-10</v>
      </c>
      <c r="K24" s="95">
        <v>20</v>
      </c>
      <c r="L24" s="113">
        <f t="shared" si="0"/>
        <v>10</v>
      </c>
      <c r="M24" s="115">
        <v>20</v>
      </c>
      <c r="N24" s="117">
        <v>5</v>
      </c>
    </row>
    <row r="25" spans="10:14" x14ac:dyDescent="0.25">
      <c r="J25" s="81">
        <v>-15</v>
      </c>
      <c r="K25" s="95">
        <v>20</v>
      </c>
      <c r="L25" s="113">
        <f t="shared" si="0"/>
        <v>5</v>
      </c>
      <c r="M25" s="115">
        <v>15</v>
      </c>
      <c r="N25" s="117">
        <v>5</v>
      </c>
    </row>
    <row r="26" spans="10:14" x14ac:dyDescent="0.25">
      <c r="J26" s="93">
        <v>-20</v>
      </c>
      <c r="K26" s="97">
        <v>20</v>
      </c>
      <c r="L26" s="114">
        <f t="shared" si="0"/>
        <v>0</v>
      </c>
      <c r="M26" s="116">
        <v>10</v>
      </c>
      <c r="N26" s="117">
        <v>5</v>
      </c>
    </row>
  </sheetData>
  <pageMargins left="0.7" right="0.7" top="0.75" bottom="0.75" header="0.3" footer="0.3"/>
  <pageSetup paperSize="9" orientation="portrait" horizontalDpi="300" verticalDpi="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800367-2c34-4d12-acc1-86a7242367eb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79A143C9F2C74AAD242243980CE1B5" ma:contentTypeVersion="11" ma:contentTypeDescription="Skapa ett nytt dokument." ma:contentTypeScope="" ma:versionID="1ee207cd575e33b9d7fea9f6bff6ddd4">
  <xsd:schema xmlns:xsd="http://www.w3.org/2001/XMLSchema" xmlns:xs="http://www.w3.org/2001/XMLSchema" xmlns:p="http://schemas.microsoft.com/office/2006/metadata/properties" xmlns:ns3="1e800367-2c34-4d12-acc1-86a7242367eb" xmlns:ns4="07b9f31b-60f6-4aad-8cdf-b09de99c40f0" targetNamespace="http://schemas.microsoft.com/office/2006/metadata/properties" ma:root="true" ma:fieldsID="e42f79f7ee4ae68e4e16498ec8499a6a" ns3:_="" ns4:_="">
    <xsd:import namespace="1e800367-2c34-4d12-acc1-86a7242367eb"/>
    <xsd:import namespace="07b9f31b-60f6-4aad-8cdf-b09de99c40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00367-2c34-4d12-acc1-86a7242367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9f31b-60f6-4aad-8cdf-b09de99c4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Delar tips,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AA580D-6ACC-4B8F-873B-22BA6ACC56E7}">
  <ds:schemaRefs>
    <ds:schemaRef ds:uri="http://schemas.microsoft.com/office/2006/documentManagement/types"/>
    <ds:schemaRef ds:uri="http://purl.org/dc/dcmitype/"/>
    <ds:schemaRef ds:uri="07b9f31b-60f6-4aad-8cdf-b09de99c40f0"/>
    <ds:schemaRef ds:uri="1e800367-2c34-4d12-acc1-86a7242367eb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F9B9517-FD18-42CD-AB9A-43245484BC6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6358045-51DD-45AF-9AB3-C98E8BE32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800367-2c34-4d12-acc1-86a7242367eb"/>
    <ds:schemaRef ds:uri="07b9f31b-60f6-4aad-8cdf-b09de99c4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842B396-40D5-42B2-A081-0937C7F84EB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Bjälklag (C20-25)</vt:lpstr>
      <vt:lpstr>Bjälklag (C25-30)</vt:lpstr>
      <vt:lpstr>Bjälklag (C28-35)</vt:lpstr>
      <vt:lpstr>Bjälklag (C30-37)</vt:lpstr>
      <vt:lpstr>Bjälklag (C32-40)</vt:lpstr>
      <vt:lpstr>Bjälklag (C35-45)</vt:lpstr>
      <vt:lpstr>Bjälklag (C40-50)</vt:lpstr>
      <vt:lpstr>Data till Lathund, Kådgenererin</vt:lpstr>
      <vt:lpstr>Lathund</vt:lpstr>
      <vt:lpstr>Data till lathund Åtgärder</vt:lpstr>
      <vt:lpstr>Förutsättningar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Jonatan Jerström</dc:creator>
  <cp:keywords/>
  <dc:description/>
  <cp:lastModifiedBy>Jonatan Jerström</cp:lastModifiedBy>
  <cp:revision/>
  <dcterms:created xsi:type="dcterms:W3CDTF">2026-04-13T11:50:47Z</dcterms:created>
  <dcterms:modified xsi:type="dcterms:W3CDTF">2026-04-22T18:46:46Z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0x010100FE79A143C9F2C74AAD242243980CE1B5</vt:lpwstr>
  </property>
</Properties>
</file>