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Skola\Exjobb\Parameterstudie\Bas\App\"/>
    </mc:Choice>
  </mc:AlternateContent>
  <xr:revisionPtr revIDLastSave="0" documentId="13_ncr:1_{B572334A-89A3-4937-A403-E846C7BFEF91}" xr6:coauthVersionLast="47" xr6:coauthVersionMax="47" xr10:uidLastSave="{00000000-0000-0000-0000-000000000000}"/>
  <bookViews>
    <workbookView xWindow="-120" yWindow="-120" windowWidth="29040" windowHeight="15840" tabRatio="788" xr2:uid="{3000DFAE-FC4D-4193-A0F9-3BF5B0CC613D}"/>
  </bookViews>
  <sheets>
    <sheet name="Bjälklag (C20-25)" sheetId="21" r:id="rId1"/>
    <sheet name="Bjälklag (C25-30)" sheetId="20" r:id="rId2"/>
    <sheet name="Bjälklag (C28-35)" sheetId="19" r:id="rId3"/>
    <sheet name="Bjälklag (C30-37)" sheetId="18" r:id="rId4"/>
    <sheet name="Bjälklag (C32-40)" sheetId="17" r:id="rId5"/>
    <sheet name="Bjälklag (C35-45)" sheetId="22" r:id="rId6"/>
    <sheet name="Bjälklag (C40-50)" sheetId="11" r:id="rId7"/>
    <sheet name="Data till Lathund, Kådgenererin" sheetId="5" r:id="rId8"/>
    <sheet name="Lathund" sheetId="7" r:id="rId9"/>
    <sheet name="Data till lathund Åtgärder" sheetId="6" r:id="rId10"/>
    <sheet name="Förutsättningar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2" i="7" l="1"/>
  <c r="L52" i="7"/>
  <c r="M52" i="7"/>
  <c r="N52" i="7"/>
  <c r="O52" i="7"/>
  <c r="P52" i="7"/>
  <c r="Q52" i="7"/>
  <c r="K53" i="7"/>
  <c r="L53" i="7"/>
  <c r="M53" i="7"/>
  <c r="N53" i="7"/>
  <c r="O53" i="7"/>
  <c r="P53" i="7"/>
  <c r="Q53" i="7"/>
  <c r="K54" i="7"/>
  <c r="L54" i="7"/>
  <c r="M54" i="7"/>
  <c r="N54" i="7"/>
  <c r="O54" i="7"/>
  <c r="P54" i="7"/>
  <c r="Q54" i="7"/>
  <c r="K55" i="7"/>
  <c r="L55" i="7"/>
  <c r="M55" i="7"/>
  <c r="N55" i="7"/>
  <c r="O55" i="7"/>
  <c r="P55" i="7"/>
  <c r="Q55" i="7"/>
  <c r="K56" i="7"/>
  <c r="L56" i="7"/>
  <c r="M56" i="7"/>
  <c r="N56" i="7"/>
  <c r="O56" i="7"/>
  <c r="P56" i="7"/>
  <c r="Q56" i="7"/>
  <c r="K57" i="7"/>
  <c r="L57" i="7"/>
  <c r="M57" i="7"/>
  <c r="N57" i="7"/>
  <c r="O57" i="7"/>
  <c r="P57" i="7"/>
  <c r="Q57" i="7"/>
  <c r="K58" i="7"/>
  <c r="L58" i="7"/>
  <c r="M58" i="7"/>
  <c r="N58" i="7"/>
  <c r="O58" i="7"/>
  <c r="P58" i="7"/>
  <c r="Q58" i="7"/>
  <c r="K59" i="7"/>
  <c r="L59" i="7"/>
  <c r="M59" i="7"/>
  <c r="N59" i="7"/>
  <c r="O59" i="7"/>
  <c r="P59" i="7"/>
  <c r="Q59" i="7"/>
  <c r="K60" i="7"/>
  <c r="L60" i="7"/>
  <c r="M60" i="7"/>
  <c r="N60" i="7"/>
  <c r="O60" i="7"/>
  <c r="P60" i="7"/>
  <c r="Q60" i="7"/>
  <c r="K61" i="7"/>
  <c r="L61" i="7"/>
  <c r="M61" i="7"/>
  <c r="N61" i="7"/>
  <c r="O61" i="7"/>
  <c r="P61" i="7"/>
  <c r="Q61" i="7"/>
  <c r="K62" i="7"/>
  <c r="L62" i="7"/>
  <c r="M62" i="7"/>
  <c r="N62" i="7"/>
  <c r="O62" i="7"/>
  <c r="P62" i="7"/>
  <c r="Q62" i="7"/>
  <c r="K63" i="7"/>
  <c r="L63" i="7"/>
  <c r="M63" i="7"/>
  <c r="N63" i="7"/>
  <c r="O63" i="7"/>
  <c r="P63" i="7"/>
  <c r="Q63" i="7"/>
  <c r="K64" i="7"/>
  <c r="L64" i="7"/>
  <c r="M64" i="7"/>
  <c r="N64" i="7"/>
  <c r="O64" i="7"/>
  <c r="P64" i="7"/>
  <c r="Q64" i="7"/>
  <c r="K65" i="7"/>
  <c r="L65" i="7"/>
  <c r="M65" i="7"/>
  <c r="N65" i="7"/>
  <c r="O65" i="7"/>
  <c r="P65" i="7"/>
  <c r="Q65" i="7"/>
  <c r="K66" i="7"/>
  <c r="L66" i="7"/>
  <c r="M66" i="7"/>
  <c r="N66" i="7"/>
  <c r="O66" i="7"/>
  <c r="P66" i="7"/>
  <c r="Q66" i="7"/>
  <c r="K67" i="7"/>
  <c r="L67" i="7"/>
  <c r="M67" i="7"/>
  <c r="N67" i="7"/>
  <c r="O67" i="7"/>
  <c r="P67" i="7"/>
  <c r="Q67" i="7"/>
  <c r="K68" i="7"/>
  <c r="L68" i="7"/>
  <c r="M68" i="7"/>
  <c r="N68" i="7"/>
  <c r="O68" i="7"/>
  <c r="P68" i="7"/>
  <c r="Q68" i="7"/>
  <c r="K69" i="7"/>
  <c r="L69" i="7"/>
  <c r="M69" i="7"/>
  <c r="N69" i="7"/>
  <c r="O69" i="7"/>
  <c r="P69" i="7"/>
  <c r="Q69" i="7"/>
  <c r="K70" i="7"/>
  <c r="L70" i="7"/>
  <c r="M70" i="7"/>
  <c r="N70" i="7"/>
  <c r="O70" i="7"/>
  <c r="P70" i="7"/>
  <c r="Q70" i="7"/>
  <c r="K71" i="7"/>
  <c r="L71" i="7"/>
  <c r="M71" i="7"/>
  <c r="N71" i="7"/>
  <c r="O71" i="7"/>
  <c r="P71" i="7"/>
  <c r="Q71" i="7"/>
  <c r="K72" i="7"/>
  <c r="L72" i="7"/>
  <c r="M72" i="7"/>
  <c r="N72" i="7"/>
  <c r="O72" i="7"/>
  <c r="P72" i="7"/>
  <c r="Q72" i="7"/>
  <c r="K73" i="7"/>
  <c r="L73" i="7"/>
  <c r="M73" i="7"/>
  <c r="N73" i="7"/>
  <c r="O73" i="7"/>
  <c r="P73" i="7"/>
  <c r="Q73" i="7"/>
  <c r="K74" i="7"/>
  <c r="L74" i="7"/>
  <c r="M74" i="7"/>
  <c r="N74" i="7"/>
  <c r="O74" i="7"/>
  <c r="P74" i="7"/>
  <c r="Q74" i="7"/>
  <c r="K75" i="7"/>
  <c r="L75" i="7"/>
  <c r="M75" i="7"/>
  <c r="N75" i="7"/>
  <c r="O75" i="7"/>
  <c r="P75" i="7"/>
  <c r="Q75" i="7"/>
  <c r="K76" i="7"/>
  <c r="L76" i="7"/>
  <c r="M76" i="7"/>
  <c r="N76" i="7"/>
  <c r="O76" i="7"/>
  <c r="P76" i="7"/>
  <c r="Q76" i="7"/>
  <c r="K77" i="7"/>
  <c r="L77" i="7"/>
  <c r="M77" i="7"/>
  <c r="N77" i="7"/>
  <c r="O77" i="7"/>
  <c r="P77" i="7"/>
  <c r="Q77" i="7"/>
  <c r="K78" i="7"/>
  <c r="L78" i="7"/>
  <c r="M78" i="7"/>
  <c r="N78" i="7"/>
  <c r="O78" i="7"/>
  <c r="P78" i="7"/>
  <c r="Q78" i="7"/>
  <c r="K79" i="7"/>
  <c r="L79" i="7"/>
  <c r="M79" i="7"/>
  <c r="N79" i="7"/>
  <c r="O79" i="7"/>
  <c r="P79" i="7"/>
  <c r="Q79" i="7"/>
  <c r="K80" i="7"/>
  <c r="L80" i="7"/>
  <c r="M80" i="7"/>
  <c r="N80" i="7"/>
  <c r="O80" i="7"/>
  <c r="P80" i="7"/>
  <c r="Q80" i="7"/>
  <c r="K81" i="7"/>
  <c r="L81" i="7"/>
  <c r="M81" i="7"/>
  <c r="N81" i="7"/>
  <c r="O81" i="7"/>
  <c r="P81" i="7"/>
  <c r="Q81" i="7"/>
  <c r="K82" i="7"/>
  <c r="L82" i="7"/>
  <c r="M82" i="7"/>
  <c r="N82" i="7"/>
  <c r="O82" i="7"/>
  <c r="P82" i="7"/>
  <c r="Q82" i="7"/>
  <c r="K83" i="7"/>
  <c r="L83" i="7"/>
  <c r="M83" i="7"/>
  <c r="N83" i="7"/>
  <c r="O83" i="7"/>
  <c r="P83" i="7"/>
  <c r="Q83" i="7"/>
  <c r="K84" i="7"/>
  <c r="L84" i="7"/>
  <c r="M84" i="7"/>
  <c r="N84" i="7"/>
  <c r="O84" i="7"/>
  <c r="P84" i="7"/>
  <c r="Q84" i="7"/>
  <c r="K85" i="7"/>
  <c r="L85" i="7"/>
  <c r="M85" i="7"/>
  <c r="N85" i="7"/>
  <c r="O85" i="7"/>
  <c r="P85" i="7"/>
  <c r="Q85" i="7"/>
  <c r="K86" i="7"/>
  <c r="L86" i="7"/>
  <c r="M86" i="7"/>
  <c r="N86" i="7"/>
  <c r="O86" i="7"/>
  <c r="P86" i="7"/>
  <c r="Q86" i="7"/>
  <c r="K87" i="7"/>
  <c r="L87" i="7"/>
  <c r="M87" i="7"/>
  <c r="N87" i="7"/>
  <c r="O87" i="7"/>
  <c r="P87" i="7"/>
  <c r="Q87" i="7"/>
  <c r="K88" i="7"/>
  <c r="L88" i="7"/>
  <c r="M88" i="7"/>
  <c r="N88" i="7"/>
  <c r="O88" i="7"/>
  <c r="P88" i="7"/>
  <c r="Q88" i="7"/>
  <c r="K89" i="7"/>
  <c r="L89" i="7"/>
  <c r="M89" i="7"/>
  <c r="N89" i="7"/>
  <c r="O89" i="7"/>
  <c r="P89" i="7"/>
  <c r="Q89" i="7"/>
  <c r="K90" i="7"/>
  <c r="L90" i="7"/>
  <c r="M90" i="7"/>
  <c r="N90" i="7"/>
  <c r="O90" i="7"/>
  <c r="P90" i="7"/>
  <c r="Q90" i="7"/>
  <c r="K91" i="7"/>
  <c r="L91" i="7"/>
  <c r="M91" i="7"/>
  <c r="N91" i="7"/>
  <c r="O91" i="7"/>
  <c r="P91" i="7"/>
  <c r="Q91" i="7"/>
  <c r="K92" i="7"/>
  <c r="L92" i="7"/>
  <c r="M92" i="7"/>
  <c r="N92" i="7"/>
  <c r="O92" i="7"/>
  <c r="P92" i="7"/>
  <c r="Q92" i="7"/>
  <c r="K93" i="7"/>
  <c r="L93" i="7"/>
  <c r="M93" i="7"/>
  <c r="N93" i="7"/>
  <c r="O93" i="7"/>
  <c r="P93" i="7"/>
  <c r="Q93" i="7"/>
  <c r="K94" i="7"/>
  <c r="L94" i="7"/>
  <c r="M94" i="7"/>
  <c r="N94" i="7"/>
  <c r="O94" i="7"/>
  <c r="P94" i="7"/>
  <c r="Q94" i="7"/>
  <c r="K95" i="7"/>
  <c r="L95" i="7"/>
  <c r="M95" i="7"/>
  <c r="N95" i="7"/>
  <c r="O95" i="7"/>
  <c r="P95" i="7"/>
  <c r="Q95" i="7"/>
  <c r="Q51" i="7"/>
  <c r="P51" i="7"/>
  <c r="O51" i="7"/>
  <c r="N51" i="7"/>
  <c r="M51" i="7"/>
  <c r="L51" i="7"/>
  <c r="K51" i="7"/>
  <c r="J2" i="6"/>
  <c r="O2" i="5" s="1"/>
  <c r="J9" i="6"/>
  <c r="J20" i="6"/>
  <c r="J22" i="6"/>
  <c r="J29" i="6"/>
  <c r="J7" i="6"/>
  <c r="J3" i="6"/>
  <c r="J24" i="6"/>
  <c r="J32" i="6"/>
  <c r="J26" i="6"/>
  <c r="J41" i="6"/>
  <c r="J14" i="6"/>
  <c r="J36" i="6"/>
  <c r="J11" i="6"/>
  <c r="O11" i="5" s="1"/>
  <c r="J19" i="6"/>
  <c r="J25" i="6"/>
  <c r="O26" i="5" s="1"/>
  <c r="J37" i="6"/>
  <c r="J4" i="6"/>
  <c r="J13" i="6"/>
  <c r="J23" i="6"/>
  <c r="J6" i="6"/>
  <c r="J34" i="6"/>
  <c r="J44" i="6"/>
  <c r="O44" i="5" s="1"/>
  <c r="I2" i="6"/>
  <c r="N2" i="5" s="1"/>
  <c r="I20" i="6"/>
  <c r="I22" i="6"/>
  <c r="I29" i="6"/>
  <c r="I7" i="6"/>
  <c r="I3" i="6"/>
  <c r="I24" i="6"/>
  <c r="I32" i="6"/>
  <c r="I26" i="6"/>
  <c r="I41" i="6"/>
  <c r="I14" i="6"/>
  <c r="I36" i="6"/>
  <c r="I11" i="6"/>
  <c r="N11" i="5" s="1"/>
  <c r="I19" i="6"/>
  <c r="I25" i="6"/>
  <c r="I37" i="6"/>
  <c r="N36" i="5" s="1"/>
  <c r="I4" i="6"/>
  <c r="I13" i="6"/>
  <c r="I23" i="6"/>
  <c r="I6" i="6"/>
  <c r="I34" i="6"/>
  <c r="N37" i="5" s="1"/>
  <c r="I44" i="6"/>
  <c r="N44" i="5" s="1"/>
  <c r="H87" i="6"/>
  <c r="H88" i="6"/>
  <c r="J88" i="6" s="1"/>
  <c r="H89" i="6"/>
  <c r="J89" i="6" s="1"/>
  <c r="H90" i="6"/>
  <c r="J90" i="6" s="1"/>
  <c r="H91" i="6"/>
  <c r="H92" i="6"/>
  <c r="J92" i="6" s="1"/>
  <c r="H93" i="6"/>
  <c r="J93" i="6" s="1"/>
  <c r="H94" i="6"/>
  <c r="J94" i="6" s="1"/>
  <c r="H95" i="6"/>
  <c r="H96" i="6"/>
  <c r="J96" i="6" s="1"/>
  <c r="H97" i="6"/>
  <c r="J97" i="6" s="1"/>
  <c r="H98" i="6"/>
  <c r="J98" i="6" s="1"/>
  <c r="H99" i="6"/>
  <c r="J99" i="6" s="1"/>
  <c r="H100" i="6"/>
  <c r="J100" i="6" s="1"/>
  <c r="H101" i="6"/>
  <c r="J101" i="6" s="1"/>
  <c r="H102" i="6"/>
  <c r="J102" i="6" s="1"/>
  <c r="H103" i="6"/>
  <c r="J103" i="6" s="1"/>
  <c r="H104" i="6"/>
  <c r="J104" i="6" s="1"/>
  <c r="H105" i="6"/>
  <c r="J105" i="6" s="1"/>
  <c r="H106" i="6"/>
  <c r="J106" i="6" s="1"/>
  <c r="H107" i="6"/>
  <c r="J107" i="6" s="1"/>
  <c r="H108" i="6"/>
  <c r="J108" i="6" s="1"/>
  <c r="J87" i="6"/>
  <c r="J91" i="6"/>
  <c r="J95" i="6"/>
  <c r="H64" i="6"/>
  <c r="J64" i="6" s="1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2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K40" i="22"/>
  <c r="K41" i="22"/>
  <c r="K42" i="22"/>
  <c r="K43" i="22"/>
  <c r="K44" i="22"/>
  <c r="K45" i="22"/>
  <c r="K46" i="22"/>
  <c r="K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2" i="18"/>
  <c r="K3" i="18"/>
  <c r="K4" i="18"/>
  <c r="K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2" i="19"/>
  <c r="K3" i="19"/>
  <c r="K4" i="19"/>
  <c r="K5" i="19"/>
  <c r="K6" i="19"/>
  <c r="K7" i="19"/>
  <c r="K8" i="19"/>
  <c r="K9" i="19"/>
  <c r="K10" i="19"/>
  <c r="K11" i="19"/>
  <c r="K12" i="19"/>
  <c r="K13" i="19"/>
  <c r="K14" i="19"/>
  <c r="K15" i="19"/>
  <c r="K16" i="19"/>
  <c r="K17" i="19"/>
  <c r="K18" i="19"/>
  <c r="K19" i="19"/>
  <c r="K20" i="19"/>
  <c r="K21" i="19"/>
  <c r="K22" i="19"/>
  <c r="K23" i="19"/>
  <c r="K24" i="19"/>
  <c r="K25" i="19"/>
  <c r="K26" i="19"/>
  <c r="K27" i="19"/>
  <c r="K28" i="19"/>
  <c r="K29" i="19"/>
  <c r="K30" i="19"/>
  <c r="K31" i="19"/>
  <c r="K32" i="19"/>
  <c r="K33" i="19"/>
  <c r="K34" i="19"/>
  <c r="K35" i="19"/>
  <c r="K36" i="19"/>
  <c r="K37" i="19"/>
  <c r="K38" i="19"/>
  <c r="K39" i="19"/>
  <c r="K40" i="19"/>
  <c r="K41" i="19"/>
  <c r="K42" i="19"/>
  <c r="K43" i="19"/>
  <c r="K44" i="19"/>
  <c r="K45" i="19"/>
  <c r="K46" i="19"/>
  <c r="K2" i="20"/>
  <c r="K3" i="20"/>
  <c r="K4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2" i="21"/>
  <c r="K3" i="21"/>
  <c r="K4" i="21"/>
  <c r="K5" i="21"/>
  <c r="K6" i="21"/>
  <c r="K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K36" i="21"/>
  <c r="K37" i="21"/>
  <c r="K38" i="21"/>
  <c r="K39" i="21"/>
  <c r="K40" i="21"/>
  <c r="K41" i="21"/>
  <c r="K42" i="21"/>
  <c r="K43" i="21"/>
  <c r="K44" i="21"/>
  <c r="K45" i="21"/>
  <c r="K46" i="21"/>
  <c r="I21" i="6"/>
  <c r="I28" i="6"/>
  <c r="N28" i="5" s="1"/>
  <c r="I38" i="6"/>
  <c r="N38" i="5" s="1"/>
  <c r="I30" i="6"/>
  <c r="N29" i="5" s="1"/>
  <c r="I10" i="6"/>
  <c r="I9" i="6"/>
  <c r="I45" i="6"/>
  <c r="N45" i="5" s="1"/>
  <c r="I39" i="6"/>
  <c r="N39" i="5" s="1"/>
  <c r="I31" i="6"/>
  <c r="N30" i="5" s="1"/>
  <c r="I18" i="6"/>
  <c r="I27" i="6"/>
  <c r="I33" i="6"/>
  <c r="I35" i="6"/>
  <c r="N32" i="5" s="1"/>
  <c r="I40" i="6"/>
  <c r="N40" i="5" s="1"/>
  <c r="I42" i="6"/>
  <c r="N41" i="5" s="1"/>
  <c r="I46" i="6"/>
  <c r="N46" i="5" s="1"/>
  <c r="I5" i="6"/>
  <c r="I12" i="6"/>
  <c r="N14" i="5" s="1"/>
  <c r="I8" i="6"/>
  <c r="I17" i="6"/>
  <c r="I16" i="6"/>
  <c r="I43" i="6"/>
  <c r="H65" i="6"/>
  <c r="J65" i="6" s="1"/>
  <c r="H66" i="6"/>
  <c r="J66" i="6" s="1"/>
  <c r="H67" i="6"/>
  <c r="J67" i="6" s="1"/>
  <c r="H68" i="6"/>
  <c r="J68" i="6" s="1"/>
  <c r="H69" i="6"/>
  <c r="J69" i="6" s="1"/>
  <c r="H70" i="6"/>
  <c r="J70" i="6" s="1"/>
  <c r="H71" i="6"/>
  <c r="J71" i="6" s="1"/>
  <c r="H72" i="6"/>
  <c r="J72" i="6" s="1"/>
  <c r="H73" i="6"/>
  <c r="J73" i="6" s="1"/>
  <c r="H74" i="6"/>
  <c r="J74" i="6" s="1"/>
  <c r="H75" i="6"/>
  <c r="J75" i="6" s="1"/>
  <c r="H76" i="6"/>
  <c r="J76" i="6" s="1"/>
  <c r="H77" i="6"/>
  <c r="J77" i="6" s="1"/>
  <c r="H78" i="6"/>
  <c r="J78" i="6" s="1"/>
  <c r="H79" i="6"/>
  <c r="J79" i="6" s="1"/>
  <c r="H80" i="6"/>
  <c r="J80" i="6" s="1"/>
  <c r="H81" i="6"/>
  <c r="J81" i="6" s="1"/>
  <c r="H82" i="6"/>
  <c r="J82" i="6" s="1"/>
  <c r="H83" i="6"/>
  <c r="J83" i="6" s="1"/>
  <c r="H84" i="6"/>
  <c r="J84" i="6" s="1"/>
  <c r="H85" i="6"/>
  <c r="J85" i="6" s="1"/>
  <c r="H86" i="6"/>
  <c r="J86" i="6" s="1"/>
  <c r="J28" i="6"/>
  <c r="O28" i="5" s="1"/>
  <c r="J38" i="6"/>
  <c r="O38" i="5" s="1"/>
  <c r="J18" i="6"/>
  <c r="J27" i="6"/>
  <c r="J33" i="6"/>
  <c r="J35" i="6"/>
  <c r="J40" i="6"/>
  <c r="O40" i="5" s="1"/>
  <c r="J46" i="6"/>
  <c r="O46" i="5" s="1"/>
  <c r="J43" i="6"/>
  <c r="J8" i="6"/>
  <c r="J16" i="6"/>
  <c r="J42" i="6"/>
  <c r="O41" i="5" s="1"/>
  <c r="J12" i="6"/>
  <c r="J10" i="6"/>
  <c r="O4" i="5" s="1"/>
  <c r="J30" i="6"/>
  <c r="J45" i="6"/>
  <c r="O45" i="5" s="1"/>
  <c r="J5" i="6"/>
  <c r="J39" i="6"/>
  <c r="O39" i="5" s="1"/>
  <c r="J17" i="6"/>
  <c r="J31" i="6"/>
  <c r="I15" i="6"/>
  <c r="J15" i="6"/>
  <c r="M47" i="5"/>
  <c r="O12" i="5" l="1"/>
  <c r="O42" i="5"/>
  <c r="O36" i="5"/>
  <c r="O27" i="5"/>
  <c r="N43" i="5"/>
  <c r="O35" i="5"/>
  <c r="N27" i="5"/>
  <c r="N42" i="5"/>
  <c r="O43" i="5"/>
  <c r="N25" i="5"/>
  <c r="O32" i="5"/>
  <c r="N13" i="5"/>
  <c r="N35" i="5"/>
  <c r="O37" i="5"/>
  <c r="O34" i="5"/>
  <c r="O30" i="5"/>
  <c r="N31" i="5"/>
  <c r="N34" i="5"/>
  <c r="N26" i="5"/>
  <c r="O31" i="5"/>
  <c r="N33" i="5"/>
  <c r="O33" i="5"/>
  <c r="O29" i="5"/>
  <c r="O25" i="5"/>
  <c r="N6" i="5"/>
  <c r="N24" i="5"/>
  <c r="N23" i="5"/>
  <c r="N22" i="5"/>
  <c r="N18" i="5"/>
  <c r="O15" i="5"/>
  <c r="N16" i="5"/>
  <c r="O17" i="5"/>
  <c r="N15" i="5"/>
  <c r="O18" i="5"/>
  <c r="O14" i="5"/>
  <c r="O16" i="5"/>
  <c r="N17" i="5"/>
  <c r="N12" i="5"/>
  <c r="O13" i="5"/>
  <c r="O10" i="5"/>
  <c r="N10" i="5"/>
  <c r="N9" i="5"/>
  <c r="O6" i="5"/>
  <c r="O9" i="5"/>
  <c r="O8" i="5"/>
  <c r="N5" i="5"/>
  <c r="N8" i="5"/>
  <c r="N7" i="5"/>
  <c r="N3" i="5"/>
  <c r="O5" i="5"/>
  <c r="N4" i="5"/>
  <c r="N19" i="5"/>
  <c r="O7" i="5"/>
  <c r="O3" i="5"/>
  <c r="N21" i="5"/>
  <c r="N20" i="5"/>
  <c r="B21" i="20"/>
  <c r="D21" i="5" s="1"/>
  <c r="N111" i="5" s="1"/>
  <c r="C21" i="20"/>
  <c r="B22" i="19"/>
  <c r="C22" i="19"/>
  <c r="B23" i="19"/>
  <c r="C23" i="19"/>
  <c r="B24" i="19"/>
  <c r="C24" i="19"/>
  <c r="B25" i="19"/>
  <c r="C25" i="19"/>
  <c r="B26" i="19"/>
  <c r="C26" i="19"/>
  <c r="B12" i="17"/>
  <c r="C12" i="17"/>
  <c r="B13" i="17"/>
  <c r="C13" i="17"/>
  <c r="B14" i="17"/>
  <c r="C14" i="17"/>
  <c r="B15" i="17"/>
  <c r="C15" i="17"/>
  <c r="B16" i="17"/>
  <c r="C16" i="17"/>
  <c r="H46" i="5"/>
  <c r="N316" i="5" s="1"/>
  <c r="H45" i="5"/>
  <c r="N315" i="5" s="1"/>
  <c r="H44" i="5"/>
  <c r="N314" i="5" s="1"/>
  <c r="H43" i="5"/>
  <c r="N313" i="5" s="1"/>
  <c r="H42" i="5"/>
  <c r="N312" i="5" s="1"/>
  <c r="H41" i="5"/>
  <c r="N311" i="5" s="1"/>
  <c r="H40" i="5"/>
  <c r="N310" i="5" s="1"/>
  <c r="H39" i="5"/>
  <c r="N309" i="5" s="1"/>
  <c r="C38" i="22"/>
  <c r="B38" i="22"/>
  <c r="C37" i="22"/>
  <c r="B37" i="22"/>
  <c r="H36" i="5"/>
  <c r="N306" i="5" s="1"/>
  <c r="H35" i="5"/>
  <c r="N305" i="5" s="1"/>
  <c r="C34" i="22"/>
  <c r="B34" i="22"/>
  <c r="H34" i="5" s="1"/>
  <c r="N304" i="5" s="1"/>
  <c r="C33" i="22"/>
  <c r="B33" i="22"/>
  <c r="C32" i="22"/>
  <c r="B32" i="22"/>
  <c r="C31" i="22"/>
  <c r="B31" i="22"/>
  <c r="C30" i="22"/>
  <c r="B30" i="22"/>
  <c r="C29" i="22"/>
  <c r="B29" i="22"/>
  <c r="C28" i="22"/>
  <c r="B28" i="22"/>
  <c r="C27" i="22"/>
  <c r="B27" i="22"/>
  <c r="C26" i="22"/>
  <c r="B26" i="22"/>
  <c r="C25" i="22"/>
  <c r="B25" i="22"/>
  <c r="C24" i="22"/>
  <c r="B24" i="22"/>
  <c r="C23" i="22"/>
  <c r="B23" i="22"/>
  <c r="C22" i="22"/>
  <c r="B22" i="22"/>
  <c r="C21" i="22"/>
  <c r="B21" i="22"/>
  <c r="C20" i="22"/>
  <c r="B20" i="22"/>
  <c r="C19" i="22"/>
  <c r="B19" i="22"/>
  <c r="C18" i="22"/>
  <c r="B18" i="22"/>
  <c r="C17" i="22"/>
  <c r="B17" i="22"/>
  <c r="C16" i="22"/>
  <c r="B16" i="22"/>
  <c r="C15" i="22"/>
  <c r="B15" i="22"/>
  <c r="C14" i="22"/>
  <c r="B14" i="22"/>
  <c r="C13" i="22"/>
  <c r="B13" i="22"/>
  <c r="C12" i="22"/>
  <c r="B12" i="22"/>
  <c r="C11" i="22"/>
  <c r="B11" i="22"/>
  <c r="C10" i="22"/>
  <c r="B10" i="22"/>
  <c r="C9" i="22"/>
  <c r="B9" i="22"/>
  <c r="C8" i="22"/>
  <c r="B8" i="22"/>
  <c r="C7" i="22"/>
  <c r="B7" i="22"/>
  <c r="C6" i="22"/>
  <c r="B6" i="22"/>
  <c r="C5" i="22"/>
  <c r="B5" i="22"/>
  <c r="C4" i="22"/>
  <c r="B4" i="22"/>
  <c r="C3" i="22"/>
  <c r="B3" i="22"/>
  <c r="C2" i="22"/>
  <c r="B2" i="22"/>
  <c r="C46" i="5"/>
  <c r="N91" i="5" s="1"/>
  <c r="C45" i="5"/>
  <c r="N90" i="5" s="1"/>
  <c r="C44" i="5"/>
  <c r="N89" i="5" s="1"/>
  <c r="C43" i="5"/>
  <c r="N88" i="5" s="1"/>
  <c r="C42" i="5"/>
  <c r="N87" i="5" s="1"/>
  <c r="C41" i="5"/>
  <c r="N86" i="5" s="1"/>
  <c r="C40" i="5"/>
  <c r="N85" i="5" s="1"/>
  <c r="C39" i="5"/>
  <c r="N84" i="5" s="1"/>
  <c r="C38" i="5"/>
  <c r="N83" i="5" s="1"/>
  <c r="C36" i="5"/>
  <c r="N81" i="5" s="1"/>
  <c r="C35" i="5"/>
  <c r="N80" i="5" s="1"/>
  <c r="C34" i="21"/>
  <c r="B34" i="21"/>
  <c r="C33" i="21"/>
  <c r="B33" i="21"/>
  <c r="C32" i="21"/>
  <c r="B32" i="21"/>
  <c r="C31" i="21"/>
  <c r="B31" i="21"/>
  <c r="C30" i="21"/>
  <c r="B30" i="21"/>
  <c r="C29" i="21"/>
  <c r="B29" i="21"/>
  <c r="C28" i="21"/>
  <c r="B28" i="21"/>
  <c r="C27" i="21"/>
  <c r="B27" i="21"/>
  <c r="C26" i="21"/>
  <c r="B26" i="21"/>
  <c r="C25" i="21"/>
  <c r="B25" i="21"/>
  <c r="C24" i="21"/>
  <c r="B24" i="21"/>
  <c r="C23" i="21"/>
  <c r="B23" i="21"/>
  <c r="C22" i="21"/>
  <c r="B22" i="21"/>
  <c r="C21" i="21"/>
  <c r="B21" i="21"/>
  <c r="C20" i="21"/>
  <c r="B20" i="21"/>
  <c r="C19" i="21"/>
  <c r="B19" i="21"/>
  <c r="C18" i="21"/>
  <c r="B18" i="21"/>
  <c r="C17" i="21"/>
  <c r="B17" i="21"/>
  <c r="D46" i="5"/>
  <c r="N136" i="5" s="1"/>
  <c r="D45" i="5"/>
  <c r="N135" i="5" s="1"/>
  <c r="D44" i="5"/>
  <c r="N134" i="5" s="1"/>
  <c r="D43" i="5"/>
  <c r="N133" i="5" s="1"/>
  <c r="D42" i="5"/>
  <c r="N132" i="5" s="1"/>
  <c r="D41" i="5"/>
  <c r="N131" i="5" s="1"/>
  <c r="D40" i="5"/>
  <c r="N130" i="5" s="1"/>
  <c r="D39" i="5"/>
  <c r="N129" i="5" s="1"/>
  <c r="C37" i="20"/>
  <c r="B37" i="20"/>
  <c r="D36" i="5"/>
  <c r="N126" i="5" s="1"/>
  <c r="D35" i="5"/>
  <c r="N125" i="5" s="1"/>
  <c r="C34" i="20"/>
  <c r="B34" i="20"/>
  <c r="C33" i="20"/>
  <c r="B33" i="20"/>
  <c r="C32" i="20"/>
  <c r="B32" i="20"/>
  <c r="C31" i="20"/>
  <c r="B31" i="20"/>
  <c r="C30" i="20"/>
  <c r="B30" i="20"/>
  <c r="C29" i="20"/>
  <c r="B29" i="20"/>
  <c r="C28" i="20"/>
  <c r="B28" i="20"/>
  <c r="C27" i="20"/>
  <c r="B27" i="20"/>
  <c r="C26" i="20"/>
  <c r="B26" i="20"/>
  <c r="C25" i="20"/>
  <c r="B25" i="20"/>
  <c r="C24" i="20"/>
  <c r="B24" i="20"/>
  <c r="C23" i="20"/>
  <c r="B23" i="20"/>
  <c r="C22" i="20"/>
  <c r="B22" i="20"/>
  <c r="C20" i="20"/>
  <c r="B20" i="20"/>
  <c r="C19" i="20"/>
  <c r="B19" i="20"/>
  <c r="C18" i="20"/>
  <c r="B18" i="20"/>
  <c r="C17" i="20"/>
  <c r="B17" i="20"/>
  <c r="C16" i="20"/>
  <c r="B16" i="20"/>
  <c r="C15" i="20"/>
  <c r="B15" i="20"/>
  <c r="C14" i="20"/>
  <c r="B14" i="20"/>
  <c r="C13" i="20"/>
  <c r="B13" i="20"/>
  <c r="C12" i="20"/>
  <c r="B12" i="20"/>
  <c r="C8" i="20"/>
  <c r="B8" i="20"/>
  <c r="C7" i="20"/>
  <c r="B7" i="20"/>
  <c r="C6" i="20"/>
  <c r="B6" i="20"/>
  <c r="C5" i="20"/>
  <c r="B5" i="20"/>
  <c r="C4" i="20"/>
  <c r="B4" i="20"/>
  <c r="C3" i="20"/>
  <c r="B3" i="20"/>
  <c r="C2" i="20"/>
  <c r="B2" i="20"/>
  <c r="E46" i="5"/>
  <c r="N181" i="5" s="1"/>
  <c r="E45" i="5"/>
  <c r="N180" i="5" s="1"/>
  <c r="E44" i="5"/>
  <c r="N179" i="5" s="1"/>
  <c r="E43" i="5"/>
  <c r="N178" i="5" s="1"/>
  <c r="E42" i="5"/>
  <c r="N177" i="5" s="1"/>
  <c r="E41" i="5"/>
  <c r="N176" i="5" s="1"/>
  <c r="E40" i="5"/>
  <c r="N175" i="5" s="1"/>
  <c r="E39" i="5"/>
  <c r="N174" i="5" s="1"/>
  <c r="C38" i="19"/>
  <c r="B38" i="19"/>
  <c r="C37" i="19"/>
  <c r="B37" i="19"/>
  <c r="E36" i="5"/>
  <c r="N171" i="5" s="1"/>
  <c r="E35" i="5"/>
  <c r="N170" i="5" s="1"/>
  <c r="C34" i="19"/>
  <c r="B34" i="19"/>
  <c r="C33" i="19"/>
  <c r="B33" i="19"/>
  <c r="C32" i="19"/>
  <c r="B32" i="19"/>
  <c r="C31" i="19"/>
  <c r="B31" i="19"/>
  <c r="C30" i="19"/>
  <c r="B30" i="19"/>
  <c r="C29" i="19"/>
  <c r="B29" i="19"/>
  <c r="C28" i="19"/>
  <c r="B28" i="19"/>
  <c r="C27" i="19"/>
  <c r="B27" i="19"/>
  <c r="C21" i="19"/>
  <c r="B21" i="19"/>
  <c r="C20" i="19"/>
  <c r="B20" i="19"/>
  <c r="C19" i="19"/>
  <c r="B19" i="19"/>
  <c r="C18" i="19"/>
  <c r="B18" i="19"/>
  <c r="C17" i="19"/>
  <c r="B17" i="19"/>
  <c r="C16" i="19"/>
  <c r="B16" i="19"/>
  <c r="C15" i="19"/>
  <c r="B15" i="19"/>
  <c r="C14" i="19"/>
  <c r="B14" i="19"/>
  <c r="C13" i="19"/>
  <c r="B13" i="19"/>
  <c r="C12" i="19"/>
  <c r="B12" i="19"/>
  <c r="C11" i="19"/>
  <c r="B11" i="19"/>
  <c r="C10" i="19"/>
  <c r="B10" i="19"/>
  <c r="C9" i="19"/>
  <c r="B9" i="19"/>
  <c r="C8" i="19"/>
  <c r="B8" i="19"/>
  <c r="C7" i="19"/>
  <c r="B7" i="19"/>
  <c r="C6" i="19"/>
  <c r="B6" i="19"/>
  <c r="C5" i="19"/>
  <c r="B5" i="19"/>
  <c r="C4" i="19"/>
  <c r="B4" i="19"/>
  <c r="C3" i="19"/>
  <c r="B3" i="19"/>
  <c r="C2" i="19"/>
  <c r="B2" i="19"/>
  <c r="F46" i="5"/>
  <c r="N226" i="5" s="1"/>
  <c r="F45" i="5"/>
  <c r="N225" i="5" s="1"/>
  <c r="F44" i="5"/>
  <c r="N224" i="5" s="1"/>
  <c r="F43" i="5"/>
  <c r="N223" i="5" s="1"/>
  <c r="F42" i="5"/>
  <c r="N222" i="5" s="1"/>
  <c r="F41" i="5"/>
  <c r="N221" i="5" s="1"/>
  <c r="F40" i="5"/>
  <c r="N220" i="5" s="1"/>
  <c r="F39" i="5"/>
  <c r="N219" i="5" s="1"/>
  <c r="C38" i="18"/>
  <c r="B38" i="18"/>
  <c r="C37" i="18"/>
  <c r="B37" i="18"/>
  <c r="F36" i="5"/>
  <c r="N216" i="5" s="1"/>
  <c r="F35" i="5"/>
  <c r="N215" i="5" s="1"/>
  <c r="C34" i="18"/>
  <c r="B34" i="18"/>
  <c r="C33" i="18"/>
  <c r="B33" i="18"/>
  <c r="C32" i="18"/>
  <c r="B32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C22" i="18"/>
  <c r="B22" i="18"/>
  <c r="C21" i="18"/>
  <c r="B21" i="18"/>
  <c r="C20" i="18"/>
  <c r="B20" i="18"/>
  <c r="C19" i="18"/>
  <c r="B19" i="18"/>
  <c r="C18" i="18"/>
  <c r="B18" i="18"/>
  <c r="C17" i="18"/>
  <c r="B17" i="18"/>
  <c r="C16" i="18"/>
  <c r="B16" i="18"/>
  <c r="C15" i="18"/>
  <c r="B15" i="18"/>
  <c r="C14" i="18"/>
  <c r="B14" i="18"/>
  <c r="C13" i="18"/>
  <c r="B13" i="18"/>
  <c r="C12" i="18"/>
  <c r="B12" i="18"/>
  <c r="C11" i="18"/>
  <c r="B11" i="18"/>
  <c r="C10" i="18"/>
  <c r="B10" i="18"/>
  <c r="C9" i="18"/>
  <c r="B9" i="18"/>
  <c r="C7" i="18"/>
  <c r="B7" i="18"/>
  <c r="C6" i="18"/>
  <c r="B6" i="18"/>
  <c r="C5" i="18"/>
  <c r="B5" i="18"/>
  <c r="C4" i="18"/>
  <c r="B4" i="18"/>
  <c r="C3" i="18"/>
  <c r="B3" i="18"/>
  <c r="C2" i="18"/>
  <c r="B2" i="18"/>
  <c r="G46" i="5"/>
  <c r="N271" i="5" s="1"/>
  <c r="G45" i="5"/>
  <c r="N270" i="5" s="1"/>
  <c r="G44" i="5"/>
  <c r="N269" i="5" s="1"/>
  <c r="G43" i="5"/>
  <c r="N268" i="5" s="1"/>
  <c r="G42" i="5"/>
  <c r="N267" i="5" s="1"/>
  <c r="G41" i="5"/>
  <c r="N266" i="5" s="1"/>
  <c r="G40" i="5"/>
  <c r="N265" i="5" s="1"/>
  <c r="G39" i="5"/>
  <c r="N264" i="5" s="1"/>
  <c r="C38" i="17"/>
  <c r="B38" i="17"/>
  <c r="C37" i="17"/>
  <c r="B37" i="17"/>
  <c r="G36" i="5"/>
  <c r="N261" i="5" s="1"/>
  <c r="G35" i="5"/>
  <c r="N260" i="5" s="1"/>
  <c r="C34" i="17"/>
  <c r="B34" i="17"/>
  <c r="C33" i="17"/>
  <c r="B33" i="17"/>
  <c r="C32" i="17"/>
  <c r="B32" i="17"/>
  <c r="C31" i="17"/>
  <c r="B31" i="17"/>
  <c r="C30" i="17"/>
  <c r="B30" i="17"/>
  <c r="C29" i="17"/>
  <c r="B29" i="17"/>
  <c r="C28" i="17"/>
  <c r="B28" i="17"/>
  <c r="C27" i="17"/>
  <c r="B27" i="17"/>
  <c r="G27" i="5" s="1"/>
  <c r="N252" i="5" s="1"/>
  <c r="C26" i="17"/>
  <c r="B26" i="17"/>
  <c r="C25" i="17"/>
  <c r="B25" i="17"/>
  <c r="C24" i="17"/>
  <c r="B24" i="17"/>
  <c r="C23" i="17"/>
  <c r="B23" i="17"/>
  <c r="C22" i="17"/>
  <c r="B22" i="17"/>
  <c r="C21" i="17"/>
  <c r="B21" i="17"/>
  <c r="C20" i="17"/>
  <c r="B20" i="17"/>
  <c r="C19" i="17"/>
  <c r="B19" i="17"/>
  <c r="C18" i="17"/>
  <c r="B18" i="17"/>
  <c r="C17" i="17"/>
  <c r="B17" i="17"/>
  <c r="C11" i="17"/>
  <c r="B11" i="17"/>
  <c r="C10" i="17"/>
  <c r="B10" i="17"/>
  <c r="C9" i="17"/>
  <c r="B9" i="17"/>
  <c r="C8" i="17"/>
  <c r="B8" i="17"/>
  <c r="C7" i="17"/>
  <c r="B7" i="17"/>
  <c r="C6" i="17"/>
  <c r="B6" i="17"/>
  <c r="C5" i="17"/>
  <c r="B5" i="17"/>
  <c r="C4" i="17"/>
  <c r="B4" i="17"/>
  <c r="C3" i="17"/>
  <c r="B3" i="17"/>
  <c r="C2" i="17"/>
  <c r="B2" i="17"/>
  <c r="I35" i="5"/>
  <c r="N350" i="5" s="1"/>
  <c r="I36" i="5"/>
  <c r="N351" i="5" s="1"/>
  <c r="I39" i="5"/>
  <c r="N354" i="5" s="1"/>
  <c r="I40" i="5"/>
  <c r="N355" i="5" s="1"/>
  <c r="I41" i="5"/>
  <c r="N356" i="5" s="1"/>
  <c r="I44" i="5"/>
  <c r="N359" i="5" s="1"/>
  <c r="I45" i="5"/>
  <c r="N360" i="5" s="1"/>
  <c r="I46" i="5"/>
  <c r="N361" i="5" s="1"/>
  <c r="B43" i="11"/>
  <c r="C43" i="11"/>
  <c r="C42" i="11"/>
  <c r="B38" i="11"/>
  <c r="C38" i="11"/>
  <c r="C37" i="11"/>
  <c r="B33" i="11"/>
  <c r="C33" i="11"/>
  <c r="B34" i="11"/>
  <c r="C34" i="11"/>
  <c r="C32" i="11"/>
  <c r="B28" i="11"/>
  <c r="C28" i="11"/>
  <c r="B29" i="11"/>
  <c r="C29" i="11"/>
  <c r="B30" i="11"/>
  <c r="C30" i="11"/>
  <c r="B31" i="11"/>
  <c r="C31" i="11"/>
  <c r="C27" i="11"/>
  <c r="B23" i="11"/>
  <c r="C23" i="11"/>
  <c r="B24" i="11"/>
  <c r="C24" i="11"/>
  <c r="B25" i="11"/>
  <c r="C25" i="11"/>
  <c r="B26" i="11"/>
  <c r="C26" i="11"/>
  <c r="C22" i="11"/>
  <c r="B42" i="11"/>
  <c r="B37" i="11"/>
  <c r="B32" i="11"/>
  <c r="B27" i="11"/>
  <c r="B22" i="11"/>
  <c r="C19" i="11"/>
  <c r="B18" i="11"/>
  <c r="C18" i="11"/>
  <c r="B19" i="11"/>
  <c r="B20" i="11"/>
  <c r="C20" i="11"/>
  <c r="B21" i="11"/>
  <c r="C21" i="11"/>
  <c r="C17" i="11"/>
  <c r="B17" i="11"/>
  <c r="B13" i="11"/>
  <c r="C13" i="11"/>
  <c r="B14" i="11"/>
  <c r="C14" i="11"/>
  <c r="B15" i="11"/>
  <c r="C15" i="11"/>
  <c r="B16" i="11"/>
  <c r="C16" i="11"/>
  <c r="C12" i="11"/>
  <c r="B12" i="11"/>
  <c r="B8" i="11"/>
  <c r="C8" i="11"/>
  <c r="B9" i="11"/>
  <c r="C9" i="11"/>
  <c r="B10" i="11"/>
  <c r="C10" i="11"/>
  <c r="B11" i="11"/>
  <c r="C11" i="11"/>
  <c r="C7" i="11"/>
  <c r="B7" i="11"/>
  <c r="C3" i="11"/>
  <c r="C4" i="11"/>
  <c r="C5" i="11"/>
  <c r="C6" i="11"/>
  <c r="C2" i="11"/>
  <c r="B2" i="11"/>
  <c r="B3" i="11"/>
  <c r="B4" i="11"/>
  <c r="B5" i="11"/>
  <c r="B6" i="11"/>
  <c r="L26" i="10"/>
  <c r="L25" i="10"/>
  <c r="L24" i="10"/>
  <c r="L23" i="10"/>
  <c r="L22" i="10"/>
  <c r="L21" i="10"/>
  <c r="L20" i="10"/>
  <c r="L19" i="10"/>
  <c r="L18" i="10"/>
  <c r="H38" i="5" l="1"/>
  <c r="N308" i="5" s="1"/>
  <c r="F14" i="5"/>
  <c r="N194" i="5" s="1"/>
  <c r="F18" i="5"/>
  <c r="N198" i="5" s="1"/>
  <c r="F20" i="5"/>
  <c r="N200" i="5" s="1"/>
  <c r="F30" i="5"/>
  <c r="N210" i="5" s="1"/>
  <c r="F32" i="5"/>
  <c r="N212" i="5" s="1"/>
  <c r="F34" i="5"/>
  <c r="N214" i="5" s="1"/>
  <c r="E6" i="5"/>
  <c r="N141" i="5" s="1"/>
  <c r="C8" i="5"/>
  <c r="N53" i="5" s="1"/>
  <c r="C25" i="5"/>
  <c r="N70" i="5" s="1"/>
  <c r="C27" i="5"/>
  <c r="N72" i="5" s="1"/>
  <c r="C6" i="5"/>
  <c r="N51" i="5" s="1"/>
  <c r="C12" i="5"/>
  <c r="N57" i="5" s="1"/>
  <c r="C17" i="5"/>
  <c r="N62" i="5" s="1"/>
  <c r="C19" i="5"/>
  <c r="N64" i="5" s="1"/>
  <c r="C31" i="5"/>
  <c r="N76" i="5" s="1"/>
  <c r="C3" i="5"/>
  <c r="N48" i="5" s="1"/>
  <c r="C5" i="5"/>
  <c r="N50" i="5" s="1"/>
  <c r="C7" i="5"/>
  <c r="N52" i="5" s="1"/>
  <c r="C4" i="5"/>
  <c r="N49" i="5" s="1"/>
  <c r="C10" i="5"/>
  <c r="N55" i="5" s="1"/>
  <c r="C21" i="5"/>
  <c r="N66" i="5" s="1"/>
  <c r="C23" i="5"/>
  <c r="N68" i="5" s="1"/>
  <c r="C29" i="5"/>
  <c r="N74" i="5" s="1"/>
  <c r="C33" i="5"/>
  <c r="N78" i="5" s="1"/>
  <c r="G15" i="5"/>
  <c r="N240" i="5" s="1"/>
  <c r="G13" i="5"/>
  <c r="N238" i="5" s="1"/>
  <c r="E22" i="5"/>
  <c r="N157" i="5" s="1"/>
  <c r="H9" i="5"/>
  <c r="N279" i="5" s="1"/>
  <c r="H29" i="5"/>
  <c r="N299" i="5" s="1"/>
  <c r="H33" i="5"/>
  <c r="N303" i="5" s="1"/>
  <c r="I42" i="5"/>
  <c r="N357" i="5" s="1"/>
  <c r="E30" i="5"/>
  <c r="N165" i="5" s="1"/>
  <c r="E32" i="5"/>
  <c r="N167" i="5" s="1"/>
  <c r="E34" i="5"/>
  <c r="N169" i="5" s="1"/>
  <c r="D6" i="5"/>
  <c r="N96" i="5" s="1"/>
  <c r="D8" i="5"/>
  <c r="N98" i="5" s="1"/>
  <c r="D10" i="5"/>
  <c r="N100" i="5" s="1"/>
  <c r="D12" i="5"/>
  <c r="N102" i="5" s="1"/>
  <c r="D14" i="5"/>
  <c r="N104" i="5" s="1"/>
  <c r="D16" i="5"/>
  <c r="N106" i="5" s="1"/>
  <c r="D25" i="5"/>
  <c r="N115" i="5" s="1"/>
  <c r="D29" i="5"/>
  <c r="N119" i="5" s="1"/>
  <c r="G3" i="5"/>
  <c r="N228" i="5" s="1"/>
  <c r="I4" i="5"/>
  <c r="N319" i="5" s="1"/>
  <c r="I6" i="5"/>
  <c r="N321" i="5" s="1"/>
  <c r="I37" i="5"/>
  <c r="N352" i="5" s="1"/>
  <c r="I29" i="5"/>
  <c r="N344" i="5" s="1"/>
  <c r="G8" i="5"/>
  <c r="N233" i="5" s="1"/>
  <c r="G21" i="5"/>
  <c r="N246" i="5" s="1"/>
  <c r="G23" i="5"/>
  <c r="N248" i="5" s="1"/>
  <c r="G25" i="5"/>
  <c r="N250" i="5" s="1"/>
  <c r="E20" i="5"/>
  <c r="N155" i="5" s="1"/>
  <c r="D24" i="5"/>
  <c r="N114" i="5" s="1"/>
  <c r="H12" i="5"/>
  <c r="N282" i="5" s="1"/>
  <c r="I2" i="5"/>
  <c r="N317" i="5" s="1"/>
  <c r="I11" i="5"/>
  <c r="N326" i="5" s="1"/>
  <c r="I9" i="5"/>
  <c r="N324" i="5" s="1"/>
  <c r="I15" i="5"/>
  <c r="N330" i="5" s="1"/>
  <c r="I13" i="5"/>
  <c r="N328" i="5" s="1"/>
  <c r="I21" i="5"/>
  <c r="N336" i="5" s="1"/>
  <c r="I27" i="5"/>
  <c r="N342" i="5" s="1"/>
  <c r="I22" i="5"/>
  <c r="N337" i="5" s="1"/>
  <c r="I25" i="5"/>
  <c r="N340" i="5" s="1"/>
  <c r="I23" i="5"/>
  <c r="N338" i="5" s="1"/>
  <c r="I34" i="5"/>
  <c r="N349" i="5" s="1"/>
  <c r="I43" i="5"/>
  <c r="N358" i="5" s="1"/>
  <c r="G38" i="5"/>
  <c r="N263" i="5" s="1"/>
  <c r="F13" i="5"/>
  <c r="N193" i="5" s="1"/>
  <c r="F25" i="5"/>
  <c r="N205" i="5" s="1"/>
  <c r="E9" i="5"/>
  <c r="N144" i="5" s="1"/>
  <c r="G9" i="5"/>
  <c r="N234" i="5" s="1"/>
  <c r="G18" i="5"/>
  <c r="N243" i="5" s="1"/>
  <c r="G20" i="5"/>
  <c r="N245" i="5" s="1"/>
  <c r="G22" i="5"/>
  <c r="N247" i="5" s="1"/>
  <c r="G26" i="5"/>
  <c r="N251" i="5" s="1"/>
  <c r="F29" i="5"/>
  <c r="N209" i="5" s="1"/>
  <c r="F31" i="5"/>
  <c r="N211" i="5" s="1"/>
  <c r="F38" i="5"/>
  <c r="N218" i="5" s="1"/>
  <c r="E3" i="5"/>
  <c r="N138" i="5" s="1"/>
  <c r="E5" i="5"/>
  <c r="N140" i="5" s="1"/>
  <c r="E7" i="5"/>
  <c r="N142" i="5" s="1"/>
  <c r="H16" i="5"/>
  <c r="N286" i="5" s="1"/>
  <c r="H28" i="5"/>
  <c r="N298" i="5" s="1"/>
  <c r="D20" i="5"/>
  <c r="N110" i="5" s="1"/>
  <c r="I8" i="5"/>
  <c r="N323" i="5" s="1"/>
  <c r="I16" i="5"/>
  <c r="N331" i="5" s="1"/>
  <c r="I20" i="5"/>
  <c r="N335" i="5" s="1"/>
  <c r="I24" i="5"/>
  <c r="N339" i="5" s="1"/>
  <c r="I33" i="5"/>
  <c r="N348" i="5" s="1"/>
  <c r="G32" i="5"/>
  <c r="N257" i="5" s="1"/>
  <c r="F8" i="5"/>
  <c r="N188" i="5" s="1"/>
  <c r="E13" i="5"/>
  <c r="N148" i="5" s="1"/>
  <c r="E28" i="5"/>
  <c r="N163" i="5" s="1"/>
  <c r="F19" i="5"/>
  <c r="N199" i="5" s="1"/>
  <c r="F28" i="5"/>
  <c r="N208" i="5" s="1"/>
  <c r="E29" i="5"/>
  <c r="N164" i="5" s="1"/>
  <c r="E31" i="5"/>
  <c r="N166" i="5" s="1"/>
  <c r="E38" i="5"/>
  <c r="N173" i="5" s="1"/>
  <c r="D5" i="5"/>
  <c r="N95" i="5" s="1"/>
  <c r="D13" i="5"/>
  <c r="N103" i="5" s="1"/>
  <c r="D30" i="5"/>
  <c r="N120" i="5" s="1"/>
  <c r="D32" i="5"/>
  <c r="N122" i="5" s="1"/>
  <c r="D34" i="5"/>
  <c r="N124" i="5" s="1"/>
  <c r="D37" i="5"/>
  <c r="N127" i="5" s="1"/>
  <c r="H2" i="5"/>
  <c r="N272" i="5" s="1"/>
  <c r="H4" i="5"/>
  <c r="N274" i="5" s="1"/>
  <c r="H6" i="5"/>
  <c r="N276" i="5" s="1"/>
  <c r="H8" i="5"/>
  <c r="N278" i="5" s="1"/>
  <c r="H10" i="5"/>
  <c r="N280" i="5" s="1"/>
  <c r="H23" i="5"/>
  <c r="N293" i="5" s="1"/>
  <c r="C18" i="5"/>
  <c r="N63" i="5" s="1"/>
  <c r="C11" i="5"/>
  <c r="N56" i="5" s="1"/>
  <c r="C24" i="5"/>
  <c r="N69" i="5" s="1"/>
  <c r="C28" i="5"/>
  <c r="N73" i="5" s="1"/>
  <c r="I7" i="5"/>
  <c r="N322" i="5" s="1"/>
  <c r="I10" i="5"/>
  <c r="N325" i="5" s="1"/>
  <c r="I14" i="5"/>
  <c r="N329" i="5" s="1"/>
  <c r="I17" i="5"/>
  <c r="N332" i="5" s="1"/>
  <c r="I18" i="5"/>
  <c r="N333" i="5" s="1"/>
  <c r="I32" i="5"/>
  <c r="N347" i="5" s="1"/>
  <c r="I26" i="5"/>
  <c r="N341" i="5" s="1"/>
  <c r="I30" i="5"/>
  <c r="N345" i="5" s="1"/>
  <c r="I28" i="5"/>
  <c r="N343" i="5" s="1"/>
  <c r="I38" i="5"/>
  <c r="N353" i="5" s="1"/>
  <c r="G2" i="5"/>
  <c r="N227" i="5" s="1"/>
  <c r="G4" i="5"/>
  <c r="N229" i="5" s="1"/>
  <c r="G6" i="5"/>
  <c r="N231" i="5" s="1"/>
  <c r="G24" i="5"/>
  <c r="N249" i="5" s="1"/>
  <c r="G28" i="5"/>
  <c r="N253" i="5" s="1"/>
  <c r="G30" i="5"/>
  <c r="N255" i="5" s="1"/>
  <c r="G34" i="5"/>
  <c r="N259" i="5" s="1"/>
  <c r="G37" i="5"/>
  <c r="N262" i="5" s="1"/>
  <c r="F2" i="5"/>
  <c r="N182" i="5" s="1"/>
  <c r="F10" i="5"/>
  <c r="N190" i="5" s="1"/>
  <c r="F17" i="5"/>
  <c r="N197" i="5" s="1"/>
  <c r="F21" i="5"/>
  <c r="N201" i="5" s="1"/>
  <c r="F23" i="5"/>
  <c r="N203" i="5" s="1"/>
  <c r="F27" i="5"/>
  <c r="N207" i="5" s="1"/>
  <c r="E4" i="5"/>
  <c r="N139" i="5" s="1"/>
  <c r="E10" i="5"/>
  <c r="N145" i="5" s="1"/>
  <c r="E14" i="5"/>
  <c r="N149" i="5" s="1"/>
  <c r="E27" i="5"/>
  <c r="N162" i="5" s="1"/>
  <c r="D4" i="5"/>
  <c r="N94" i="5" s="1"/>
  <c r="D28" i="5"/>
  <c r="N118" i="5" s="1"/>
  <c r="C2" i="5"/>
  <c r="N47" i="5" s="1"/>
  <c r="C20" i="5"/>
  <c r="N65" i="5" s="1"/>
  <c r="H7" i="5"/>
  <c r="N277" i="5" s="1"/>
  <c r="H13" i="5"/>
  <c r="N283" i="5" s="1"/>
  <c r="H17" i="5"/>
  <c r="N287" i="5" s="1"/>
  <c r="H25" i="5"/>
  <c r="N295" i="5" s="1"/>
  <c r="H32" i="5"/>
  <c r="N302" i="5" s="1"/>
  <c r="I3" i="5"/>
  <c r="N318" i="5" s="1"/>
  <c r="I5" i="5"/>
  <c r="N320" i="5" s="1"/>
  <c r="G12" i="5"/>
  <c r="N237" i="5" s="1"/>
  <c r="E25" i="5"/>
  <c r="N160" i="5" s="1"/>
  <c r="E23" i="5"/>
  <c r="N158" i="5" s="1"/>
  <c r="I12" i="5"/>
  <c r="N327" i="5" s="1"/>
  <c r="I19" i="5"/>
  <c r="N334" i="5" s="1"/>
  <c r="I31" i="5"/>
  <c r="N346" i="5" s="1"/>
  <c r="G5" i="5"/>
  <c r="N230" i="5" s="1"/>
  <c r="G19" i="5"/>
  <c r="N244" i="5" s="1"/>
  <c r="G29" i="5"/>
  <c r="N254" i="5" s="1"/>
  <c r="G31" i="5"/>
  <c r="N256" i="5" s="1"/>
  <c r="G33" i="5"/>
  <c r="N258" i="5" s="1"/>
  <c r="F3" i="5"/>
  <c r="N183" i="5" s="1"/>
  <c r="F5" i="5"/>
  <c r="N185" i="5" s="1"/>
  <c r="F7" i="5"/>
  <c r="N187" i="5" s="1"/>
  <c r="F9" i="5"/>
  <c r="N189" i="5" s="1"/>
  <c r="F11" i="5"/>
  <c r="N191" i="5" s="1"/>
  <c r="F22" i="5"/>
  <c r="N202" i="5" s="1"/>
  <c r="F24" i="5"/>
  <c r="N204" i="5" s="1"/>
  <c r="F26" i="5"/>
  <c r="N206" i="5" s="1"/>
  <c r="F33" i="5"/>
  <c r="N213" i="5" s="1"/>
  <c r="E15" i="5"/>
  <c r="N150" i="5" s="1"/>
  <c r="E17" i="5"/>
  <c r="N152" i="5" s="1"/>
  <c r="E19" i="5"/>
  <c r="N154" i="5" s="1"/>
  <c r="E21" i="5"/>
  <c r="N156" i="5" s="1"/>
  <c r="E33" i="5"/>
  <c r="N168" i="5" s="1"/>
  <c r="D11" i="5"/>
  <c r="N101" i="5" s="1"/>
  <c r="D17" i="5"/>
  <c r="N107" i="5" s="1"/>
  <c r="D22" i="5"/>
  <c r="N112" i="5" s="1"/>
  <c r="C13" i="5"/>
  <c r="N58" i="5" s="1"/>
  <c r="C15" i="5"/>
  <c r="N60" i="5" s="1"/>
  <c r="C34" i="5"/>
  <c r="N79" i="5" s="1"/>
  <c r="C37" i="5"/>
  <c r="N82" i="5" s="1"/>
  <c r="H18" i="5"/>
  <c r="N288" i="5" s="1"/>
  <c r="H20" i="5"/>
  <c r="N290" i="5" s="1"/>
  <c r="H22" i="5"/>
  <c r="N292" i="5" s="1"/>
  <c r="H24" i="5"/>
  <c r="N294" i="5" s="1"/>
  <c r="H26" i="5"/>
  <c r="N296" i="5" s="1"/>
  <c r="G7" i="5"/>
  <c r="N232" i="5" s="1"/>
  <c r="F12" i="5"/>
  <c r="N192" i="5" s="1"/>
  <c r="D15" i="5"/>
  <c r="N105" i="5" s="1"/>
  <c r="D23" i="5"/>
  <c r="N113" i="5" s="1"/>
  <c r="C22" i="5"/>
  <c r="N67" i="5" s="1"/>
  <c r="H11" i="5"/>
  <c r="N281" i="5" s="1"/>
  <c r="H27" i="5"/>
  <c r="N297" i="5" s="1"/>
  <c r="H37" i="5"/>
  <c r="N307" i="5" s="1"/>
  <c r="E8" i="5"/>
  <c r="N143" i="5" s="1"/>
  <c r="D3" i="5"/>
  <c r="N93" i="5" s="1"/>
  <c r="D19" i="5"/>
  <c r="N109" i="5" s="1"/>
  <c r="H15" i="5"/>
  <c r="N285" i="5" s="1"/>
  <c r="H31" i="5"/>
  <c r="N301" i="5" s="1"/>
  <c r="G16" i="5"/>
  <c r="N241" i="5" s="1"/>
  <c r="G14" i="5"/>
  <c r="N239" i="5" s="1"/>
  <c r="E26" i="5"/>
  <c r="N161" i="5" s="1"/>
  <c r="E24" i="5"/>
  <c r="N159" i="5" s="1"/>
  <c r="G11" i="5"/>
  <c r="N236" i="5" s="1"/>
  <c r="F16" i="5"/>
  <c r="N196" i="5" s="1"/>
  <c r="E12" i="5"/>
  <c r="N147" i="5" s="1"/>
  <c r="D27" i="5"/>
  <c r="N117" i="5" s="1"/>
  <c r="C26" i="5"/>
  <c r="N71" i="5" s="1"/>
  <c r="G10" i="5"/>
  <c r="N235" i="5" s="1"/>
  <c r="G17" i="5"/>
  <c r="N242" i="5" s="1"/>
  <c r="F4" i="5"/>
  <c r="N184" i="5" s="1"/>
  <c r="F6" i="5"/>
  <c r="N186" i="5" s="1"/>
  <c r="F15" i="5"/>
  <c r="N195" i="5" s="1"/>
  <c r="F37" i="5"/>
  <c r="N217" i="5" s="1"/>
  <c r="E2" i="5"/>
  <c r="N137" i="5" s="1"/>
  <c r="E11" i="5"/>
  <c r="N146" i="5" s="1"/>
  <c r="E16" i="5"/>
  <c r="N151" i="5" s="1"/>
  <c r="E18" i="5"/>
  <c r="N153" i="5" s="1"/>
  <c r="E37" i="5"/>
  <c r="N172" i="5" s="1"/>
  <c r="D2" i="5"/>
  <c r="N92" i="5" s="1"/>
  <c r="D7" i="5"/>
  <c r="N97" i="5" s="1"/>
  <c r="D9" i="5"/>
  <c r="N99" i="5" s="1"/>
  <c r="D18" i="5"/>
  <c r="N108" i="5" s="1"/>
  <c r="D26" i="5"/>
  <c r="N116" i="5" s="1"/>
  <c r="D31" i="5"/>
  <c r="N121" i="5" s="1"/>
  <c r="D33" i="5"/>
  <c r="N123" i="5" s="1"/>
  <c r="C9" i="5"/>
  <c r="N54" i="5" s="1"/>
  <c r="C14" i="5"/>
  <c r="N59" i="5" s="1"/>
  <c r="C16" i="5"/>
  <c r="N61" i="5" s="1"/>
  <c r="C30" i="5"/>
  <c r="N75" i="5" s="1"/>
  <c r="C32" i="5"/>
  <c r="N77" i="5" s="1"/>
  <c r="H3" i="5"/>
  <c r="N273" i="5" s="1"/>
  <c r="H5" i="5"/>
  <c r="N275" i="5" s="1"/>
  <c r="H14" i="5"/>
  <c r="N284" i="5" s="1"/>
  <c r="H19" i="5"/>
  <c r="N289" i="5" s="1"/>
  <c r="H21" i="5"/>
  <c r="N291" i="5" s="1"/>
  <c r="H30" i="5"/>
  <c r="N300" i="5" s="1"/>
  <c r="N103" i="7"/>
  <c r="N111" i="7"/>
  <c r="N110" i="7"/>
  <c r="N109" i="7"/>
  <c r="N108" i="7"/>
  <c r="N107" i="7"/>
  <c r="N106" i="7"/>
  <c r="N105" i="7"/>
  <c r="N104" i="7"/>
  <c r="J21" i="6"/>
  <c r="D38" i="5"/>
  <c r="N128" i="5" s="1"/>
  <c r="O23" i="5" l="1"/>
  <c r="O24" i="5"/>
  <c r="O21" i="5"/>
  <c r="O22" i="5"/>
  <c r="O19" i="5"/>
  <c r="O20" i="5"/>
  <c r="P3" i="5"/>
  <c r="P7" i="5"/>
  <c r="P11" i="5"/>
  <c r="P15" i="5"/>
  <c r="P19" i="5"/>
  <c r="P23" i="5"/>
  <c r="P27" i="5"/>
  <c r="P31" i="5"/>
  <c r="P35" i="5"/>
  <c r="P39" i="5"/>
  <c r="P43" i="5"/>
  <c r="P2" i="5"/>
  <c r="P14" i="5"/>
  <c r="P26" i="5"/>
  <c r="P38" i="5"/>
  <c r="P4" i="5"/>
  <c r="P8" i="5"/>
  <c r="P12" i="5"/>
  <c r="P16" i="5"/>
  <c r="P20" i="5"/>
  <c r="P24" i="5"/>
  <c r="P28" i="5"/>
  <c r="P32" i="5"/>
  <c r="P36" i="5"/>
  <c r="P40" i="5"/>
  <c r="P44" i="5"/>
  <c r="P10" i="5"/>
  <c r="P22" i="5"/>
  <c r="P34" i="5"/>
  <c r="P46" i="5"/>
  <c r="P5" i="5"/>
  <c r="P9" i="5"/>
  <c r="P13" i="5"/>
  <c r="P17" i="5"/>
  <c r="P21" i="5"/>
  <c r="P25" i="5"/>
  <c r="P29" i="5"/>
  <c r="P33" i="5"/>
  <c r="P37" i="5"/>
  <c r="P41" i="5"/>
  <c r="P45" i="5"/>
  <c r="P6" i="5"/>
  <c r="P18" i="5"/>
  <c r="P30" i="5"/>
  <c r="P42" i="5"/>
  <c r="R357" i="5"/>
  <c r="R361" i="5"/>
  <c r="P285" i="5"/>
  <c r="H15" i="7" s="1"/>
  <c r="P289" i="5"/>
  <c r="H19" i="7" s="1"/>
  <c r="P293" i="5"/>
  <c r="H23" i="7" s="1"/>
  <c r="P297" i="5"/>
  <c r="H27" i="7" s="1"/>
  <c r="P301" i="5"/>
  <c r="H31" i="7" s="1"/>
  <c r="P305" i="5"/>
  <c r="H35" i="7" s="1"/>
  <c r="P309" i="5"/>
  <c r="H39" i="7" s="1"/>
  <c r="P313" i="5"/>
  <c r="H43" i="7" s="1"/>
  <c r="P317" i="5"/>
  <c r="I2" i="7" s="1"/>
  <c r="P321" i="5"/>
  <c r="I6" i="7" s="1"/>
  <c r="P325" i="5"/>
  <c r="I10" i="7" s="1"/>
  <c r="P329" i="5"/>
  <c r="I14" i="7" s="1"/>
  <c r="P333" i="5"/>
  <c r="I18" i="7" s="1"/>
  <c r="P337" i="5"/>
  <c r="I22" i="7" s="1"/>
  <c r="P341" i="5"/>
  <c r="I26" i="7" s="1"/>
  <c r="P345" i="5"/>
  <c r="I30" i="7" s="1"/>
  <c r="P349" i="5"/>
  <c r="I34" i="7" s="1"/>
  <c r="P353" i="5"/>
  <c r="I38" i="7" s="1"/>
  <c r="P357" i="5"/>
  <c r="I42" i="7" s="1"/>
  <c r="P361" i="5"/>
  <c r="I46" i="7" s="1"/>
  <c r="R48" i="5"/>
  <c r="R52" i="5"/>
  <c r="R56" i="5"/>
  <c r="R60" i="5"/>
  <c r="R64" i="5"/>
  <c r="P263" i="5"/>
  <c r="G38" i="7" s="1"/>
  <c r="P267" i="5"/>
  <c r="G42" i="7" s="1"/>
  <c r="P271" i="5"/>
  <c r="G46" i="7" s="1"/>
  <c r="P275" i="5"/>
  <c r="H5" i="7" s="1"/>
  <c r="P279" i="5"/>
  <c r="H9" i="7" s="1"/>
  <c r="P283" i="5"/>
  <c r="H13" i="7" s="1"/>
  <c r="P287" i="5"/>
  <c r="H17" i="7" s="1"/>
  <c r="P291" i="5"/>
  <c r="H21" i="7" s="1"/>
  <c r="P295" i="5"/>
  <c r="H25" i="7" s="1"/>
  <c r="P299" i="5"/>
  <c r="H29" i="7" s="1"/>
  <c r="P303" i="5"/>
  <c r="H33" i="7" s="1"/>
  <c r="P307" i="5"/>
  <c r="H37" i="7" s="1"/>
  <c r="P311" i="5"/>
  <c r="H41" i="7" s="1"/>
  <c r="P315" i="5"/>
  <c r="H45" i="7" s="1"/>
  <c r="P319" i="5"/>
  <c r="I4" i="7" s="1"/>
  <c r="P323" i="5"/>
  <c r="I8" i="7" s="1"/>
  <c r="P327" i="5"/>
  <c r="I12" i="7" s="1"/>
  <c r="P331" i="5"/>
  <c r="I16" i="7" s="1"/>
  <c r="P335" i="5"/>
  <c r="I20" i="7" s="1"/>
  <c r="P339" i="5"/>
  <c r="I24" i="7" s="1"/>
  <c r="P343" i="5"/>
  <c r="I28" i="7" s="1"/>
  <c r="P347" i="5"/>
  <c r="I32" i="7" s="1"/>
  <c r="P351" i="5"/>
  <c r="I36" i="7" s="1"/>
  <c r="P48" i="5"/>
  <c r="C3" i="7" s="1"/>
  <c r="P52" i="5"/>
  <c r="C7" i="7" s="1"/>
  <c r="P56" i="5"/>
  <c r="C11" i="7" s="1"/>
  <c r="P60" i="5"/>
  <c r="C15" i="7" s="1"/>
  <c r="P64" i="5"/>
  <c r="C19" i="7" s="1"/>
  <c r="P68" i="5"/>
  <c r="C23" i="7" s="1"/>
  <c r="P72" i="5"/>
  <c r="C27" i="7" s="1"/>
  <c r="P76" i="5"/>
  <c r="C31" i="7" s="1"/>
  <c r="P80" i="5"/>
  <c r="C35" i="7" s="1"/>
  <c r="P84" i="5"/>
  <c r="C39" i="7" s="1"/>
  <c r="P88" i="5"/>
  <c r="C43" i="7" s="1"/>
  <c r="P92" i="5"/>
  <c r="D2" i="7" s="1"/>
  <c r="P96" i="5"/>
  <c r="D6" i="7" s="1"/>
  <c r="P100" i="5"/>
  <c r="D10" i="7" s="1"/>
  <c r="P104" i="5"/>
  <c r="D14" i="7" s="1"/>
  <c r="P108" i="5"/>
  <c r="D18" i="7" s="1"/>
  <c r="P112" i="5"/>
  <c r="D22" i="7" s="1"/>
  <c r="P116" i="5"/>
  <c r="D26" i="7" s="1"/>
  <c r="P120" i="5"/>
  <c r="D30" i="7" s="1"/>
  <c r="P124" i="5"/>
  <c r="D34" i="7" s="1"/>
  <c r="P128" i="5"/>
  <c r="D38" i="7" s="1"/>
  <c r="P132" i="5"/>
  <c r="D42" i="7" s="1"/>
  <c r="P136" i="5"/>
  <c r="D46" i="7" s="1"/>
  <c r="P140" i="5"/>
  <c r="E5" i="7" s="1"/>
  <c r="P144" i="5"/>
  <c r="E9" i="7" s="1"/>
  <c r="P148" i="5"/>
  <c r="E13" i="7" s="1"/>
  <c r="P152" i="5"/>
  <c r="E17" i="7" s="1"/>
  <c r="P168" i="5"/>
  <c r="E33" i="7" s="1"/>
  <c r="P184" i="5"/>
  <c r="F4" i="7" s="1"/>
  <c r="P200" i="5"/>
  <c r="F20" i="7" s="1"/>
  <c r="P216" i="5"/>
  <c r="F36" i="7" s="1"/>
  <c r="P232" i="5"/>
  <c r="G7" i="7" s="1"/>
  <c r="P248" i="5"/>
  <c r="G23" i="7" s="1"/>
  <c r="P264" i="5"/>
  <c r="G39" i="7" s="1"/>
  <c r="P272" i="5"/>
  <c r="H2" i="7" s="1"/>
  <c r="P280" i="5"/>
  <c r="H10" i="7" s="1"/>
  <c r="P288" i="5"/>
  <c r="H18" i="7" s="1"/>
  <c r="P296" i="5"/>
  <c r="H26" i="7" s="1"/>
  <c r="P304" i="5"/>
  <c r="H34" i="7" s="1"/>
  <c r="P312" i="5"/>
  <c r="H42" i="7" s="1"/>
  <c r="P320" i="5"/>
  <c r="I5" i="7" s="1"/>
  <c r="P328" i="5"/>
  <c r="I13" i="7" s="1"/>
  <c r="P336" i="5"/>
  <c r="I21" i="7" s="1"/>
  <c r="P344" i="5"/>
  <c r="I29" i="7" s="1"/>
  <c r="P352" i="5"/>
  <c r="I37" i="7" s="1"/>
  <c r="P358" i="5"/>
  <c r="I43" i="7" s="1"/>
  <c r="R51" i="5"/>
  <c r="R57" i="5"/>
  <c r="R62" i="5"/>
  <c r="R67" i="5"/>
  <c r="R71" i="5"/>
  <c r="R75" i="5"/>
  <c r="R79" i="5"/>
  <c r="R83" i="5"/>
  <c r="R87" i="5"/>
  <c r="R91" i="5"/>
  <c r="R95" i="5"/>
  <c r="R99" i="5"/>
  <c r="R103" i="5"/>
  <c r="R107" i="5"/>
  <c r="R111" i="5"/>
  <c r="R115" i="5"/>
  <c r="R119" i="5"/>
  <c r="R123" i="5"/>
  <c r="R127" i="5"/>
  <c r="R131" i="5"/>
  <c r="R135" i="5"/>
  <c r="R139" i="5"/>
  <c r="R143" i="5"/>
  <c r="R147" i="5"/>
  <c r="R151" i="5"/>
  <c r="R155" i="5"/>
  <c r="R159" i="5"/>
  <c r="R163" i="5"/>
  <c r="R167" i="5"/>
  <c r="R171" i="5"/>
  <c r="R175" i="5"/>
  <c r="R179" i="5"/>
  <c r="R183" i="5"/>
  <c r="R187" i="5"/>
  <c r="R191" i="5"/>
  <c r="R195" i="5"/>
  <c r="R199" i="5"/>
  <c r="R203" i="5"/>
  <c r="R207" i="5"/>
  <c r="R211" i="5"/>
  <c r="R215" i="5"/>
  <c r="R219" i="5"/>
  <c r="R223" i="5"/>
  <c r="R227" i="5"/>
  <c r="R231" i="5"/>
  <c r="R235" i="5"/>
  <c r="R239" i="5"/>
  <c r="R243" i="5"/>
  <c r="R247" i="5"/>
  <c r="R251" i="5"/>
  <c r="R255" i="5"/>
  <c r="R259" i="5"/>
  <c r="R263" i="5"/>
  <c r="R267" i="5"/>
  <c r="R271" i="5"/>
  <c r="R275" i="5"/>
  <c r="R279" i="5"/>
  <c r="R283" i="5"/>
  <c r="R287" i="5"/>
  <c r="R291" i="5"/>
  <c r="R295" i="5"/>
  <c r="P160" i="5"/>
  <c r="E25" i="7" s="1"/>
  <c r="P176" i="5"/>
  <c r="E41" i="7" s="1"/>
  <c r="P192" i="5"/>
  <c r="F12" i="7" s="1"/>
  <c r="P208" i="5"/>
  <c r="F28" i="7" s="1"/>
  <c r="P224" i="5"/>
  <c r="F44" i="7" s="1"/>
  <c r="P240" i="5"/>
  <c r="G15" i="7" s="1"/>
  <c r="P256" i="5"/>
  <c r="G31" i="7" s="1"/>
  <c r="P268" i="5"/>
  <c r="G43" i="7" s="1"/>
  <c r="P276" i="5"/>
  <c r="H6" i="7" s="1"/>
  <c r="P284" i="5"/>
  <c r="H14" i="7" s="1"/>
  <c r="P292" i="5"/>
  <c r="H22" i="7" s="1"/>
  <c r="P300" i="5"/>
  <c r="H30" i="7" s="1"/>
  <c r="P308" i="5"/>
  <c r="H38" i="7" s="1"/>
  <c r="P316" i="5"/>
  <c r="H46" i="7" s="1"/>
  <c r="P324" i="5"/>
  <c r="I9" i="7" s="1"/>
  <c r="P332" i="5"/>
  <c r="I17" i="7" s="1"/>
  <c r="P340" i="5"/>
  <c r="I25" i="7" s="1"/>
  <c r="P348" i="5"/>
  <c r="I33" i="7" s="1"/>
  <c r="P355" i="5"/>
  <c r="I40" i="7" s="1"/>
  <c r="P360" i="5"/>
  <c r="I45" i="7" s="1"/>
  <c r="R49" i="5"/>
  <c r="R54" i="5"/>
  <c r="R59" i="5"/>
  <c r="R65" i="5"/>
  <c r="R69" i="5"/>
  <c r="R73" i="5"/>
  <c r="R77" i="5"/>
  <c r="R81" i="5"/>
  <c r="R85" i="5"/>
  <c r="R89" i="5"/>
  <c r="R93" i="5"/>
  <c r="R97" i="5"/>
  <c r="R101" i="5"/>
  <c r="R105" i="5"/>
  <c r="R109" i="5"/>
  <c r="R113" i="5"/>
  <c r="R117" i="5"/>
  <c r="R121" i="5"/>
  <c r="R125" i="5"/>
  <c r="R129" i="5"/>
  <c r="R133" i="5"/>
  <c r="R137" i="5"/>
  <c r="R141" i="5"/>
  <c r="R145" i="5"/>
  <c r="R149" i="5"/>
  <c r="R153" i="5"/>
  <c r="R157" i="5"/>
  <c r="R161" i="5"/>
  <c r="R165" i="5"/>
  <c r="R169" i="5"/>
  <c r="R173" i="5"/>
  <c r="R177" i="5"/>
  <c r="R181" i="5"/>
  <c r="R185" i="5"/>
  <c r="R189" i="5"/>
  <c r="R193" i="5"/>
  <c r="R197" i="5"/>
  <c r="R201" i="5"/>
  <c r="R205" i="5"/>
  <c r="R209" i="5"/>
  <c r="R213" i="5"/>
  <c r="R217" i="5"/>
  <c r="R221" i="5"/>
  <c r="R225" i="5"/>
  <c r="R229" i="5"/>
  <c r="R233" i="5"/>
  <c r="R237" i="5"/>
  <c r="R241" i="5"/>
  <c r="R245" i="5"/>
  <c r="R249" i="5"/>
  <c r="R253" i="5"/>
  <c r="R257" i="5"/>
  <c r="R261" i="5"/>
  <c r="R265" i="5"/>
  <c r="R269" i="5"/>
  <c r="R273" i="5"/>
  <c r="R277" i="5"/>
  <c r="R281" i="5"/>
  <c r="R285" i="5"/>
  <c r="R289" i="5"/>
  <c r="R293" i="5"/>
  <c r="R297" i="5"/>
  <c r="R301" i="5"/>
  <c r="R305" i="5"/>
  <c r="R309" i="5"/>
  <c r="P164" i="5"/>
  <c r="E29" i="7" s="1"/>
  <c r="P180" i="5"/>
  <c r="E45" i="7" s="1"/>
  <c r="P196" i="5"/>
  <c r="F16" i="7" s="1"/>
  <c r="P212" i="5"/>
  <c r="F32" i="7" s="1"/>
  <c r="P228" i="5"/>
  <c r="G3" i="7" s="1"/>
  <c r="P244" i="5"/>
  <c r="G19" i="7" s="1"/>
  <c r="P260" i="5"/>
  <c r="G35" i="7" s="1"/>
  <c r="P270" i="5"/>
  <c r="G45" i="7" s="1"/>
  <c r="P278" i="5"/>
  <c r="H8" i="7" s="1"/>
  <c r="P286" i="5"/>
  <c r="H16" i="7" s="1"/>
  <c r="P294" i="5"/>
  <c r="H24" i="7" s="1"/>
  <c r="P302" i="5"/>
  <c r="H32" i="7" s="1"/>
  <c r="P310" i="5"/>
  <c r="H40" i="7" s="1"/>
  <c r="P318" i="5"/>
  <c r="I3" i="7" s="1"/>
  <c r="P326" i="5"/>
  <c r="I11" i="7" s="1"/>
  <c r="P334" i="5"/>
  <c r="I19" i="7" s="1"/>
  <c r="P342" i="5"/>
  <c r="I27" i="7" s="1"/>
  <c r="P350" i="5"/>
  <c r="I35" i="7" s="1"/>
  <c r="P356" i="5"/>
  <c r="I41" i="7" s="1"/>
  <c r="R50" i="5"/>
  <c r="R55" i="5"/>
  <c r="R61" i="5"/>
  <c r="R66" i="5"/>
  <c r="R70" i="5"/>
  <c r="R74" i="5"/>
  <c r="R78" i="5"/>
  <c r="R82" i="5"/>
  <c r="R86" i="5"/>
  <c r="R90" i="5"/>
  <c r="R94" i="5"/>
  <c r="R98" i="5"/>
  <c r="R102" i="5"/>
  <c r="R106" i="5"/>
  <c r="R110" i="5"/>
  <c r="R114" i="5"/>
  <c r="R118" i="5"/>
  <c r="R122" i="5"/>
  <c r="R126" i="5"/>
  <c r="R130" i="5"/>
  <c r="R134" i="5"/>
  <c r="R138" i="5"/>
  <c r="R142" i="5"/>
  <c r="R146" i="5"/>
  <c r="R150" i="5"/>
  <c r="R154" i="5"/>
  <c r="R158" i="5"/>
  <c r="R162" i="5"/>
  <c r="R166" i="5"/>
  <c r="R170" i="5"/>
  <c r="R174" i="5"/>
  <c r="R178" i="5"/>
  <c r="R182" i="5"/>
  <c r="R186" i="5"/>
  <c r="R190" i="5"/>
  <c r="R194" i="5"/>
  <c r="R198" i="5"/>
  <c r="R202" i="5"/>
  <c r="R206" i="5"/>
  <c r="R210" i="5"/>
  <c r="R214" i="5"/>
  <c r="R218" i="5"/>
  <c r="R222" i="5"/>
  <c r="R226" i="5"/>
  <c r="R230" i="5"/>
  <c r="R234" i="5"/>
  <c r="R238" i="5"/>
  <c r="R242" i="5"/>
  <c r="R246" i="5"/>
  <c r="R250" i="5"/>
  <c r="P156" i="5"/>
  <c r="E21" i="7" s="1"/>
  <c r="P220" i="5"/>
  <c r="F40" i="7" s="1"/>
  <c r="P274" i="5"/>
  <c r="H4" i="7" s="1"/>
  <c r="P306" i="5"/>
  <c r="H36" i="7" s="1"/>
  <c r="P338" i="5"/>
  <c r="I23" i="7" s="1"/>
  <c r="R47" i="5"/>
  <c r="R68" i="5"/>
  <c r="R84" i="5"/>
  <c r="R100" i="5"/>
  <c r="R116" i="5"/>
  <c r="R132" i="5"/>
  <c r="R148" i="5"/>
  <c r="R164" i="5"/>
  <c r="R180" i="5"/>
  <c r="R196" i="5"/>
  <c r="R212" i="5"/>
  <c r="R228" i="5"/>
  <c r="R244" i="5"/>
  <c r="R256" i="5"/>
  <c r="R264" i="5"/>
  <c r="R272" i="5"/>
  <c r="R280" i="5"/>
  <c r="R288" i="5"/>
  <c r="R296" i="5"/>
  <c r="R302" i="5"/>
  <c r="R307" i="5"/>
  <c r="R312" i="5"/>
  <c r="R316" i="5"/>
  <c r="R320" i="5"/>
  <c r="R324" i="5"/>
  <c r="R328" i="5"/>
  <c r="R332" i="5"/>
  <c r="R336" i="5"/>
  <c r="R340" i="5"/>
  <c r="R344" i="5"/>
  <c r="R348" i="5"/>
  <c r="R352" i="5"/>
  <c r="R356" i="5"/>
  <c r="R360" i="5"/>
  <c r="P172" i="5"/>
  <c r="E37" i="7" s="1"/>
  <c r="P236" i="5"/>
  <c r="G11" i="7" s="1"/>
  <c r="P282" i="5"/>
  <c r="H12" i="7" s="1"/>
  <c r="P314" i="5"/>
  <c r="H44" i="7" s="1"/>
  <c r="P346" i="5"/>
  <c r="I31" i="7" s="1"/>
  <c r="R53" i="5"/>
  <c r="R72" i="5"/>
  <c r="R88" i="5"/>
  <c r="R104" i="5"/>
  <c r="R120" i="5"/>
  <c r="R136" i="5"/>
  <c r="R152" i="5"/>
  <c r="R168" i="5"/>
  <c r="R184" i="5"/>
  <c r="R200" i="5"/>
  <c r="R216" i="5"/>
  <c r="R232" i="5"/>
  <c r="R248" i="5"/>
  <c r="R258" i="5"/>
  <c r="R266" i="5"/>
  <c r="R274" i="5"/>
  <c r="R282" i="5"/>
  <c r="R290" i="5"/>
  <c r="R298" i="5"/>
  <c r="R303" i="5"/>
  <c r="R308" i="5"/>
  <c r="R313" i="5"/>
  <c r="R317" i="5"/>
  <c r="R321" i="5"/>
  <c r="R325" i="5"/>
  <c r="R329" i="5"/>
  <c r="R333" i="5"/>
  <c r="R337" i="5"/>
  <c r="R341" i="5"/>
  <c r="R345" i="5"/>
  <c r="R349" i="5"/>
  <c r="P188" i="5"/>
  <c r="F8" i="7" s="1"/>
  <c r="P252" i="5"/>
  <c r="G27" i="7" s="1"/>
  <c r="P290" i="5"/>
  <c r="H20" i="7" s="1"/>
  <c r="P322" i="5"/>
  <c r="I7" i="7" s="1"/>
  <c r="P354" i="5"/>
  <c r="I39" i="7" s="1"/>
  <c r="R58" i="5"/>
  <c r="R76" i="5"/>
  <c r="R92" i="5"/>
  <c r="R108" i="5"/>
  <c r="R124" i="5"/>
  <c r="R140" i="5"/>
  <c r="R156" i="5"/>
  <c r="R172" i="5"/>
  <c r="R188" i="5"/>
  <c r="R204" i="5"/>
  <c r="R220" i="5"/>
  <c r="R236" i="5"/>
  <c r="R252" i="5"/>
  <c r="R260" i="5"/>
  <c r="R268" i="5"/>
  <c r="R276" i="5"/>
  <c r="R284" i="5"/>
  <c r="R292" i="5"/>
  <c r="R299" i="5"/>
  <c r="R304" i="5"/>
  <c r="R310" i="5"/>
  <c r="R314" i="5"/>
  <c r="R318" i="5"/>
  <c r="R322" i="5"/>
  <c r="R326" i="5"/>
  <c r="R330" i="5"/>
  <c r="R334" i="5"/>
  <c r="R338" i="5"/>
  <c r="R342" i="5"/>
  <c r="R346" i="5"/>
  <c r="R350" i="5"/>
  <c r="R354" i="5"/>
  <c r="R358" i="5"/>
  <c r="P204" i="5"/>
  <c r="F24" i="7" s="1"/>
  <c r="P266" i="5"/>
  <c r="G41" i="7" s="1"/>
  <c r="P298" i="5"/>
  <c r="H28" i="7" s="1"/>
  <c r="P330" i="5"/>
  <c r="I15" i="7" s="1"/>
  <c r="P359" i="5"/>
  <c r="I44" i="7" s="1"/>
  <c r="R63" i="5"/>
  <c r="R80" i="5"/>
  <c r="R96" i="5"/>
  <c r="R112" i="5"/>
  <c r="R128" i="5"/>
  <c r="R144" i="5"/>
  <c r="R160" i="5"/>
  <c r="R176" i="5"/>
  <c r="R192" i="5"/>
  <c r="R208" i="5"/>
  <c r="R224" i="5"/>
  <c r="R240" i="5"/>
  <c r="R254" i="5"/>
  <c r="R262" i="5"/>
  <c r="R270" i="5"/>
  <c r="R278" i="5"/>
  <c r="R286" i="5"/>
  <c r="R294" i="5"/>
  <c r="R300" i="5"/>
  <c r="R306" i="5"/>
  <c r="R311" i="5"/>
  <c r="R315" i="5"/>
  <c r="R319" i="5"/>
  <c r="R323" i="5"/>
  <c r="R327" i="5"/>
  <c r="R331" i="5"/>
  <c r="R335" i="5"/>
  <c r="R339" i="5"/>
  <c r="R343" i="5"/>
  <c r="R347" i="5"/>
  <c r="R351" i="5"/>
  <c r="R355" i="5"/>
  <c r="R359" i="5"/>
  <c r="R353" i="5"/>
  <c r="P49" i="5"/>
  <c r="C4" i="7" s="1"/>
  <c r="P109" i="5"/>
  <c r="D19" i="7" s="1"/>
  <c r="P113" i="5"/>
  <c r="D23" i="7" s="1"/>
  <c r="P94" i="5"/>
  <c r="D4" i="7" s="1"/>
  <c r="P122" i="5"/>
  <c r="D32" i="7" s="1"/>
  <c r="P119" i="5"/>
  <c r="D29" i="7" s="1"/>
  <c r="P102" i="5"/>
  <c r="D12" i="7" s="1"/>
  <c r="P259" i="5"/>
  <c r="G34" i="7" s="1"/>
  <c r="P255" i="5"/>
  <c r="G30" i="7" s="1"/>
  <c r="P251" i="5"/>
  <c r="G26" i="7" s="1"/>
  <c r="P247" i="5"/>
  <c r="G22" i="7" s="1"/>
  <c r="P243" i="5"/>
  <c r="G18" i="7" s="1"/>
  <c r="P239" i="5"/>
  <c r="G14" i="7" s="1"/>
  <c r="P235" i="5"/>
  <c r="G10" i="7" s="1"/>
  <c r="P231" i="5"/>
  <c r="G6" i="7" s="1"/>
  <c r="P227" i="5"/>
  <c r="G2" i="7" s="1"/>
  <c r="P223" i="5"/>
  <c r="F43" i="7" s="1"/>
  <c r="P219" i="5"/>
  <c r="F39" i="7" s="1"/>
  <c r="P215" i="5"/>
  <c r="F35" i="7" s="1"/>
  <c r="P211" i="5"/>
  <c r="F31" i="7" s="1"/>
  <c r="P207" i="5"/>
  <c r="F27" i="7" s="1"/>
  <c r="P203" i="5"/>
  <c r="F23" i="7" s="1"/>
  <c r="P199" i="5"/>
  <c r="F19" i="7" s="1"/>
  <c r="P195" i="5"/>
  <c r="F15" i="7" s="1"/>
  <c r="P191" i="5"/>
  <c r="F11" i="7" s="1"/>
  <c r="P187" i="5"/>
  <c r="F7" i="7" s="1"/>
  <c r="P183" i="5"/>
  <c r="F3" i="7" s="1"/>
  <c r="P179" i="5"/>
  <c r="E44" i="7" s="1"/>
  <c r="P175" i="5"/>
  <c r="E40" i="7" s="1"/>
  <c r="P171" i="5"/>
  <c r="E36" i="7" s="1"/>
  <c r="P167" i="5"/>
  <c r="E32" i="7" s="1"/>
  <c r="P163" i="5"/>
  <c r="E28" i="7" s="1"/>
  <c r="P159" i="5"/>
  <c r="E24" i="7" s="1"/>
  <c r="P155" i="5"/>
  <c r="E20" i="7" s="1"/>
  <c r="P151" i="5"/>
  <c r="E16" i="7" s="1"/>
  <c r="P147" i="5"/>
  <c r="E12" i="7" s="1"/>
  <c r="P143" i="5"/>
  <c r="E8" i="7" s="1"/>
  <c r="P139" i="5"/>
  <c r="E4" i="7" s="1"/>
  <c r="P135" i="5"/>
  <c r="D45" i="7" s="1"/>
  <c r="P131" i="5"/>
  <c r="D41" i="7" s="1"/>
  <c r="P127" i="5"/>
  <c r="D37" i="7" s="1"/>
  <c r="P123" i="5"/>
  <c r="D33" i="7" s="1"/>
  <c r="P115" i="5"/>
  <c r="D25" i="7" s="1"/>
  <c r="P111" i="5"/>
  <c r="D21" i="7" s="1"/>
  <c r="P107" i="5"/>
  <c r="D17" i="7" s="1"/>
  <c r="P103" i="5"/>
  <c r="D13" i="7" s="1"/>
  <c r="P99" i="5"/>
  <c r="D9" i="7" s="1"/>
  <c r="P95" i="5"/>
  <c r="D5" i="7" s="1"/>
  <c r="P91" i="5"/>
  <c r="C46" i="7" s="1"/>
  <c r="P87" i="5"/>
  <c r="C42" i="7" s="1"/>
  <c r="P83" i="5"/>
  <c r="C38" i="7" s="1"/>
  <c r="P79" i="5"/>
  <c r="C34" i="7" s="1"/>
  <c r="P75" i="5"/>
  <c r="C30" i="7" s="1"/>
  <c r="P71" i="5"/>
  <c r="C26" i="7" s="1"/>
  <c r="P67" i="5"/>
  <c r="C22" i="7" s="1"/>
  <c r="P63" i="5"/>
  <c r="C18" i="7" s="1"/>
  <c r="P59" i="5"/>
  <c r="C14" i="7" s="1"/>
  <c r="P55" i="5"/>
  <c r="C10" i="7" s="1"/>
  <c r="P51" i="5"/>
  <c r="C6" i="7" s="1"/>
  <c r="P47" i="5"/>
  <c r="P262" i="5"/>
  <c r="G37" i="7" s="1"/>
  <c r="P258" i="5"/>
  <c r="G33" i="7" s="1"/>
  <c r="P254" i="5"/>
  <c r="G29" i="7" s="1"/>
  <c r="P250" i="5"/>
  <c r="G25" i="7" s="1"/>
  <c r="P246" i="5"/>
  <c r="G21" i="7" s="1"/>
  <c r="P242" i="5"/>
  <c r="G17" i="7" s="1"/>
  <c r="P238" i="5"/>
  <c r="G13" i="7" s="1"/>
  <c r="P234" i="5"/>
  <c r="G9" i="7" s="1"/>
  <c r="P230" i="5"/>
  <c r="G5" i="7" s="1"/>
  <c r="P226" i="5"/>
  <c r="F46" i="7" s="1"/>
  <c r="P222" i="5"/>
  <c r="F42" i="7" s="1"/>
  <c r="P218" i="5"/>
  <c r="F38" i="7" s="1"/>
  <c r="P214" i="5"/>
  <c r="F34" i="7" s="1"/>
  <c r="P210" i="5"/>
  <c r="F30" i="7" s="1"/>
  <c r="P206" i="5"/>
  <c r="F26" i="7" s="1"/>
  <c r="P202" i="5"/>
  <c r="F22" i="7" s="1"/>
  <c r="P198" i="5"/>
  <c r="F18" i="7" s="1"/>
  <c r="P194" i="5"/>
  <c r="F14" i="7" s="1"/>
  <c r="P190" i="5"/>
  <c r="F10" i="7" s="1"/>
  <c r="P186" i="5"/>
  <c r="F6" i="7" s="1"/>
  <c r="P182" i="5"/>
  <c r="F2" i="7" s="1"/>
  <c r="P178" i="5"/>
  <c r="E43" i="7" s="1"/>
  <c r="P174" i="5"/>
  <c r="E39" i="7" s="1"/>
  <c r="P170" i="5"/>
  <c r="E35" i="7" s="1"/>
  <c r="P166" i="5"/>
  <c r="E31" i="7" s="1"/>
  <c r="P162" i="5"/>
  <c r="E27" i="7" s="1"/>
  <c r="P158" i="5"/>
  <c r="E23" i="7" s="1"/>
  <c r="P154" i="5"/>
  <c r="E19" i="7" s="1"/>
  <c r="P150" i="5"/>
  <c r="E15" i="7" s="1"/>
  <c r="P146" i="5"/>
  <c r="E11" i="7" s="1"/>
  <c r="P142" i="5"/>
  <c r="E7" i="7" s="1"/>
  <c r="P138" i="5"/>
  <c r="E3" i="7" s="1"/>
  <c r="P134" i="5"/>
  <c r="D44" i="7" s="1"/>
  <c r="P130" i="5"/>
  <c r="D40" i="7" s="1"/>
  <c r="P126" i="5"/>
  <c r="D36" i="7" s="1"/>
  <c r="P118" i="5"/>
  <c r="D28" i="7" s="1"/>
  <c r="P114" i="5"/>
  <c r="D24" i="7" s="1"/>
  <c r="P110" i="5"/>
  <c r="D20" i="7" s="1"/>
  <c r="P106" i="5"/>
  <c r="D16" i="7" s="1"/>
  <c r="P98" i="5"/>
  <c r="D8" i="7" s="1"/>
  <c r="P90" i="5"/>
  <c r="C45" i="7" s="1"/>
  <c r="P86" i="5"/>
  <c r="C41" i="7" s="1"/>
  <c r="P82" i="5"/>
  <c r="C37" i="7" s="1"/>
  <c r="P78" i="5"/>
  <c r="C33" i="7" s="1"/>
  <c r="P74" i="5"/>
  <c r="C29" i="7" s="1"/>
  <c r="P70" i="5"/>
  <c r="C25" i="7" s="1"/>
  <c r="P66" i="5"/>
  <c r="C21" i="7" s="1"/>
  <c r="P62" i="5"/>
  <c r="C17" i="7" s="1"/>
  <c r="P58" i="5"/>
  <c r="C13" i="7" s="1"/>
  <c r="P54" i="5"/>
  <c r="C9" i="7" s="1"/>
  <c r="P50" i="5"/>
  <c r="C5" i="7" s="1"/>
  <c r="P281" i="5"/>
  <c r="H11" i="7" s="1"/>
  <c r="P277" i="5"/>
  <c r="H7" i="7" s="1"/>
  <c r="P273" i="5"/>
  <c r="H3" i="7" s="1"/>
  <c r="P269" i="5"/>
  <c r="G44" i="7" s="1"/>
  <c r="P265" i="5"/>
  <c r="G40" i="7" s="1"/>
  <c r="P261" i="5"/>
  <c r="G36" i="7" s="1"/>
  <c r="P257" i="5"/>
  <c r="G32" i="7" s="1"/>
  <c r="P253" i="5"/>
  <c r="G28" i="7" s="1"/>
  <c r="P249" i="5"/>
  <c r="G24" i="7" s="1"/>
  <c r="P245" i="5"/>
  <c r="G20" i="7" s="1"/>
  <c r="P241" i="5"/>
  <c r="G16" i="7" s="1"/>
  <c r="P237" i="5"/>
  <c r="G12" i="7" s="1"/>
  <c r="P233" i="5"/>
  <c r="G8" i="7" s="1"/>
  <c r="P229" i="5"/>
  <c r="G4" i="7" s="1"/>
  <c r="P225" i="5"/>
  <c r="F45" i="7" s="1"/>
  <c r="P221" i="5"/>
  <c r="F41" i="7" s="1"/>
  <c r="P217" i="5"/>
  <c r="F37" i="7" s="1"/>
  <c r="P213" i="5"/>
  <c r="F33" i="7" s="1"/>
  <c r="P209" i="5"/>
  <c r="F29" i="7" s="1"/>
  <c r="P205" i="5"/>
  <c r="F25" i="7" s="1"/>
  <c r="P201" i="5"/>
  <c r="F21" i="7" s="1"/>
  <c r="P197" i="5"/>
  <c r="F17" i="7" s="1"/>
  <c r="P193" i="5"/>
  <c r="F13" i="7" s="1"/>
  <c r="P189" i="5"/>
  <c r="F9" i="7" s="1"/>
  <c r="P185" i="5"/>
  <c r="F5" i="7" s="1"/>
  <c r="P181" i="5"/>
  <c r="E46" i="7" s="1"/>
  <c r="P177" i="5"/>
  <c r="E42" i="7" s="1"/>
  <c r="P173" i="5"/>
  <c r="E38" i="7" s="1"/>
  <c r="P169" i="5"/>
  <c r="E34" i="7" s="1"/>
  <c r="P165" i="5"/>
  <c r="E30" i="7" s="1"/>
  <c r="P161" i="5"/>
  <c r="E26" i="7" s="1"/>
  <c r="P157" i="5"/>
  <c r="E22" i="7" s="1"/>
  <c r="P153" i="5"/>
  <c r="E18" i="7" s="1"/>
  <c r="P149" i="5"/>
  <c r="E14" i="7" s="1"/>
  <c r="P145" i="5"/>
  <c r="E10" i="7" s="1"/>
  <c r="P141" i="5"/>
  <c r="E6" i="7" s="1"/>
  <c r="P137" i="5"/>
  <c r="E2" i="7" s="1"/>
  <c r="P133" i="5"/>
  <c r="D43" i="7" s="1"/>
  <c r="P129" i="5"/>
  <c r="D39" i="7" s="1"/>
  <c r="P125" i="5"/>
  <c r="D35" i="7" s="1"/>
  <c r="P121" i="5"/>
  <c r="D31" i="7" s="1"/>
  <c r="P117" i="5"/>
  <c r="D27" i="7" s="1"/>
  <c r="P105" i="5"/>
  <c r="D15" i="7" s="1"/>
  <c r="P101" i="5"/>
  <c r="D11" i="7" s="1"/>
  <c r="P97" i="5"/>
  <c r="D7" i="7" s="1"/>
  <c r="P93" i="5"/>
  <c r="D3" i="7" s="1"/>
  <c r="P89" i="5"/>
  <c r="C44" i="7" s="1"/>
  <c r="P85" i="5"/>
  <c r="C40" i="7" s="1"/>
  <c r="P81" i="5"/>
  <c r="C36" i="7" s="1"/>
  <c r="P77" i="5"/>
  <c r="C32" i="7" s="1"/>
  <c r="P73" i="5"/>
  <c r="C28" i="7" s="1"/>
  <c r="P69" i="5"/>
  <c r="C24" i="7" s="1"/>
  <c r="P65" i="5"/>
  <c r="C20" i="7" s="1"/>
  <c r="P61" i="5"/>
  <c r="C16" i="7" s="1"/>
  <c r="P57" i="5"/>
  <c r="C12" i="7" s="1"/>
  <c r="P53" i="5"/>
  <c r="C8" i="7" s="1"/>
  <c r="H48" i="7" l="1"/>
  <c r="H50" i="7" s="1"/>
  <c r="H47" i="7"/>
  <c r="F47" i="7"/>
  <c r="F48" i="7"/>
  <c r="F50" i="7" s="1"/>
  <c r="E48" i="7"/>
  <c r="E50" i="7" s="1"/>
  <c r="E47" i="7"/>
  <c r="G47" i="7"/>
  <c r="G48" i="7"/>
  <c r="G50" i="7" s="1"/>
  <c r="I48" i="7"/>
  <c r="I50" i="7" s="1"/>
  <c r="I47" i="7"/>
  <c r="D48" i="7"/>
  <c r="D50" i="7" s="1"/>
  <c r="D47" i="7"/>
  <c r="R362" i="5"/>
  <c r="C2" i="7"/>
  <c r="P362" i="5"/>
  <c r="G51" i="7" l="1"/>
  <c r="G49" i="7"/>
  <c r="F49" i="7"/>
  <c r="F51" i="7"/>
  <c r="C47" i="7"/>
  <c r="C48" i="7"/>
  <c r="C50" i="7" s="1"/>
  <c r="I51" i="7"/>
  <c r="I49" i="7"/>
  <c r="E51" i="7"/>
  <c r="E49" i="7"/>
  <c r="H51" i="7"/>
  <c r="H49" i="7"/>
  <c r="D51" i="7"/>
  <c r="D49" i="7"/>
  <c r="C49" i="7" l="1"/>
  <c r="C51" i="7"/>
</calcChain>
</file>

<file path=xl/sharedStrings.xml><?xml version="1.0" encoding="utf-8"?>
<sst xmlns="http://schemas.openxmlformats.org/spreadsheetml/2006/main" count="1519" uniqueCount="153">
  <si>
    <t>Gjuttemperatur</t>
  </si>
  <si>
    <t>Temperatur motgjutningsyta</t>
  </si>
  <si>
    <t>Väderskydd, uppvärmning (ingen vind)</t>
  </si>
  <si>
    <t>Täckning [mm]</t>
  </si>
  <si>
    <t>Temperatur</t>
  </si>
  <si>
    <t>Vind</t>
  </si>
  <si>
    <t>Kommentar</t>
  </si>
  <si>
    <t>Åtgärdskåd</t>
  </si>
  <si>
    <t>C20/25</t>
  </si>
  <si>
    <t>-</t>
  </si>
  <si>
    <t>OK14</t>
  </si>
  <si>
    <t>Presenning</t>
  </si>
  <si>
    <t>Frys innan täck</t>
  </si>
  <si>
    <t>C28/35</t>
  </si>
  <si>
    <t>C35/45</t>
  </si>
  <si>
    <t>C40/50</t>
  </si>
  <si>
    <t>OK21</t>
  </si>
  <si>
    <t>C25/30</t>
  </si>
  <si>
    <t>Når ej 70%</t>
  </si>
  <si>
    <t>Column1</t>
  </si>
  <si>
    <t>Åtgärdssvårighet</t>
  </si>
  <si>
    <t>Nummer</t>
  </si>
  <si>
    <t>Paket</t>
  </si>
  <si>
    <t>Betongkvalitet</t>
  </si>
  <si>
    <t>Gjuttemperatur (varmbetong)</t>
  </si>
  <si>
    <t>Ok under 21 D</t>
  </si>
  <si>
    <t>Jobbighetsnivå</t>
  </si>
  <si>
    <t>Temperatur [°C]</t>
  </si>
  <si>
    <t>Vind [m/s]</t>
  </si>
  <si>
    <t>Väderskydd med uppvärmning</t>
  </si>
  <si>
    <t>OK&lt;14D</t>
  </si>
  <si>
    <t>OK&lt;21D</t>
  </si>
  <si>
    <t>Utomhustemperatur</t>
  </si>
  <si>
    <t>Väderskydd</t>
  </si>
  <si>
    <t>Riktig temp under</t>
  </si>
  <si>
    <t>Temperatur motgjutiningsyta</t>
  </si>
  <si>
    <t>Ok under 14 d</t>
  </si>
  <si>
    <t>OK under 21 D</t>
  </si>
  <si>
    <t>Utgångspunkt</t>
  </si>
  <si>
    <t>Värden</t>
  </si>
  <si>
    <t>Tjocklek plattbärlag</t>
  </si>
  <si>
    <t>50 mm</t>
  </si>
  <si>
    <t>Tjocklek pågjutning</t>
  </si>
  <si>
    <t>190 mm</t>
  </si>
  <si>
    <t>C30/37</t>
  </si>
  <si>
    <t>70% hållfasthet</t>
  </si>
  <si>
    <t>14 eller 21 dagar</t>
  </si>
  <si>
    <t>C32/40</t>
  </si>
  <si>
    <t>Mellan 14-21 dagar</t>
  </si>
  <si>
    <t>Täckning</t>
  </si>
  <si>
    <t>Påläggning efter 1 timme</t>
  </si>
  <si>
    <t>Slagg mäng</t>
  </si>
  <si>
    <t>Slagg mängd</t>
  </si>
  <si>
    <t>&lt;----</t>
  </si>
  <si>
    <t>Pressäning</t>
  </si>
  <si>
    <t>^^</t>
  </si>
  <si>
    <t>Isolering</t>
  </si>
  <si>
    <t>Mindska slagg --&gt;</t>
  </si>
  <si>
    <t>Vindskydd</t>
  </si>
  <si>
    <t>17.5</t>
  </si>
  <si>
    <t>24.5</t>
  </si>
  <si>
    <t>25.9</t>
  </si>
  <si>
    <t>31.5</t>
  </si>
  <si>
    <t>&lt;---</t>
  </si>
  <si>
    <t>Vindskydd+diesel (20)</t>
  </si>
  <si>
    <t>Komentar</t>
  </si>
  <si>
    <t>C28/25</t>
  </si>
  <si>
    <t>-----Frys innan täck</t>
  </si>
  <si>
    <t>-----Når ej 70%</t>
  </si>
  <si>
    <t>Slagg %</t>
  </si>
  <si>
    <t>bas</t>
  </si>
  <si>
    <t>C28/37</t>
  </si>
  <si>
    <t>Slagghalt</t>
  </si>
  <si>
    <t>Längd</t>
  </si>
  <si>
    <t>2 m</t>
  </si>
  <si>
    <t>OBS TRYCK I INGEN VINDHASTIGHET</t>
  </si>
  <si>
    <t>Täckning på efer 1 timme tas av vid simuleringsslut</t>
  </si>
  <si>
    <t>&lt;7 d och &gt;70% [Dagar]</t>
  </si>
  <si>
    <t>OK&lt;7 dagar</t>
  </si>
  <si>
    <t>Islolering</t>
  </si>
  <si>
    <t>Press</t>
  </si>
  <si>
    <t>Press,10,20,30,50</t>
  </si>
  <si>
    <t>funkar utan väderskydd</t>
  </si>
  <si>
    <t>Bas+0%</t>
  </si>
  <si>
    <t>Ok under 7 d</t>
  </si>
  <si>
    <t>OK7</t>
  </si>
  <si>
    <t>0,315200PresenningOK7</t>
  </si>
  <si>
    <t>0,215200PresenningOK7</t>
  </si>
  <si>
    <t>0,11515--OK7</t>
  </si>
  <si>
    <t>0,115150-OK7</t>
  </si>
  <si>
    <t>0,115150PresenningOK7</t>
  </si>
  <si>
    <t>Bas+0%1510--OK7</t>
  </si>
  <si>
    <t>Bas+0%15100-OK7</t>
  </si>
  <si>
    <t>0,42052030OK7</t>
  </si>
  <si>
    <t>0,42052050OK7</t>
  </si>
  <si>
    <t>0,32052050OK7</t>
  </si>
  <si>
    <t>0,22052050OK7</t>
  </si>
  <si>
    <t>0,12052030OK7</t>
  </si>
  <si>
    <t>0,12052050OK7</t>
  </si>
  <si>
    <t>Bas+0%2052030OK7</t>
  </si>
  <si>
    <t>Bas+0%2052050OK7</t>
  </si>
  <si>
    <t>0,415200PresenningOK7</t>
  </si>
  <si>
    <t>0,31520--OK7</t>
  </si>
  <si>
    <t>0,42052020OK7</t>
  </si>
  <si>
    <t>0,32052030OK7</t>
  </si>
  <si>
    <t>0,32052010OK7</t>
  </si>
  <si>
    <t>Bas+0%1552050OK7</t>
  </si>
  <si>
    <t>0,41520--OK7</t>
  </si>
  <si>
    <t>0,21515--OK7</t>
  </si>
  <si>
    <t>0,215150-OK7</t>
  </si>
  <si>
    <t>0,11510--OK7</t>
  </si>
  <si>
    <t>0,42052010OK7</t>
  </si>
  <si>
    <t>0,415200-OK7</t>
  </si>
  <si>
    <t>0,215150PresenningOK7</t>
  </si>
  <si>
    <t>0,115100PresenningOK7</t>
  </si>
  <si>
    <t>0,22052030OK7</t>
  </si>
  <si>
    <t>Bas+0%1552030OK7</t>
  </si>
  <si>
    <t>0,315150PresenningOK7</t>
  </si>
  <si>
    <t>0,11552050OK7</t>
  </si>
  <si>
    <t>0,31515--OK7</t>
  </si>
  <si>
    <t>0,21510--OK7</t>
  </si>
  <si>
    <t>0,22052020OK7</t>
  </si>
  <si>
    <t>0,11052050OK7</t>
  </si>
  <si>
    <t>0,415150PresenningOK7</t>
  </si>
  <si>
    <t>0,315150-OK7</t>
  </si>
  <si>
    <t>0,215100PresenningOK7</t>
  </si>
  <si>
    <t>0,4205050OK7</t>
  </si>
  <si>
    <t>0,11552030OK7</t>
  </si>
  <si>
    <t>Bas+0%1052050OK7</t>
  </si>
  <si>
    <t>OK under 17 D</t>
  </si>
  <si>
    <t>7-20</t>
  </si>
  <si>
    <t>2-20</t>
  </si>
  <si>
    <t>0-20</t>
  </si>
  <si>
    <t>0,21520--OK7</t>
  </si>
  <si>
    <t>Innan beteongvinter</t>
  </si>
  <si>
    <t>12-20</t>
  </si>
  <si>
    <t>Betongvinter innan frys</t>
  </si>
  <si>
    <t>När de börjar frysa</t>
  </si>
  <si>
    <t>Antal når ej 6Mpa</t>
  </si>
  <si>
    <t>Antal frys</t>
  </si>
  <si>
    <t>Procent 6 Mpa</t>
  </si>
  <si>
    <t>Procent frys</t>
  </si>
  <si>
    <t>Procent båda</t>
  </si>
  <si>
    <t>5 °C</t>
  </si>
  <si>
    <t>10 °C</t>
  </si>
  <si>
    <t>15 °C</t>
  </si>
  <si>
    <t>20 °C</t>
  </si>
  <si>
    <t>25 °C</t>
  </si>
  <si>
    <t>Vindskydd och 20 °C uppvärmning</t>
  </si>
  <si>
    <t>10 mm</t>
  </si>
  <si>
    <t>20 mm</t>
  </si>
  <si>
    <t>30 mm</t>
  </si>
  <si>
    <t>100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</si>
</sst>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\20,\°\C"/>
    <numFmt numFmtId="166" formatCode="General\ \°\C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7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thin">
        <color theme="9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2" borderId="1" xfId="0" applyFill="1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right" wrapText="1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1" fillId="0" borderId="23" xfId="0" applyFont="1" applyBorder="1"/>
    <xf numFmtId="0" fontId="1" fillId="0" borderId="24" xfId="0" applyFont="1" applyBorder="1"/>
    <xf numFmtId="0" fontId="0" fillId="2" borderId="13" xfId="0" applyFill="1" applyBorder="1"/>
    <xf numFmtId="0" fontId="0" fillId="2" borderId="14" xfId="0" applyFill="1" applyBorder="1"/>
    <xf numFmtId="0" fontId="0" fillId="0" borderId="15" xfId="0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2" borderId="5" xfId="0" quotePrefix="1" applyFont="1" applyFill="1" applyBorder="1" applyAlignment="1">
      <alignment horizontal="center" vertical="center"/>
    </xf>
    <xf numFmtId="0" fontId="2" fillId="2" borderId="8" xfId="0" quotePrefix="1" applyFont="1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2" borderId="35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33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0" borderId="40" xfId="0" applyBorder="1"/>
    <xf numFmtId="0" fontId="0" fillId="0" borderId="37" xfId="0" applyBorder="1"/>
    <xf numFmtId="0" fontId="0" fillId="0" borderId="4" xfId="0" applyBorder="1"/>
    <xf numFmtId="0" fontId="0" fillId="0" borderId="33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3" xfId="0" applyBorder="1"/>
    <xf numFmtId="0" fontId="0" fillId="0" borderId="48" xfId="0" applyBorder="1"/>
    <xf numFmtId="0" fontId="0" fillId="0" borderId="21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7" xfId="0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5" fillId="0" borderId="49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39" xfId="0" applyFont="1" applyBorder="1" applyAlignment="1">
      <alignment wrapText="1"/>
    </xf>
    <xf numFmtId="0" fontId="5" fillId="0" borderId="0" xfId="0" applyFont="1" applyAlignment="1">
      <alignment horizontal="right" wrapText="1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0" xfId="0" applyNumberFormat="1"/>
    <xf numFmtId="9" fontId="0" fillId="0" borderId="0" xfId="0" quotePrefix="1" applyNumberFormat="1"/>
    <xf numFmtId="9" fontId="0" fillId="0" borderId="5" xfId="0" applyNumberFormat="1" applyBorder="1"/>
    <xf numFmtId="9" fontId="0" fillId="0" borderId="8" xfId="0" applyNumberFormat="1" applyBorder="1"/>
    <xf numFmtId="9" fontId="0" fillId="0" borderId="10" xfId="0" applyNumberFormat="1" applyBorder="1"/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5" xfId="0" applyBorder="1" applyAlignment="1">
      <alignment horizontal="left" wrapText="1"/>
    </xf>
    <xf numFmtId="0" fontId="0" fillId="0" borderId="0" xfId="0" applyAlignment="1">
      <alignment horizontal="center"/>
    </xf>
    <xf numFmtId="9" fontId="0" fillId="0" borderId="31" xfId="0" applyNumberFormat="1" applyBorder="1" applyAlignment="1">
      <alignment wrapText="1"/>
    </xf>
    <xf numFmtId="9" fontId="0" fillId="0" borderId="6" xfId="0" applyNumberFormat="1" applyBorder="1"/>
    <xf numFmtId="9" fontId="0" fillId="0" borderId="7" xfId="0" applyNumberFormat="1" applyBorder="1"/>
    <xf numFmtId="0" fontId="0" fillId="0" borderId="31" xfId="0" applyBorder="1"/>
    <xf numFmtId="0" fontId="0" fillId="0" borderId="38" xfId="0" applyBorder="1"/>
    <xf numFmtId="0" fontId="0" fillId="0" borderId="30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0" fillId="2" borderId="55" xfId="0" applyFill="1" applyBorder="1"/>
    <xf numFmtId="0" fontId="0" fillId="2" borderId="56" xfId="0" applyFill="1" applyBorder="1"/>
    <xf numFmtId="0" fontId="0" fillId="2" borderId="11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10" xfId="0" applyFill="1" applyBorder="1"/>
    <xf numFmtId="9" fontId="0" fillId="0" borderId="37" xfId="0" applyNumberFormat="1" applyBorder="1" applyAlignment="1">
      <alignment horizontal="center"/>
    </xf>
    <xf numFmtId="0" fontId="0" fillId="0" borderId="43" xfId="0" applyBorder="1" applyAlignment="1">
      <alignment horizontal="center"/>
    </xf>
    <xf numFmtId="0" fontId="5" fillId="0" borderId="26" xfId="0" applyFont="1" applyBorder="1" applyAlignment="1">
      <alignment wrapText="1"/>
    </xf>
    <xf numFmtId="49" fontId="0" fillId="0" borderId="0" xfId="0" applyNumberFormat="1"/>
    <xf numFmtId="10" fontId="0" fillId="0" borderId="0" xfId="0" applyNumberFormat="1"/>
    <xf numFmtId="165" fontId="0" fillId="0" borderId="6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1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11" xfId="0" applyNumberFormat="1" applyBorder="1" applyAlignment="1">
      <alignment horizontal="center"/>
    </xf>
  </cellXfs>
  <cellStyles count="1">
    <cellStyle name="Normal" xfId="0" builtinId="0"/>
  </cellStyles>
  <dxfs count="147">
    <dxf>
      <fill>
        <gradientFill type="path" left="0.5" right="0.5" top="0.5" bottom="0.5">
          <stop position="0">
            <color theme="0"/>
          </stop>
          <stop position="1">
            <color theme="7" tint="0.59999389629810485"/>
          </stop>
        </gradientFill>
      </fill>
    </dxf>
    <dxf>
      <fill>
        <gradientFill type="path" left="0.5" right="0.5" top="0.5" bottom="0.5">
          <stop position="0">
            <color theme="7"/>
          </stop>
          <stop position="1">
            <color theme="9" tint="0.59999389629810485"/>
          </stop>
        </gradient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border diagonalUp="0" diagonalDown="0">
        <left style="thin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0" formatCode="General"/>
    </dxf>
    <dxf>
      <numFmt numFmtId="0" formatCode="General"/>
      <border diagonalUp="0" diagonalDown="0">
        <left style="medium">
          <color indexed="64"/>
        </left>
        <right style="thin">
          <color indexed="64"/>
        </right>
        <vertical/>
      </border>
    </dxf>
    <dxf>
      <border diagonalUp="0" diagonalDown="0">
        <left/>
        <right style="medium">
          <color indexed="64"/>
        </right>
        <vertic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indexed="64"/>
        </bottom>
      </border>
    </dxf>
    <dxf>
      <numFmt numFmtId="13" formatCode="0%"/>
      <border diagonalUp="0" diagonalDown="0">
        <left/>
        <right/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numFmt numFmtId="13" formatCode="0%"/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4D4D671-B463-4013-951F-856561F01DCC}" name="Table141719202122" displayName="Table141719202122" ref="A1:K46" totalsRowShown="0" headerRowDxfId="114" headerRowBorderDxfId="113">
  <autoFilter ref="A1:K46" xr:uid="{2B80540F-6D64-4945-8E3A-E73BBAD63E67}"/>
  <sortState xmlns:xlrd2="http://schemas.microsoft.com/office/spreadsheetml/2017/richdata2" ref="A2:J46">
    <sortCondition descending="1" ref="F1:F46"/>
  </sortState>
  <tableColumns count="11">
    <tableColumn id="1" xr3:uid="{3B752EC0-F9B8-4445-A77C-089B49D6BFEE}" name="Slagg mängd" dataDxfId="112"/>
    <tableColumn id="2" xr3:uid="{89ACBB09-6727-4F12-B72C-9A9737B4A8D9}" name="Gjuttemperatur" dataDxfId="111"/>
    <tableColumn id="3" xr3:uid="{2CE9CF49-BC6E-4C59-A54C-0DEDD84007CF}" name="Temperatur motgjutningsyta" dataDxfId="110">
      <calculatedColumnFormula>Table141719202122[[#This Row],[Temperatur]]</calculatedColumnFormula>
    </tableColumn>
    <tableColumn id="4" xr3:uid="{AA7FBFF6-79F4-4D2C-B790-B677CCE6F643}" name="Väderskydd, uppvärmning (ingen vind)" dataDxfId="109"/>
    <tableColumn id="5" xr3:uid="{74CB7DDF-F10C-4EF0-930B-963766701DBD}" name="Täckning [mm]" dataDxfId="108"/>
    <tableColumn id="6" xr3:uid="{73BB1358-91E2-4E67-A084-AA93A95A09EF}" name="Temperatur" dataDxfId="107"/>
    <tableColumn id="7" xr3:uid="{9CF0F84E-2175-4F7F-81A3-0B300B571269}" name="Vind" dataDxfId="106"/>
    <tableColumn id="11" xr3:uid="{B0B1F40B-DAFD-4F35-A43F-DFC652B7F0D1}" name="&lt;7 d och &gt;70% [Dagar]"/>
    <tableColumn id="15" xr3:uid="{6767D52A-9E8E-4AC8-A55C-1C89777AC22A}" name="OK&lt;7 dagar"/>
    <tableColumn id="10" xr3:uid="{C308D7C1-1BFD-46EC-BEEB-5C5D413FD5BD}" name="Kommentar" dataDxfId="105"/>
    <tableColumn id="9" xr3:uid="{529E9239-2A33-4DA2-9860-191C5B547BED}" name="Åtgärdskåd" dataDxfId="104">
      <calculatedColumnFormula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821EB2F-32C8-43CF-9D9C-418F5ADC5361}" name="Table1417192021" displayName="Table1417192021" ref="A1:K46" totalsRowShown="0" headerRowDxfId="103" headerRowBorderDxfId="102">
  <autoFilter ref="A1:K46" xr:uid="{2B80540F-6D64-4945-8E3A-E73BBAD63E67}"/>
  <sortState xmlns:xlrd2="http://schemas.microsoft.com/office/spreadsheetml/2017/richdata2" ref="A2:J46">
    <sortCondition descending="1" ref="F1:F46"/>
  </sortState>
  <tableColumns count="11">
    <tableColumn id="1" xr3:uid="{6D56D7D4-D2FC-4514-842F-2A179E279530}" name="Slagg mängd" dataDxfId="101"/>
    <tableColumn id="2" xr3:uid="{3891D659-3AC7-4417-A28C-B42152D2F0AE}" name="Gjuttemperatur" dataDxfId="100"/>
    <tableColumn id="3" xr3:uid="{0B5A947D-2229-4494-A100-EC9C11DA3B22}" name="Temperatur motgjutningsyta" dataDxfId="99">
      <calculatedColumnFormula>Table1417192021[[#This Row],[Temperatur]]</calculatedColumnFormula>
    </tableColumn>
    <tableColumn id="4" xr3:uid="{1ABDB049-D7BF-4910-861E-D905856AD09D}" name="Väderskydd, uppvärmning (ingen vind)" dataDxfId="98"/>
    <tableColumn id="5" xr3:uid="{B71D7B58-4639-40CE-8A47-71432DD4BD8C}" name="Täckning [mm]" dataDxfId="97"/>
    <tableColumn id="6" xr3:uid="{C07A14C8-C47B-4837-8FF1-C71B378BA2BF}" name="Temperatur" dataDxfId="96"/>
    <tableColumn id="7" xr3:uid="{B0737EF8-BD2C-43D0-85F6-1A12EEC1417B}" name="Vind" dataDxfId="95"/>
    <tableColumn id="11" xr3:uid="{2981294E-586A-41EE-B7D1-4F2BE6839D87}" name="&lt;7 d och &gt;70% [Dagar]"/>
    <tableColumn id="15" xr3:uid="{09B1A848-D810-4905-A5BD-CE9F10E9BD01}" name="OK&lt;7 dagar"/>
    <tableColumn id="10" xr3:uid="{558E675E-7D21-4B90-8C0F-CB8518BFDDB9}" name="Kommentar" dataDxfId="94"/>
    <tableColumn id="9" xr3:uid="{A4C9E6D2-1B59-4832-90BA-743D0D8C9361}" name="Åtgärdskåd" dataDxfId="93">
      <calculatedColumnFormula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6BF343D-9616-4113-8A26-640C54DF9960}" name="Table14171920" displayName="Table14171920" ref="A1:K46" totalsRowShown="0" headerRowDxfId="92" headerRowBorderDxfId="91">
  <autoFilter ref="A1:K46" xr:uid="{2B80540F-6D64-4945-8E3A-E73BBAD63E67}"/>
  <sortState xmlns:xlrd2="http://schemas.microsoft.com/office/spreadsheetml/2017/richdata2" ref="A2:J46">
    <sortCondition descending="1" ref="F1:F46"/>
  </sortState>
  <tableColumns count="11">
    <tableColumn id="1" xr3:uid="{5D5F3541-800B-43D8-86BF-35D9D433370A}" name="Slagg mängd" dataDxfId="90"/>
    <tableColumn id="2" xr3:uid="{4A097141-FFAE-4DE8-B52F-030705B22917}" name="Gjuttemperatur" dataDxfId="89"/>
    <tableColumn id="3" xr3:uid="{53DC86CE-7BEE-47FE-96A2-FBE050E61968}" name="Temperatur motgjutningsyta" dataDxfId="88">
      <calculatedColumnFormula>Table14171920[[#This Row],[Temperatur]]</calculatedColumnFormula>
    </tableColumn>
    <tableColumn id="4" xr3:uid="{9432AEA7-34CA-43BF-93CE-0A1BC136181D}" name="Väderskydd, uppvärmning (ingen vind)" dataDxfId="87"/>
    <tableColumn id="5" xr3:uid="{D962B47E-46B3-453B-A025-B740FD5A311C}" name="Täckning [mm]" dataDxfId="86"/>
    <tableColumn id="6" xr3:uid="{1CE10FE9-2024-438C-8DDC-B99A353F11D7}" name="Temperatur" dataDxfId="85"/>
    <tableColumn id="7" xr3:uid="{BA14F629-99E2-474B-8562-D6C795323D94}" name="Vind" dataDxfId="84"/>
    <tableColumn id="11" xr3:uid="{9971538D-A67E-4EF0-8808-70E57BB9FDF0}" name="&lt;7 d och &gt;70% [Dagar]"/>
    <tableColumn id="15" xr3:uid="{13466A9F-80E2-46BF-A007-DD6D7C497FF4}" name="OK&lt;7 dagar"/>
    <tableColumn id="10" xr3:uid="{53328366-CD24-430B-8E4F-12A36F368672}" name="Kommentar" dataDxfId="83"/>
    <tableColumn id="9" xr3:uid="{1C466F91-225E-4A33-9CBE-A79E4C546E7C}" name="Åtgärdskåd" dataDxfId="82">
      <calculatedColumnFormula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16550F2-00C4-46C0-9146-077D94354432}" name="Table141719" displayName="Table141719" ref="A1:K46" totalsRowShown="0" headerRowDxfId="81" headerRowBorderDxfId="80">
  <autoFilter ref="A1:K46" xr:uid="{2B80540F-6D64-4945-8E3A-E73BBAD63E67}"/>
  <sortState xmlns:xlrd2="http://schemas.microsoft.com/office/spreadsheetml/2017/richdata2" ref="A2:J46">
    <sortCondition descending="1" ref="F1:F46"/>
  </sortState>
  <tableColumns count="11">
    <tableColumn id="1" xr3:uid="{3D753F6E-250D-407A-B26C-6B077B01E88F}" name="Slagg mängd" dataDxfId="79"/>
    <tableColumn id="2" xr3:uid="{7A990DAD-C3EC-4767-9DB2-21FD2D45EC23}" name="Gjuttemperatur" dataDxfId="78"/>
    <tableColumn id="3" xr3:uid="{53E32844-9599-488A-8A3C-3C75272653D1}" name="Temperatur motgjutningsyta" dataDxfId="77">
      <calculatedColumnFormula>Table141719[[#This Row],[Temperatur]]</calculatedColumnFormula>
    </tableColumn>
    <tableColumn id="4" xr3:uid="{B8610E91-6385-4BA1-91DE-E31D2FB5BBC4}" name="Väderskydd, uppvärmning (ingen vind)" dataDxfId="76"/>
    <tableColumn id="5" xr3:uid="{04E95B07-2372-4F4E-93CC-4F17F7AC361E}" name="Täckning [mm]" dataDxfId="75"/>
    <tableColumn id="6" xr3:uid="{AAB22008-AA99-4C54-9F62-B2B61CB39DD0}" name="Temperatur" dataDxfId="74"/>
    <tableColumn id="7" xr3:uid="{541DCC0C-24B7-46F0-A755-B81E381F4C6F}" name="Vind" dataDxfId="73"/>
    <tableColumn id="11" xr3:uid="{DF032ECA-90C5-4FC9-93DD-FAB254D99447}" name="&lt;7 d och &gt;70% [Dagar]"/>
    <tableColumn id="15" xr3:uid="{F1BC4CE5-CBF2-4CA6-9D61-DE49FC8CAE59}" name="OK&lt;7 dagar"/>
    <tableColumn id="10" xr3:uid="{7BB7C42A-ABA1-4352-87CF-3EE624D9F2DC}" name="Kommentar" dataDxfId="72"/>
    <tableColumn id="9" xr3:uid="{29A1FC65-CB0E-4BDC-B999-0593EF19FFAF}" name="Åtgärdskåd" dataDxfId="71">
      <calculatedColumnFormula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54E8950-2CF1-4B9C-9E66-566CED5287BC}" name="Table1417" displayName="Table1417" ref="A1:K46" totalsRowShown="0" headerRowDxfId="70" headerRowBorderDxfId="69">
  <autoFilter ref="A1:K46" xr:uid="{2B80540F-6D64-4945-8E3A-E73BBAD63E67}"/>
  <sortState xmlns:xlrd2="http://schemas.microsoft.com/office/spreadsheetml/2017/richdata2" ref="A2:J46">
    <sortCondition descending="1" ref="F1:F46"/>
  </sortState>
  <tableColumns count="11">
    <tableColumn id="1" xr3:uid="{534ACB07-2966-42CC-9667-F26E2E140DE5}" name="Slagg mängd" dataDxfId="68"/>
    <tableColumn id="2" xr3:uid="{D6EB341B-E791-4DDE-A9DF-279D350A7A32}" name="Gjuttemperatur" dataDxfId="67"/>
    <tableColumn id="3" xr3:uid="{1F68CD71-8980-42E7-9840-2C5CA5A3A1A2}" name="Temperatur motgjutningsyta" dataDxfId="66">
      <calculatedColumnFormula>Table1417[[#This Row],[Temperatur]]</calculatedColumnFormula>
    </tableColumn>
    <tableColumn id="4" xr3:uid="{EEF2444D-7872-4C28-BCB7-EC80A1CC6AE4}" name="Väderskydd, uppvärmning (ingen vind)" dataDxfId="65"/>
    <tableColumn id="5" xr3:uid="{1E005CB3-39D1-462B-8EAE-BFC46D890A15}" name="Täckning [mm]" dataDxfId="64"/>
    <tableColumn id="6" xr3:uid="{12410CEA-3B65-47E0-BA03-C19A9204742E}" name="Temperatur" dataDxfId="63"/>
    <tableColumn id="7" xr3:uid="{FD305D65-A212-4085-981E-B233DD841043}" name="Vind" dataDxfId="62"/>
    <tableColumn id="11" xr3:uid="{3BB4E8DC-C690-467F-8B27-0BE8E80593F6}" name="&lt;7 d och &gt;70% [Dagar]"/>
    <tableColumn id="15" xr3:uid="{37F26646-BF06-4CE6-B5E1-294AE01EF211}" name="OK&lt;7 dagar"/>
    <tableColumn id="10" xr3:uid="{68250451-FBE3-49E6-8D68-1FE69024A577}" name="Kommentar" dataDxfId="61"/>
    <tableColumn id="9" xr3:uid="{D8A969A8-C7A0-4FAA-91F9-638C3657A280}" name="Åtgärdskåd" dataDxfId="60">
      <calculatedColumnFormula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calculatedColumnFormula>
    </tableColumn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CD5DD43-AFCE-4BDC-9D71-FE313C2F9684}" name="Table1423" displayName="Table1423" ref="A1:K46" totalsRowShown="0" headerRowDxfId="59" headerRowBorderDxfId="58">
  <autoFilter ref="A1:K46" xr:uid="{2B80540F-6D64-4945-8E3A-E73BBAD63E67}"/>
  <sortState xmlns:xlrd2="http://schemas.microsoft.com/office/spreadsheetml/2017/richdata2" ref="A2:J46">
    <sortCondition descending="1" ref="F1:F46"/>
  </sortState>
  <tableColumns count="11">
    <tableColumn id="1" xr3:uid="{A63EAC23-35C8-4511-9744-DDF5FABA291A}" name="Slagg mängd" dataDxfId="57"/>
    <tableColumn id="2" xr3:uid="{081EF7B4-B421-410F-9A3A-8CE161D34640}" name="Gjuttemperatur" dataDxfId="56"/>
    <tableColumn id="3" xr3:uid="{BFC953D7-A027-4DD4-9498-EA4824249567}" name="Temperatur motgjutningsyta" dataDxfId="55">
      <calculatedColumnFormula>Table1423[[#This Row],[Temperatur]]</calculatedColumnFormula>
    </tableColumn>
    <tableColumn id="4" xr3:uid="{BD85F34B-432C-480A-A88A-1F63CCC69AB4}" name="Väderskydd, uppvärmning (ingen vind)" dataDxfId="54"/>
    <tableColumn id="5" xr3:uid="{57849B18-76E4-4DD9-854C-1105D10E02BF}" name="Täckning [mm]" dataDxfId="53"/>
    <tableColumn id="6" xr3:uid="{C0011156-87DB-444A-B1F0-F7DB7F2FE63B}" name="Temperatur" dataDxfId="52"/>
    <tableColumn id="7" xr3:uid="{397603C6-7636-485B-B0AE-28CE883E6C86}" name="Vind" dataDxfId="51"/>
    <tableColumn id="11" xr3:uid="{80F11C21-65BE-4CE7-A1EB-9F0B9D1B99FA}" name="&lt;7 d och &gt;70% [Dagar]"/>
    <tableColumn id="15" xr3:uid="{90BACB6D-26D0-48BF-9194-0B96EC1E6597}" name="OK&lt;7 dagar"/>
    <tableColumn id="10" xr3:uid="{4FE398BA-17B2-4084-A360-45CD954C8926}" name="Kommentar" dataDxfId="50"/>
    <tableColumn id="9" xr3:uid="{A7B5BBB1-F1ED-493D-8A4F-FA7B8F059F17}" name="Åtgärdskåd" dataDxfId="49">
      <calculatedColumnFormula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calculatedColumnFormula>
    </tableColumn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AC7034-D2FE-4BA1-BFAC-8EE24D69F941}" name="Table14" displayName="Table14" ref="A1:K46" totalsRowShown="0" headerRowDxfId="48" headerRowBorderDxfId="47">
  <autoFilter ref="A1:K46" xr:uid="{2B80540F-6D64-4945-8E3A-E73BBAD63E67}"/>
  <sortState xmlns:xlrd2="http://schemas.microsoft.com/office/spreadsheetml/2017/richdata2" ref="A2:J46">
    <sortCondition descending="1" ref="F1:F46"/>
  </sortState>
  <tableColumns count="11">
    <tableColumn id="1" xr3:uid="{9F8B3E5A-ECEE-4311-97E6-CA71656BDB86}" name="Slagg mängd" dataDxfId="46"/>
    <tableColumn id="2" xr3:uid="{74C0D88C-2C35-4BD2-9F83-3F80EA66C57A}" name="Gjuttemperatur" dataDxfId="45"/>
    <tableColumn id="3" xr3:uid="{1837B366-8B82-41FB-80CF-1808175765BF}" name="Temperatur motgjutningsyta" dataDxfId="44">
      <calculatedColumnFormula>Table14[[#This Row],[Temperatur]]</calculatedColumnFormula>
    </tableColumn>
    <tableColumn id="4" xr3:uid="{E0D37D39-36A2-479D-B6B8-130BCD7C761A}" name="Väderskydd, uppvärmning (ingen vind)" dataDxfId="43"/>
    <tableColumn id="5" xr3:uid="{9E2D1254-2C1C-4042-AB1E-A8BF1A47681A}" name="Täckning [mm]" dataDxfId="42"/>
    <tableColumn id="6" xr3:uid="{5F842BC1-7A97-4A99-BC8F-5DA07859C37E}" name="Temperatur" dataDxfId="41"/>
    <tableColumn id="7" xr3:uid="{2D81E695-FA35-4586-B695-1345EF7560D1}" name="Vind" dataDxfId="40"/>
    <tableColumn id="11" xr3:uid="{EB1B43DB-FF85-4DCA-995D-4DA908077234}" name="&lt;7 d och &gt;70% [Dagar]"/>
    <tableColumn id="15" xr3:uid="{30BA498A-EF57-4DFB-941F-0ADACE8204CB}" name="OK&lt;7 dagar"/>
    <tableColumn id="10" xr3:uid="{85EF03F5-7B2C-4370-BE4F-312053E58252}" name="Kommentar" dataDxfId="39"/>
    <tableColumn id="9" xr3:uid="{F5221CA4-CFF4-44DD-B428-7FB7BD247784}" name="Åtgärdskåd" dataDxfId="38">
      <calculatedColumnFormula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calculatedColumnFormula>
    </tableColumn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B1120E-CE91-4CD8-997C-2DE938FBF407}" name="Table6" displayName="Table6" ref="A1:I46" totalsRowShown="0" headerRowDxfId="37" headerRowBorderDxfId="36">
  <autoFilter ref="A1:I46" xr:uid="{0BB1120E-CE91-4CD8-997C-2DE938FBF407}"/>
  <tableColumns count="9">
    <tableColumn id="1" xr3:uid="{3F8D47DC-CBE8-4175-9913-E0176FBABB41}" name="Temperatur" dataDxfId="35"/>
    <tableColumn id="2" xr3:uid="{D90A8870-A10A-4C74-9279-24BA802D4AFB}" name="Vind" dataDxfId="34"/>
    <tableColumn id="3" xr3:uid="{54D04A45-64DD-41A4-BCA6-A63F01E2A82A}" name="C20/25" dataDxfId="33">
      <calculatedColumnFormula>Table141719202122[[#This Row],[Åtgärdskåd]]</calculatedColumnFormula>
    </tableColumn>
    <tableColumn id="4" xr3:uid="{DD3D3939-6716-48E7-8CF9-62934939AD1B}" name="C25/30" dataDxfId="32">
      <calculatedColumnFormula>Table1417192021[[#This Row],[Åtgärdskåd]]</calculatedColumnFormula>
    </tableColumn>
    <tableColumn id="11" xr3:uid="{DB5F4426-DC19-4494-8AAD-27F12E909B3F}" name="C28/25" dataDxfId="31">
      <calculatedColumnFormula>Table14171920[[#This Row],[Åtgärdskåd]]</calculatedColumnFormula>
    </tableColumn>
    <tableColumn id="5" xr3:uid="{012579F0-B509-46A8-AFE0-45B71C4993DF}" name="C30/37" dataDxfId="30">
      <calculatedColumnFormula>Table141719[[#This Row],[Åtgärdskåd]]</calculatedColumnFormula>
    </tableColumn>
    <tableColumn id="6" xr3:uid="{CAF851EB-0542-4EE8-B6C9-F4565289114F}" name="C32/40" dataDxfId="29">
      <calculatedColumnFormula>Table1417[[#This Row],[Åtgärdskåd]]</calculatedColumnFormula>
    </tableColumn>
    <tableColumn id="7" xr3:uid="{EA982D14-86D6-4D56-867B-82B4E32D98A5}" name="C35/45" dataDxfId="28">
      <calculatedColumnFormula>Table1423[[#This Row],[Åtgärdskåd]]</calculatedColumnFormula>
    </tableColumn>
    <tableColumn id="8" xr3:uid="{F27BC86B-7803-4CCC-8AF6-79CD966417E2}" name="C40/50" dataDxfId="27">
      <calculatedColumnFormula>Table14[[#This Row],[Åtgärdskåd]]</calculatedColumnFormula>
    </tableColumn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43ACA7-E10E-4D0C-81B5-7C9874B28E2C}" name="Table7" displayName="Table7" ref="K1:P400" totalsRowShown="0">
  <autoFilter ref="K1:P400" xr:uid="{3543ACA7-E10E-4D0C-81B5-7C9874B28E2C}"/>
  <tableColumns count="6">
    <tableColumn id="1" xr3:uid="{CA70578D-B91C-4859-8029-517300CBDC0A}" name="Temperatur"/>
    <tableColumn id="2" xr3:uid="{FD23760E-672D-4C65-B1F3-2EB258999841}" name="Vind"/>
    <tableColumn id="6" xr3:uid="{29E669A7-3489-4A97-ADD4-0A70DECD1FD9}" name="Column1"/>
    <tableColumn id="3" xr3:uid="{48B9FF45-2B80-4D53-8FE2-DA8DE0BA35CC}" name="Åtgärdskåd"/>
    <tableColumn id="5" xr3:uid="{242E0ACE-CE80-480E-8230-C05C49D8A9F9}" name="Åtgärdssvårighet"/>
    <tableColumn id="4" xr3:uid="{5FED107D-20F6-448B-AB84-EF11F9A77698}" name="Nummer" dataDxfId="26" totalsRowDxfId="25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5D34C1-BEBA-41FB-9B95-289E1153E716}" name="Table13" displayName="Table13" ref="A1:I46" totalsRowShown="0" headerRowDxfId="146" tableBorderDxfId="145">
  <autoFilter ref="A1:I46" xr:uid="{AA5D34C1-BEBA-41FB-9B95-289E1153E716}"/>
  <tableColumns count="9">
    <tableColumn id="1" xr3:uid="{D95FC912-C274-4441-A328-D7D7043D77D9}" name="Temperatur [°C]" dataDxfId="144"/>
    <tableColumn id="2" xr3:uid="{E5739E17-063A-4BFD-A7B1-BFF9B650C437}" name="Vind [m/s]" dataDxfId="143"/>
    <tableColumn id="3" xr3:uid="{608630C1-A48B-4156-8AD8-EB99E69EE3A6}" name="C20/25" dataDxfId="142">
      <calculatedColumnFormula>'Data till Lathund, Kådgenererin'!P47</calculatedColumnFormula>
    </tableColumn>
    <tableColumn id="4" xr3:uid="{951BD516-0DEA-4229-9895-5A7E0B0E1A33}" name="C25/30" dataDxfId="141">
      <calculatedColumnFormula>'Data till Lathund, Kådgenererin'!P92</calculatedColumnFormula>
    </tableColumn>
    <tableColumn id="5" xr3:uid="{C0AC1345-4710-4D44-B13B-9625EC5F4A88}" name="C28/37" dataDxfId="140">
      <calculatedColumnFormula>'Data till Lathund, Kådgenererin'!P137</calculatedColumnFormula>
    </tableColumn>
    <tableColumn id="7" xr3:uid="{69B7D15E-2E16-41DB-98F2-8080F58BBCEE}" name="C30/37" dataDxfId="139">
      <calculatedColumnFormula>'Data till Lathund, Kådgenererin'!P182</calculatedColumnFormula>
    </tableColumn>
    <tableColumn id="8" xr3:uid="{BD44EA0D-5488-40EF-ADDD-198F994F97C0}" name="C32/40" dataDxfId="138">
      <calculatedColumnFormula>'Data till Lathund, Kådgenererin'!P227</calculatedColumnFormula>
    </tableColumn>
    <tableColumn id="9" xr3:uid="{8BE9B74C-4503-48A7-B2C3-F57E0A643B5E}" name="C35/45" dataDxfId="137">
      <calculatedColumnFormula>'Data till Lathund, Kådgenererin'!P272</calculatedColumnFormula>
    </tableColumn>
    <tableColumn id="6" xr3:uid="{FF64E311-DB46-4FC0-95C8-D41C6C004423}" name="C40/50" dataDxfId="136">
      <calculatedColumnFormula>'Data till Lathund, Kådgenererin'!P317</calculatedColumnFormula>
    </tableColumn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589F66F-79C3-47D1-9981-3883A7DD1338}" name="Table1518" displayName="Table1518" ref="K50:R95" totalsRowShown="0" headerRowDxfId="135" dataDxfId="133" headerRowBorderDxfId="134" tableBorderDxfId="132" totalsRowBorderDxfId="131">
  <autoFilter ref="K50:R95" xr:uid="{F589F66F-79C3-47D1-9981-3883A7DD1338}"/>
  <sortState xmlns:xlrd2="http://schemas.microsoft.com/office/spreadsheetml/2017/richdata2" ref="K51:P73">
    <sortCondition ref="K50:K73"/>
  </sortState>
  <tableColumns count="8">
    <tableColumn id="1" xr3:uid="{22BBB2E0-222C-4E4C-A6CC-1344E94A72BA}" name="Paket" dataDxfId="130">
      <calculatedColumnFormula>'Data till lathund Åtgärder'!A2</calculatedColumnFormula>
    </tableColumn>
    <tableColumn id="2" xr3:uid="{94394B0E-7624-4B96-8382-5A629E6E6217}" name="Slagghalt" dataDxfId="129">
      <calculatedColumnFormula>'Data till lathund Åtgärder'!B2</calculatedColumnFormula>
    </tableColumn>
    <tableColumn id="3" xr3:uid="{017ED356-F79A-489F-97CC-35463042223C}" name="Gjuttemperatur" dataDxfId="128">
      <calculatedColumnFormula>'Data till lathund Åtgärder'!C2</calculatedColumnFormula>
    </tableColumn>
    <tableColumn id="4" xr3:uid="{69392CC2-8AC5-44C2-9E12-F9DD96A8C2BA}" name="Temperatur motgjutningsyta" dataDxfId="127">
      <calculatedColumnFormula>'Data till lathund Åtgärder'!D2</calculatedColumnFormula>
    </tableColumn>
    <tableColumn id="5" xr3:uid="{8B9303D9-BF87-48FE-8822-AC1CECC9E4F0}" name="Väderskydd med uppvärmning" dataDxfId="126">
      <calculatedColumnFormula>'Data till lathund Åtgärder'!E2</calculatedColumnFormula>
    </tableColumn>
    <tableColumn id="6" xr3:uid="{B7483DE5-C4F9-475F-8D0D-F96122DA7E14}" name="Täckning [mm]" dataDxfId="125">
      <calculatedColumnFormula>'Data till lathund Åtgärder'!F2</calculatedColumnFormula>
    </tableColumn>
    <tableColumn id="7" xr3:uid="{4D5A30EE-1649-42C0-8899-3E0B54D7DF86}" name="OK&lt;14D" dataDxfId="124">
      <calculatedColumnFormula>'Data till lathund Åtgärder'!G2</calculatedColumnFormula>
    </tableColumn>
    <tableColumn id="8" xr3:uid="{CDEDF46B-FDBB-441F-8820-C39B910B9BF2}" name="OK&lt;21D" dataDxfId="123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2BB4E2-23A1-4EA7-9081-1344A1661165}" name="Table213" displayName="Table213" ref="L102:Q111" totalsRowShown="0" dataDxfId="122" tableBorderDxfId="121">
  <autoFilter ref="L102:Q111" xr:uid="{E22BB4E2-23A1-4EA7-9081-1344A1661165}"/>
  <tableColumns count="6">
    <tableColumn id="1" xr3:uid="{FE9C781D-1694-4C5A-9F19-04719DEF522A}" name="Utomhustemperatur" dataDxfId="120"/>
    <tableColumn id="2" xr3:uid="{1125BDF9-5B0F-4AB0-B0BA-E26D3B52DFC0}" name="Väderskydd" dataDxfId="119"/>
    <tableColumn id="3" xr3:uid="{BCB07AE1-66ED-4F64-B08A-F6D7C88B3976}" name="Riktig temp under" dataDxfId="118">
      <calculatedColumnFormula>M103+L103</calculatedColumnFormula>
    </tableColumn>
    <tableColumn id="4" xr3:uid="{1ED68B08-8197-403D-8231-4BAB34D022EF}" name="Temperatur motgjutiningsyta" dataDxfId="117"/>
    <tableColumn id="5" xr3:uid="{34EF6F0F-A0DA-4728-88D1-A412521A4138}" name="Gjuttemperatur" dataDxfId="116"/>
    <tableColumn id="6" xr3:uid="{9A113FED-F790-4334-AE07-01E115B525C6}" name="Islolering" dataDxfId="115"/>
  </tableColumns>
  <tableStyleInfo name="TableStyleLight2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5810A4-7D11-4B48-8FD9-43D48A738560}" name="Table8" displayName="Table8" ref="A1:J46" totalsRowShown="0">
  <autoFilter ref="A1:J46" xr:uid="{345810A4-7D11-4B48-8FD9-43D48A738560}"/>
  <sortState xmlns:xlrd2="http://schemas.microsoft.com/office/spreadsheetml/2017/richdata2" ref="A2:J37">
    <sortCondition descending="1" ref="B1:B37"/>
  </sortState>
  <tableColumns count="10">
    <tableColumn id="1" xr3:uid="{C350A2E8-4EA1-41E6-8B6D-2094DD6E81BF}" name="Paket"/>
    <tableColumn id="2" xr3:uid="{378D9ABC-063A-43E7-98CA-1E7510FFE6E4}" name="Slagg %" dataDxfId="24"/>
    <tableColumn id="3" xr3:uid="{0C95AF02-4E12-467D-A075-EBD74310392E}" name="Gjuttemperatur (varmbetong)" dataDxfId="23"/>
    <tableColumn id="4" xr3:uid="{027178B4-01F4-4A7A-B491-89025E93544A}" name="Temperatur motgjutningsyta" dataDxfId="22"/>
    <tableColumn id="5" xr3:uid="{F71E9080-36C8-491D-ABC4-930CD82755ED}" name="Väderskydd, uppvärmning (ingen vind)" dataDxfId="21"/>
    <tableColumn id="6" xr3:uid="{B3939368-0769-4EFD-BA0D-50EFD1725AAD}" name="Täckning [mm]" dataDxfId="20"/>
    <tableColumn id="7" xr3:uid="{7942FDE3-4E64-4DD1-BBA2-558353403018}" name="OK under 17 D" dataDxfId="19"/>
    <tableColumn id="10" xr3:uid="{5D6EB567-B659-4051-AF9A-1995EA165204}" name="Ok under 21 D" dataDxfId="18"/>
    <tableColumn id="9" xr3:uid="{59158F46-AEE7-4140-9237-B99D678EAFF6}" name="Column1" dataDxfId="17">
      <calculatedColumnFormula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calculatedColumnFormula>
    </tableColumn>
    <tableColumn id="8" xr3:uid="{DD09CFB0-7C6B-4FC9-A177-6E8DA8DB0B69}" name="Jobbighetsnivå">
      <calculatedColumnFormula>Table8[[#This Row],[Paket]]</calculatedColumnFormula>
    </tableColumn>
  </tableColumns>
  <tableStyleInfo name="TableStyleLight2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05AD252-0777-4FDA-8138-5BF7FEB75FAE}" name="Table11" displayName="Table11" ref="R3:S9" totalsRowShown="0" headerRowDxfId="16" headerRowBorderDxfId="15" tableBorderDxfId="14" totalsRowBorderDxfId="13">
  <autoFilter ref="R3:S9" xr:uid="{805AD252-0777-4FDA-8138-5BF7FEB75FAE}"/>
  <tableColumns count="2">
    <tableColumn id="1" xr3:uid="{37A468CD-FB5E-488F-8B36-2A7A33DFEC8E}" name="Utgångspunkt" dataDxfId="12"/>
    <tableColumn id="2" xr3:uid="{AF7F9697-54B5-41E2-AB3B-F1E40B1F46C2}" name="Värden" dataDxfId="11"/>
  </tableColumns>
  <tableStyleInfo name="TableStyleLight2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9BE0C98-4227-4EFF-BC91-940009C95142}" name="Table21316" displayName="Table21316" ref="J17:N26" totalsRowShown="0" dataDxfId="10" tableBorderDxfId="9">
  <autoFilter ref="J17:N26" xr:uid="{09BE0C98-4227-4EFF-BC91-940009C95142}"/>
  <tableColumns count="5">
    <tableColumn id="1" xr3:uid="{E808740D-D000-44A4-89A9-22C96AC11B67}" name="Utomhustemperatur" dataDxfId="8"/>
    <tableColumn id="2" xr3:uid="{E02F74FC-5156-4F7F-AF49-C29223EA08F6}" name="Väderskydd" dataDxfId="7"/>
    <tableColumn id="3" xr3:uid="{A41531BE-D35A-4DB5-9EED-D109706BB1B2}" name="Riktig temp under" dataDxfId="6">
      <calculatedColumnFormula>K18+J18</calculatedColumnFormula>
    </tableColumn>
    <tableColumn id="5" xr3:uid="{2BAD7A35-3D71-4503-98B8-EC25AF8073ED}" name="Gjuttemperatur" dataDxfId="5"/>
    <tableColumn id="6" xr3:uid="{8227DB11-8248-4EF2-9418-2ABA4EB9FD23}" name="Temperatur motgjutiningsyta" dataDxfId="4"/>
  </tableColumns>
  <tableStyleInfo name="TableStyleLight2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5766A4-6A80-41DA-BEF9-A3DF18B2BB1F}" name="Table1" displayName="Table1" ref="A1:J10" totalsRowShown="0">
  <autoFilter ref="A1:J10" xr:uid="{895766A4-6A80-41DA-BEF9-A3DF18B2BB1F}"/>
  <tableColumns count="10">
    <tableColumn id="1" xr3:uid="{B907E426-8DF6-4F91-BCAD-5B63915B3714}" name="Betongkvalitet" dataDxfId="3"/>
    <tableColumn id="2" xr3:uid="{21BE56EA-A41F-432D-97A9-437599D3C3B9}" name="Gjuttemperatur" dataDxfId="2"/>
    <tableColumn id="3" xr3:uid="{BA909C2F-391E-45F0-8CC2-4DC39D1D0179}" name="Temperatur motgjutningsyta"/>
    <tableColumn id="4" xr3:uid="{F2E822C6-B62F-412F-B9F3-511EAD2C6229}" name="Väderskydd, uppvärmning (ingen vind)"/>
    <tableColumn id="5" xr3:uid="{9515E847-487C-4417-8BEA-7E469958728C}" name="Täckning [mm]"/>
    <tableColumn id="10" xr3:uid="{41C186AE-ED2C-4CDE-922A-619CEC65061E}" name="Ok under 7 d"/>
    <tableColumn id="6" xr3:uid="{266A3926-B036-4817-847F-CBABA41C4FA3}" name="Ok under 14 d"/>
    <tableColumn id="7" xr3:uid="{201F93A9-DE71-4AF6-89C4-06C8BFC0D32E}" name="OK under 21 D"/>
    <tableColumn id="8" xr3:uid="{E435B805-BD6F-4418-BF66-C49B3E0AF779}" name="Slagg mäng"/>
    <tableColumn id="9" xr3:uid="{8D2C6B54-5591-417B-95F0-3D775A37D44F}" name="Komentar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3B268-9E98-4F7B-97A6-DEAFCF6CAA2E}">
  <sheetPr codeName="Sheet11"/>
  <dimension ref="A1:T46"/>
  <sheetViews>
    <sheetView tabSelected="1" zoomScale="115" zoomScaleNormal="115" workbookViewId="0">
      <selection activeCell="E32" sqref="E32"/>
    </sheetView>
  </sheetViews>
  <sheetFormatPr defaultRowHeight="15" x14ac:dyDescent="0.25"/>
  <cols>
    <col min="1" max="1" width="12.5703125" style="103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9" width="14.42578125" bestFit="1" customWidth="1"/>
    <col min="10" max="10" width="22" bestFit="1" customWidth="1"/>
    <col min="11" max="11" width="24.140625" bestFit="1" customWidth="1"/>
    <col min="12" max="17" width="11.28515625" customWidth="1"/>
    <col min="18" max="18" width="12.28515625" customWidth="1"/>
  </cols>
  <sheetData>
    <row r="1" spans="1:20" ht="30.75" thickBot="1" x14ac:dyDescent="0.3">
      <c r="A1" s="117" t="s">
        <v>52</v>
      </c>
      <c r="B1" s="115" t="s">
        <v>0</v>
      </c>
      <c r="C1" s="115" t="s">
        <v>1</v>
      </c>
      <c r="D1" s="115" t="s">
        <v>2</v>
      </c>
      <c r="E1" s="115" t="s">
        <v>3</v>
      </c>
      <c r="F1" s="13" t="s">
        <v>4</v>
      </c>
      <c r="G1" s="13" t="s">
        <v>5</v>
      </c>
      <c r="H1" s="13" t="s">
        <v>77</v>
      </c>
      <c r="I1" s="13" t="s">
        <v>78</v>
      </c>
      <c r="J1" s="13" t="s">
        <v>6</v>
      </c>
      <c r="K1" s="14" t="s">
        <v>7</v>
      </c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05">
        <v>0.3</v>
      </c>
      <c r="B2" s="108" t="s">
        <v>145</v>
      </c>
      <c r="C2" s="108" t="s">
        <v>146</v>
      </c>
      <c r="D2" s="19" t="s">
        <v>58</v>
      </c>
      <c r="E2" s="20" t="s">
        <v>11</v>
      </c>
      <c r="F2" s="6">
        <v>20</v>
      </c>
      <c r="G2" s="7">
        <v>0</v>
      </c>
      <c r="H2" s="6">
        <v>7</v>
      </c>
      <c r="I2" s="6" t="s">
        <v>85</v>
      </c>
      <c r="J2" s="7"/>
      <c r="K2" s="15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0,315 °C20 °CVindskyddPresenningOK7</v>
      </c>
      <c r="O2" t="s">
        <v>82</v>
      </c>
    </row>
    <row r="3" spans="1:20" x14ac:dyDescent="0.25">
      <c r="A3" s="106">
        <v>0.2</v>
      </c>
      <c r="B3" s="116" t="s">
        <v>145</v>
      </c>
      <c r="C3" s="116" t="s">
        <v>146</v>
      </c>
      <c r="D3" s="2" t="s">
        <v>9</v>
      </c>
      <c r="E3" s="21" t="s">
        <v>9</v>
      </c>
      <c r="F3">
        <v>20</v>
      </c>
      <c r="G3" s="9">
        <v>2</v>
      </c>
      <c r="H3" s="2">
        <v>6.8</v>
      </c>
      <c r="I3" t="s">
        <v>85</v>
      </c>
      <c r="J3" s="9"/>
      <c r="K3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0,215 °C20 °C--OK7</v>
      </c>
      <c r="O3" t="s">
        <v>82</v>
      </c>
    </row>
    <row r="4" spans="1:20" x14ac:dyDescent="0.25">
      <c r="A4" s="106">
        <v>0.2</v>
      </c>
      <c r="B4" s="116" t="s">
        <v>145</v>
      </c>
      <c r="C4" s="116" t="s">
        <v>146</v>
      </c>
      <c r="D4" s="2" t="s">
        <v>9</v>
      </c>
      <c r="E4" s="21" t="s">
        <v>9</v>
      </c>
      <c r="F4">
        <v>20</v>
      </c>
      <c r="G4" s="9">
        <v>7</v>
      </c>
      <c r="H4">
        <v>7</v>
      </c>
      <c r="I4" t="s">
        <v>85</v>
      </c>
      <c r="J4" s="9"/>
      <c r="K4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0,215 °C20 °C--OK7</v>
      </c>
      <c r="O4" t="s">
        <v>82</v>
      </c>
    </row>
    <row r="5" spans="1:20" x14ac:dyDescent="0.25">
      <c r="A5" s="106">
        <v>0.2</v>
      </c>
      <c r="B5" s="116" t="s">
        <v>145</v>
      </c>
      <c r="C5" s="116" t="s">
        <v>146</v>
      </c>
      <c r="D5" s="2" t="s">
        <v>9</v>
      </c>
      <c r="E5" s="21" t="s">
        <v>9</v>
      </c>
      <c r="F5">
        <v>20</v>
      </c>
      <c r="G5" s="9">
        <v>12</v>
      </c>
      <c r="H5">
        <v>7</v>
      </c>
      <c r="I5" t="s">
        <v>85</v>
      </c>
      <c r="J5" s="9"/>
      <c r="K5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0,215 °C20 °C--OK7</v>
      </c>
      <c r="O5" t="s">
        <v>82</v>
      </c>
    </row>
    <row r="6" spans="1:20" ht="15.75" thickBot="1" x14ac:dyDescent="0.3">
      <c r="A6" s="107">
        <v>0.2</v>
      </c>
      <c r="B6" s="109" t="s">
        <v>145</v>
      </c>
      <c r="C6" s="109" t="s">
        <v>146</v>
      </c>
      <c r="D6" s="22" t="s">
        <v>9</v>
      </c>
      <c r="E6" s="23" t="s">
        <v>9</v>
      </c>
      <c r="F6" s="11">
        <v>20</v>
      </c>
      <c r="G6" s="12">
        <v>20</v>
      </c>
      <c r="H6" s="11">
        <v>7</v>
      </c>
      <c r="I6" s="11" t="s">
        <v>85</v>
      </c>
      <c r="J6" s="12"/>
      <c r="K6" s="17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0,215 °C20 °C--OK7</v>
      </c>
      <c r="O6" t="s">
        <v>82</v>
      </c>
    </row>
    <row r="7" spans="1:20" x14ac:dyDescent="0.25">
      <c r="A7" s="106">
        <v>0.1</v>
      </c>
      <c r="B7" s="116" t="s">
        <v>145</v>
      </c>
      <c r="C7" s="116" t="s">
        <v>146</v>
      </c>
      <c r="D7" s="2" t="s">
        <v>9</v>
      </c>
      <c r="E7" s="21" t="s">
        <v>9</v>
      </c>
      <c r="F7" s="5">
        <v>15</v>
      </c>
      <c r="G7" s="7">
        <v>0</v>
      </c>
      <c r="H7" s="6">
        <v>6.2</v>
      </c>
      <c r="I7" s="6" t="s">
        <v>85</v>
      </c>
      <c r="J7" s="7"/>
      <c r="K7" s="15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0,115 °C20 °C--OK7</v>
      </c>
    </row>
    <row r="8" spans="1:20" x14ac:dyDescent="0.25">
      <c r="A8" s="106">
        <v>0.1</v>
      </c>
      <c r="B8" s="116" t="s">
        <v>145</v>
      </c>
      <c r="C8" s="116" t="s">
        <v>146</v>
      </c>
      <c r="D8" s="2" t="s">
        <v>58</v>
      </c>
      <c r="E8" s="21" t="s">
        <v>9</v>
      </c>
      <c r="F8" s="8">
        <v>15</v>
      </c>
      <c r="G8" s="9">
        <v>2</v>
      </c>
      <c r="H8">
        <v>6.9</v>
      </c>
      <c r="I8" t="s">
        <v>85</v>
      </c>
      <c r="J8" s="9"/>
      <c r="K8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0,115 °C20 °CVindskydd-OK7</v>
      </c>
    </row>
    <row r="9" spans="1:20" x14ac:dyDescent="0.25">
      <c r="A9" s="106">
        <v>0.1</v>
      </c>
      <c r="B9" s="116" t="s">
        <v>145</v>
      </c>
      <c r="C9" s="116" t="s">
        <v>146</v>
      </c>
      <c r="D9" s="2" t="s">
        <v>58</v>
      </c>
      <c r="E9" s="21" t="s">
        <v>9</v>
      </c>
      <c r="F9" s="8">
        <v>15</v>
      </c>
      <c r="G9" s="9">
        <v>7</v>
      </c>
      <c r="H9">
        <v>7</v>
      </c>
      <c r="I9" t="s">
        <v>85</v>
      </c>
      <c r="J9" s="9"/>
      <c r="K9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0,115 °C20 °CVindskydd-OK7</v>
      </c>
    </row>
    <row r="10" spans="1:20" x14ac:dyDescent="0.25">
      <c r="A10" s="106">
        <v>0.1</v>
      </c>
      <c r="B10" s="116" t="s">
        <v>145</v>
      </c>
      <c r="C10" s="116" t="s">
        <v>146</v>
      </c>
      <c r="D10" s="2" t="s">
        <v>58</v>
      </c>
      <c r="E10" s="21" t="s">
        <v>11</v>
      </c>
      <c r="F10" s="8">
        <v>15</v>
      </c>
      <c r="G10" s="9">
        <v>12</v>
      </c>
      <c r="H10">
        <v>6.9</v>
      </c>
      <c r="I10" t="s">
        <v>85</v>
      </c>
      <c r="J10" s="9"/>
      <c r="K10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0,115 °C20 °CVindskyddPresenningOK7</v>
      </c>
    </row>
    <row r="11" spans="1:20" ht="15.75" thickBot="1" x14ac:dyDescent="0.3">
      <c r="A11" s="107">
        <v>0.1</v>
      </c>
      <c r="B11" s="109" t="s">
        <v>145</v>
      </c>
      <c r="C11" s="109" t="s">
        <v>146</v>
      </c>
      <c r="D11" s="22" t="s">
        <v>58</v>
      </c>
      <c r="E11" s="23" t="s">
        <v>11</v>
      </c>
      <c r="F11" s="10">
        <v>15</v>
      </c>
      <c r="G11" s="12">
        <v>20</v>
      </c>
      <c r="H11" s="11">
        <v>6.9</v>
      </c>
      <c r="I11" s="11" t="s">
        <v>85</v>
      </c>
      <c r="J11" s="12"/>
      <c r="K11" s="17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0,115 °C20 °CVindskyddPresenningOK7</v>
      </c>
    </row>
    <row r="12" spans="1:20" x14ac:dyDescent="0.25">
      <c r="A12" s="105" t="s">
        <v>83</v>
      </c>
      <c r="B12" s="108" t="s">
        <v>145</v>
      </c>
      <c r="C12" s="108" t="s">
        <v>146</v>
      </c>
      <c r="D12" s="18" t="s">
        <v>9</v>
      </c>
      <c r="E12" s="20" t="s">
        <v>9</v>
      </c>
      <c r="F12" s="5">
        <v>10</v>
      </c>
      <c r="G12" s="7">
        <v>0</v>
      </c>
      <c r="H12" s="6">
        <v>6.3</v>
      </c>
      <c r="I12" s="6" t="s">
        <v>85</v>
      </c>
      <c r="J12" s="7"/>
      <c r="K12" s="15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Bas+0%15 °C20 °C--OK7</v>
      </c>
    </row>
    <row r="13" spans="1:20" x14ac:dyDescent="0.25">
      <c r="A13" s="106" t="s">
        <v>83</v>
      </c>
      <c r="B13" s="116" t="s">
        <v>145</v>
      </c>
      <c r="C13" s="116" t="s">
        <v>146</v>
      </c>
      <c r="D13" s="2" t="s">
        <v>58</v>
      </c>
      <c r="E13" s="21" t="s">
        <v>9</v>
      </c>
      <c r="F13" s="8">
        <v>10</v>
      </c>
      <c r="G13" s="9">
        <v>2</v>
      </c>
      <c r="H13">
        <v>7</v>
      </c>
      <c r="I13" t="s">
        <v>85</v>
      </c>
      <c r="J13" s="9"/>
      <c r="K13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Bas+0%15 °C20 °CVindskydd-OK7</v>
      </c>
    </row>
    <row r="14" spans="1:20" x14ac:dyDescent="0.25">
      <c r="A14" s="106" t="s">
        <v>9</v>
      </c>
      <c r="B14" s="116" t="s">
        <v>9</v>
      </c>
      <c r="C14" s="116" t="s">
        <v>9</v>
      </c>
      <c r="D14" s="2" t="s">
        <v>9</v>
      </c>
      <c r="E14" s="21" t="s">
        <v>9</v>
      </c>
      <c r="F14" s="8">
        <v>10</v>
      </c>
      <c r="G14" s="9">
        <v>7</v>
      </c>
      <c r="J14" s="9" t="s">
        <v>18</v>
      </c>
      <c r="K14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-----Når ej 70%</v>
      </c>
    </row>
    <row r="15" spans="1:20" x14ac:dyDescent="0.25">
      <c r="A15" s="106" t="s">
        <v>9</v>
      </c>
      <c r="B15" s="116" t="s">
        <v>9</v>
      </c>
      <c r="C15" s="116" t="s">
        <v>9</v>
      </c>
      <c r="D15" s="2" t="s">
        <v>9</v>
      </c>
      <c r="E15" s="21" t="s">
        <v>9</v>
      </c>
      <c r="F15" s="8">
        <v>10</v>
      </c>
      <c r="G15" s="9">
        <v>12</v>
      </c>
      <c r="J15" s="9" t="s">
        <v>18</v>
      </c>
      <c r="K15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-----Når ej 70%</v>
      </c>
    </row>
    <row r="16" spans="1:20" ht="15.75" thickBot="1" x14ac:dyDescent="0.3">
      <c r="A16" s="107" t="s">
        <v>9</v>
      </c>
      <c r="B16" s="109" t="s">
        <v>9</v>
      </c>
      <c r="C16" s="109" t="s">
        <v>9</v>
      </c>
      <c r="D16" s="22" t="s">
        <v>9</v>
      </c>
      <c r="E16" s="23" t="s">
        <v>9</v>
      </c>
      <c r="F16" s="10">
        <v>10</v>
      </c>
      <c r="G16" s="12">
        <v>20</v>
      </c>
      <c r="H16" s="11"/>
      <c r="I16" s="11"/>
      <c r="J16" s="12" t="s">
        <v>18</v>
      </c>
      <c r="K16" s="17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-----Når ej 70%</v>
      </c>
    </row>
    <row r="17" spans="1:11" x14ac:dyDescent="0.25">
      <c r="A17" s="105">
        <v>0.4</v>
      </c>
      <c r="B17" s="141">
        <f>Förutsättningar!M$21</f>
        <v>20</v>
      </c>
      <c r="C17" s="144">
        <f>Förutsättningar!N$21</f>
        <v>5</v>
      </c>
      <c r="D17" s="18" t="s">
        <v>148</v>
      </c>
      <c r="E17" s="20" t="s">
        <v>151</v>
      </c>
      <c r="F17" s="5">
        <v>5</v>
      </c>
      <c r="G17" s="7">
        <v>0</v>
      </c>
      <c r="H17" s="6">
        <v>6.8</v>
      </c>
      <c r="I17" s="6" t="s">
        <v>85</v>
      </c>
      <c r="J17" s="7"/>
      <c r="K17" s="15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0,4205Vindskydd och 20 °C uppvärmning30 mmOK7</v>
      </c>
    </row>
    <row r="18" spans="1:11" x14ac:dyDescent="0.25">
      <c r="A18" s="106">
        <v>0.4</v>
      </c>
      <c r="B18" s="142">
        <f>Förutsättningar!M$21</f>
        <v>20</v>
      </c>
      <c r="C18" s="145">
        <f>Förutsättningar!N$21</f>
        <v>5</v>
      </c>
      <c r="D18" s="2" t="s">
        <v>148</v>
      </c>
      <c r="E18" s="21" t="s">
        <v>151</v>
      </c>
      <c r="F18" s="8">
        <v>5</v>
      </c>
      <c r="G18" s="9">
        <v>2</v>
      </c>
      <c r="H18">
        <v>6.9</v>
      </c>
      <c r="I18" t="s">
        <v>85</v>
      </c>
      <c r="J18" s="9"/>
      <c r="K18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0,4205Vindskydd och 20 °C uppvärmning30 mmOK7</v>
      </c>
    </row>
    <row r="19" spans="1:11" x14ac:dyDescent="0.25">
      <c r="A19" s="106">
        <v>0.4</v>
      </c>
      <c r="B19" s="142">
        <f>Förutsättningar!M$21</f>
        <v>20</v>
      </c>
      <c r="C19" s="145">
        <f>Förutsättningar!N$21</f>
        <v>5</v>
      </c>
      <c r="D19" s="2" t="s">
        <v>148</v>
      </c>
      <c r="E19" s="21" t="s">
        <v>41</v>
      </c>
      <c r="F19" s="8">
        <v>5</v>
      </c>
      <c r="G19" s="9">
        <v>7</v>
      </c>
      <c r="H19">
        <v>6.3</v>
      </c>
      <c r="I19" t="s">
        <v>85</v>
      </c>
      <c r="J19" s="9"/>
      <c r="K19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0,4205Vindskydd och 20 °C uppvärmning50 mmOK7</v>
      </c>
    </row>
    <row r="20" spans="1:11" x14ac:dyDescent="0.25">
      <c r="A20" s="106">
        <v>0.4</v>
      </c>
      <c r="B20" s="142">
        <f>Förutsättningar!M$21</f>
        <v>20</v>
      </c>
      <c r="C20" s="145">
        <f>Förutsättningar!N$21</f>
        <v>5</v>
      </c>
      <c r="D20" s="2" t="s">
        <v>148</v>
      </c>
      <c r="E20" s="21" t="s">
        <v>41</v>
      </c>
      <c r="F20" s="8">
        <v>5</v>
      </c>
      <c r="G20" s="9">
        <v>12</v>
      </c>
      <c r="H20">
        <v>6.3</v>
      </c>
      <c r="I20" t="s">
        <v>85</v>
      </c>
      <c r="J20" s="9"/>
      <c r="K20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0,4205Vindskydd och 20 °C uppvärmning50 mmOK7</v>
      </c>
    </row>
    <row r="21" spans="1:11" ht="15.75" thickBot="1" x14ac:dyDescent="0.3">
      <c r="A21" s="107">
        <v>0.4</v>
      </c>
      <c r="B21" s="143">
        <f>Förutsättningar!M$21</f>
        <v>20</v>
      </c>
      <c r="C21" s="146">
        <f>Förutsättningar!N$21</f>
        <v>5</v>
      </c>
      <c r="D21" s="22" t="s">
        <v>148</v>
      </c>
      <c r="E21" s="23" t="s">
        <v>41</v>
      </c>
      <c r="F21" s="10">
        <v>5</v>
      </c>
      <c r="G21" s="12">
        <v>20</v>
      </c>
      <c r="H21" s="11">
        <v>6.3</v>
      </c>
      <c r="I21" s="11" t="s">
        <v>85</v>
      </c>
      <c r="J21" s="12"/>
      <c r="K21" s="17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0,4205Vindskydd och 20 °C uppvärmning50 mmOK7</v>
      </c>
    </row>
    <row r="22" spans="1:11" x14ac:dyDescent="0.25">
      <c r="A22" s="105">
        <v>0.3</v>
      </c>
      <c r="B22" s="141">
        <f>Förutsättningar!M$22</f>
        <v>20</v>
      </c>
      <c r="C22" s="144">
        <f>Förutsättningar!N$22</f>
        <v>5</v>
      </c>
      <c r="D22" s="18" t="s">
        <v>148</v>
      </c>
      <c r="E22" s="20" t="s">
        <v>41</v>
      </c>
      <c r="F22" s="5">
        <v>0</v>
      </c>
      <c r="G22" s="7">
        <v>0</v>
      </c>
      <c r="H22" s="6">
        <v>6.9</v>
      </c>
      <c r="I22" s="6" t="s">
        <v>85</v>
      </c>
      <c r="J22" s="7"/>
      <c r="K22" s="15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0,3205Vindskydd och 20 °C uppvärmning50 mmOK7</v>
      </c>
    </row>
    <row r="23" spans="1:11" x14ac:dyDescent="0.25">
      <c r="A23" s="106">
        <v>0.3</v>
      </c>
      <c r="B23" s="142">
        <f>Förutsättningar!M$22</f>
        <v>20</v>
      </c>
      <c r="C23" s="145">
        <f>Förutsättningar!N$22</f>
        <v>5</v>
      </c>
      <c r="D23" s="2" t="s">
        <v>148</v>
      </c>
      <c r="E23" s="21" t="s">
        <v>41</v>
      </c>
      <c r="F23" s="8">
        <v>0</v>
      </c>
      <c r="G23" s="9">
        <v>2</v>
      </c>
      <c r="H23">
        <v>7</v>
      </c>
      <c r="I23" t="s">
        <v>85</v>
      </c>
      <c r="J23" s="9"/>
      <c r="K23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0,3205Vindskydd och 20 °C uppvärmning50 mmOK7</v>
      </c>
    </row>
    <row r="24" spans="1:11" x14ac:dyDescent="0.25">
      <c r="A24" s="106">
        <v>0.2</v>
      </c>
      <c r="B24" s="142">
        <f>Förutsättningar!M$22</f>
        <v>20</v>
      </c>
      <c r="C24" s="145">
        <f>Förutsättningar!N$22</f>
        <v>5</v>
      </c>
      <c r="D24" s="2" t="s">
        <v>148</v>
      </c>
      <c r="E24" s="21" t="s">
        <v>41</v>
      </c>
      <c r="F24" s="8">
        <v>0</v>
      </c>
      <c r="G24" s="9">
        <v>7</v>
      </c>
      <c r="H24">
        <v>6.1</v>
      </c>
      <c r="I24" t="s">
        <v>85</v>
      </c>
      <c r="J24" s="9"/>
      <c r="K24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0,2205Vindskydd och 20 °C uppvärmning50 mmOK7</v>
      </c>
    </row>
    <row r="25" spans="1:11" x14ac:dyDescent="0.25">
      <c r="A25" s="106">
        <v>0.2</v>
      </c>
      <c r="B25" s="142">
        <f>Förutsättningar!M$22</f>
        <v>20</v>
      </c>
      <c r="C25" s="145">
        <f>Förutsättningar!N$22</f>
        <v>5</v>
      </c>
      <c r="D25" s="2" t="s">
        <v>148</v>
      </c>
      <c r="E25" s="21" t="s">
        <v>41</v>
      </c>
      <c r="F25" s="8">
        <v>0</v>
      </c>
      <c r="G25" s="9">
        <v>12</v>
      </c>
      <c r="H25">
        <v>6.2</v>
      </c>
      <c r="I25" t="s">
        <v>85</v>
      </c>
      <c r="J25" s="9"/>
      <c r="K25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0,2205Vindskydd och 20 °C uppvärmning50 mmOK7</v>
      </c>
    </row>
    <row r="26" spans="1:11" ht="15.75" thickBot="1" x14ac:dyDescent="0.3">
      <c r="A26" s="107">
        <v>0.2</v>
      </c>
      <c r="B26" s="143">
        <f>Förutsättningar!M$22</f>
        <v>20</v>
      </c>
      <c r="C26" s="146">
        <f>Förutsättningar!N$22</f>
        <v>5</v>
      </c>
      <c r="D26" s="22" t="s">
        <v>148</v>
      </c>
      <c r="E26" s="23" t="s">
        <v>41</v>
      </c>
      <c r="F26" s="10">
        <v>0</v>
      </c>
      <c r="G26" s="12">
        <v>20</v>
      </c>
      <c r="H26" s="11">
        <v>6.2</v>
      </c>
      <c r="I26" s="11" t="s">
        <v>85</v>
      </c>
      <c r="J26" s="12"/>
      <c r="K26" s="17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0,2205Vindskydd och 20 °C uppvärmning50 mmOK7</v>
      </c>
    </row>
    <row r="27" spans="1:11" x14ac:dyDescent="0.25">
      <c r="A27" s="105">
        <v>0.1</v>
      </c>
      <c r="B27" s="141">
        <f>Förutsättningar!M$23</f>
        <v>20</v>
      </c>
      <c r="C27" s="144">
        <f>Förutsättningar!N$23</f>
        <v>5</v>
      </c>
      <c r="D27" s="18" t="s">
        <v>148</v>
      </c>
      <c r="E27" s="20" t="s">
        <v>151</v>
      </c>
      <c r="F27" s="5">
        <v>-5</v>
      </c>
      <c r="G27" s="7">
        <v>0</v>
      </c>
      <c r="H27" s="6">
        <v>6.4</v>
      </c>
      <c r="I27" s="6" t="s">
        <v>85</v>
      </c>
      <c r="J27" s="7"/>
      <c r="K27" s="15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0,1205Vindskydd och 20 °C uppvärmning30 mmOK7</v>
      </c>
    </row>
    <row r="28" spans="1:11" x14ac:dyDescent="0.25">
      <c r="A28" s="106">
        <v>0.1</v>
      </c>
      <c r="B28" s="142">
        <f>Förutsättningar!M$23</f>
        <v>20</v>
      </c>
      <c r="C28" s="145">
        <f>Förutsättningar!N$23</f>
        <v>5</v>
      </c>
      <c r="D28" s="2" t="s">
        <v>148</v>
      </c>
      <c r="E28" s="21" t="s">
        <v>151</v>
      </c>
      <c r="F28" s="8">
        <v>-5</v>
      </c>
      <c r="G28" s="9">
        <v>2</v>
      </c>
      <c r="H28">
        <v>6.8</v>
      </c>
      <c r="I28" t="s">
        <v>85</v>
      </c>
      <c r="J28" s="9"/>
      <c r="K28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0,1205Vindskydd och 20 °C uppvärmning30 mmOK7</v>
      </c>
    </row>
    <row r="29" spans="1:11" x14ac:dyDescent="0.25">
      <c r="A29" s="106">
        <v>0.1</v>
      </c>
      <c r="B29" s="142">
        <f>Förutsättningar!M$23</f>
        <v>20</v>
      </c>
      <c r="C29" s="145">
        <f>Förutsättningar!N$23</f>
        <v>5</v>
      </c>
      <c r="D29" s="2" t="s">
        <v>148</v>
      </c>
      <c r="E29" s="21" t="s">
        <v>41</v>
      </c>
      <c r="F29" s="8">
        <v>-5</v>
      </c>
      <c r="G29" s="9">
        <v>7</v>
      </c>
      <c r="H29">
        <v>5.8</v>
      </c>
      <c r="I29" t="s">
        <v>85</v>
      </c>
      <c r="J29" s="9"/>
      <c r="K29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0,1205Vindskydd och 20 °C uppvärmning50 mmOK7</v>
      </c>
    </row>
    <row r="30" spans="1:11" x14ac:dyDescent="0.25">
      <c r="A30" s="106">
        <v>0.1</v>
      </c>
      <c r="B30" s="142">
        <f>Förutsättningar!M$23</f>
        <v>20</v>
      </c>
      <c r="C30" s="145">
        <f>Förutsättningar!N$23</f>
        <v>5</v>
      </c>
      <c r="D30" s="2" t="s">
        <v>148</v>
      </c>
      <c r="E30" s="21" t="s">
        <v>41</v>
      </c>
      <c r="F30" s="8">
        <v>-5</v>
      </c>
      <c r="G30" s="9">
        <v>12</v>
      </c>
      <c r="H30">
        <v>6</v>
      </c>
      <c r="I30" t="s">
        <v>85</v>
      </c>
      <c r="J30" s="9"/>
      <c r="K30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0,1205Vindskydd och 20 °C uppvärmning50 mmOK7</v>
      </c>
    </row>
    <row r="31" spans="1:11" ht="15.75" thickBot="1" x14ac:dyDescent="0.3">
      <c r="A31" s="107">
        <v>0.1</v>
      </c>
      <c r="B31" s="143">
        <f>Förutsättningar!M$23</f>
        <v>20</v>
      </c>
      <c r="C31" s="146">
        <f>Förutsättningar!N$23</f>
        <v>5</v>
      </c>
      <c r="D31" s="22" t="s">
        <v>148</v>
      </c>
      <c r="E31" s="23" t="s">
        <v>41</v>
      </c>
      <c r="F31" s="10">
        <v>-5</v>
      </c>
      <c r="G31" s="12">
        <v>20</v>
      </c>
      <c r="H31" s="11">
        <v>6</v>
      </c>
      <c r="I31" s="11" t="s">
        <v>85</v>
      </c>
      <c r="J31" s="12"/>
      <c r="K31" s="17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0,1205Vindskydd och 20 °C uppvärmning50 mmOK7</v>
      </c>
    </row>
    <row r="32" spans="1:11" x14ac:dyDescent="0.25">
      <c r="A32" s="105" t="s">
        <v>83</v>
      </c>
      <c r="B32" s="141">
        <f>Förutsättningar!M$24</f>
        <v>20</v>
      </c>
      <c r="C32" s="144">
        <f>Förutsättningar!N$24</f>
        <v>5</v>
      </c>
      <c r="D32" s="18" t="s">
        <v>148</v>
      </c>
      <c r="E32" s="20" t="s">
        <v>151</v>
      </c>
      <c r="F32" s="5">
        <v>-10</v>
      </c>
      <c r="G32" s="7">
        <v>0</v>
      </c>
      <c r="H32" s="6">
        <v>6.2</v>
      </c>
      <c r="I32" s="6" t="s">
        <v>85</v>
      </c>
      <c r="J32" s="7"/>
      <c r="K32" s="15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Bas+0%205Vindskydd och 20 °C uppvärmning30 mmOK7</v>
      </c>
    </row>
    <row r="33" spans="1:11" x14ac:dyDescent="0.25">
      <c r="A33" s="106" t="s">
        <v>83</v>
      </c>
      <c r="B33" s="142">
        <f>Förutsättningar!M$24</f>
        <v>20</v>
      </c>
      <c r="C33" s="145">
        <f>Förutsättningar!N$24</f>
        <v>5</v>
      </c>
      <c r="D33" s="2" t="s">
        <v>148</v>
      </c>
      <c r="E33" s="21" t="s">
        <v>151</v>
      </c>
      <c r="F33" s="8">
        <v>-10</v>
      </c>
      <c r="G33" s="9">
        <v>2</v>
      </c>
      <c r="H33">
        <v>6.8</v>
      </c>
      <c r="I33" t="s">
        <v>85</v>
      </c>
      <c r="J33" s="9"/>
      <c r="K33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Bas+0%205Vindskydd och 20 °C uppvärmning30 mmOK7</v>
      </c>
    </row>
    <row r="34" spans="1:11" x14ac:dyDescent="0.25">
      <c r="A34" s="106" t="s">
        <v>83</v>
      </c>
      <c r="B34" s="142">
        <f>Förutsättningar!M$24</f>
        <v>20</v>
      </c>
      <c r="C34" s="145">
        <f>Förutsättningar!N$24</f>
        <v>5</v>
      </c>
      <c r="D34" s="2" t="s">
        <v>148</v>
      </c>
      <c r="E34" s="21" t="s">
        <v>41</v>
      </c>
      <c r="F34" s="8">
        <v>-10</v>
      </c>
      <c r="G34" s="9">
        <v>7</v>
      </c>
      <c r="H34">
        <v>5.5</v>
      </c>
      <c r="I34" t="s">
        <v>85</v>
      </c>
      <c r="J34" s="9"/>
      <c r="K34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Bas+0%205Vindskydd och 20 °C uppvärmning50 mmOK7</v>
      </c>
    </row>
    <row r="35" spans="1:11" x14ac:dyDescent="0.25">
      <c r="A35" s="106" t="s">
        <v>9</v>
      </c>
      <c r="B35" s="116" t="s">
        <v>9</v>
      </c>
      <c r="C35" s="116" t="s">
        <v>9</v>
      </c>
      <c r="D35" s="2" t="s">
        <v>9</v>
      </c>
      <c r="E35" s="21" t="s">
        <v>9</v>
      </c>
      <c r="F35" s="8">
        <v>-10</v>
      </c>
      <c r="G35" s="9">
        <v>12</v>
      </c>
      <c r="J35" s="9" t="s">
        <v>12</v>
      </c>
      <c r="K35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-----Frys innan täck</v>
      </c>
    </row>
    <row r="36" spans="1:11" ht="15.75" thickBot="1" x14ac:dyDescent="0.3">
      <c r="A36" s="107" t="s">
        <v>9</v>
      </c>
      <c r="B36" s="109" t="s">
        <v>9</v>
      </c>
      <c r="C36" s="109" t="s">
        <v>9</v>
      </c>
      <c r="D36" s="22" t="s">
        <v>9</v>
      </c>
      <c r="E36" s="23" t="s">
        <v>9</v>
      </c>
      <c r="F36" s="10">
        <v>-10</v>
      </c>
      <c r="G36" s="12">
        <v>20</v>
      </c>
      <c r="H36" s="11"/>
      <c r="I36" s="11"/>
      <c r="J36" s="12" t="s">
        <v>12</v>
      </c>
      <c r="K36" s="17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-----Frys innan täck</v>
      </c>
    </row>
    <row r="37" spans="1:11" x14ac:dyDescent="0.25">
      <c r="A37" s="105" t="s">
        <v>9</v>
      </c>
      <c r="B37" s="108" t="s">
        <v>9</v>
      </c>
      <c r="C37" s="108" t="s">
        <v>9</v>
      </c>
      <c r="D37" s="18" t="s">
        <v>9</v>
      </c>
      <c r="E37" s="20" t="s">
        <v>9</v>
      </c>
      <c r="F37" s="5">
        <v>-15</v>
      </c>
      <c r="G37" s="7">
        <v>0</v>
      </c>
      <c r="H37" s="6"/>
      <c r="I37" s="6"/>
      <c r="J37" s="7" t="s">
        <v>18</v>
      </c>
      <c r="K37" s="15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-----Når ej 70%</v>
      </c>
    </row>
    <row r="38" spans="1:11" x14ac:dyDescent="0.25">
      <c r="A38" s="106" t="s">
        <v>9</v>
      </c>
      <c r="B38" s="116" t="s">
        <v>9</v>
      </c>
      <c r="C38" s="116" t="s">
        <v>9</v>
      </c>
      <c r="D38" s="2" t="s">
        <v>9</v>
      </c>
      <c r="E38" s="21" t="s">
        <v>9</v>
      </c>
      <c r="F38" s="8">
        <v>-15</v>
      </c>
      <c r="G38" s="9">
        <v>2</v>
      </c>
      <c r="J38" s="9" t="s">
        <v>18</v>
      </c>
      <c r="K38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-----Når ej 70%</v>
      </c>
    </row>
    <row r="39" spans="1:11" x14ac:dyDescent="0.25">
      <c r="A39" s="106" t="s">
        <v>9</v>
      </c>
      <c r="B39" s="116" t="s">
        <v>9</v>
      </c>
      <c r="C39" s="116" t="s">
        <v>9</v>
      </c>
      <c r="D39" s="2" t="s">
        <v>9</v>
      </c>
      <c r="E39" s="21" t="s">
        <v>9</v>
      </c>
      <c r="F39" s="8">
        <v>-15</v>
      </c>
      <c r="G39" s="9">
        <v>7</v>
      </c>
      <c r="J39" s="9" t="s">
        <v>12</v>
      </c>
      <c r="K39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-----Frys innan täck</v>
      </c>
    </row>
    <row r="40" spans="1:11" x14ac:dyDescent="0.25">
      <c r="A40" s="106" t="s">
        <v>9</v>
      </c>
      <c r="B40" s="116" t="s">
        <v>9</v>
      </c>
      <c r="C40" s="116" t="s">
        <v>9</v>
      </c>
      <c r="D40" s="2" t="s">
        <v>9</v>
      </c>
      <c r="E40" s="21" t="s">
        <v>9</v>
      </c>
      <c r="F40" s="8">
        <v>-15</v>
      </c>
      <c r="G40" s="9">
        <v>12</v>
      </c>
      <c r="J40" s="9" t="s">
        <v>12</v>
      </c>
      <c r="K40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-----Frys innan täck</v>
      </c>
    </row>
    <row r="41" spans="1:11" ht="15.75" thickBot="1" x14ac:dyDescent="0.3">
      <c r="A41" s="107" t="s">
        <v>9</v>
      </c>
      <c r="B41" s="109" t="s">
        <v>9</v>
      </c>
      <c r="C41" s="109" t="s">
        <v>9</v>
      </c>
      <c r="D41" s="22" t="s">
        <v>9</v>
      </c>
      <c r="E41" s="23" t="s">
        <v>9</v>
      </c>
      <c r="F41" s="10">
        <v>-15</v>
      </c>
      <c r="G41" s="12">
        <v>20</v>
      </c>
      <c r="H41" s="11"/>
      <c r="I41" s="11"/>
      <c r="J41" s="12" t="s">
        <v>12</v>
      </c>
      <c r="K41" s="17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-----Frys innan täck</v>
      </c>
    </row>
    <row r="42" spans="1:11" x14ac:dyDescent="0.25">
      <c r="A42" s="106" t="s">
        <v>9</v>
      </c>
      <c r="B42" s="108" t="s">
        <v>9</v>
      </c>
      <c r="C42" s="108" t="s">
        <v>9</v>
      </c>
      <c r="D42" s="2" t="s">
        <v>9</v>
      </c>
      <c r="E42" s="21" t="s">
        <v>9</v>
      </c>
      <c r="F42" s="8">
        <v>-20</v>
      </c>
      <c r="G42" s="9">
        <v>0</v>
      </c>
      <c r="J42" s="9" t="s">
        <v>18</v>
      </c>
      <c r="K42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-----Når ej 70%</v>
      </c>
    </row>
    <row r="43" spans="1:11" x14ac:dyDescent="0.25">
      <c r="A43" s="106" t="s">
        <v>9</v>
      </c>
      <c r="B43" s="116" t="s">
        <v>9</v>
      </c>
      <c r="C43" s="116" t="s">
        <v>9</v>
      </c>
      <c r="D43" s="2" t="s">
        <v>9</v>
      </c>
      <c r="E43" s="21" t="s">
        <v>9</v>
      </c>
      <c r="F43" s="8">
        <v>-20</v>
      </c>
      <c r="G43" s="9">
        <v>2</v>
      </c>
      <c r="J43" s="9" t="s">
        <v>18</v>
      </c>
      <c r="K43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-----Når ej 70%</v>
      </c>
    </row>
    <row r="44" spans="1:11" x14ac:dyDescent="0.25">
      <c r="A44" s="106" t="s">
        <v>9</v>
      </c>
      <c r="B44" s="116" t="s">
        <v>9</v>
      </c>
      <c r="C44" s="116" t="s">
        <v>9</v>
      </c>
      <c r="D44" s="2" t="s">
        <v>9</v>
      </c>
      <c r="E44" s="21" t="s">
        <v>9</v>
      </c>
      <c r="F44" s="8">
        <v>-20</v>
      </c>
      <c r="G44" s="9">
        <v>7</v>
      </c>
      <c r="J44" s="9" t="s">
        <v>12</v>
      </c>
      <c r="K44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-----Frys innan täck</v>
      </c>
    </row>
    <row r="45" spans="1:11" x14ac:dyDescent="0.25">
      <c r="A45" s="106" t="s">
        <v>9</v>
      </c>
      <c r="B45" s="116" t="s">
        <v>9</v>
      </c>
      <c r="C45" s="116" t="s">
        <v>9</v>
      </c>
      <c r="D45" s="2" t="s">
        <v>9</v>
      </c>
      <c r="E45" s="21" t="s">
        <v>9</v>
      </c>
      <c r="F45" s="8">
        <v>-20</v>
      </c>
      <c r="G45" s="9">
        <v>12</v>
      </c>
      <c r="J45" s="9" t="s">
        <v>12</v>
      </c>
      <c r="K45" s="16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-----Frys innan täck</v>
      </c>
    </row>
    <row r="46" spans="1:11" ht="15.75" thickBot="1" x14ac:dyDescent="0.3">
      <c r="A46" s="107" t="s">
        <v>9</v>
      </c>
      <c r="B46" s="109" t="s">
        <v>9</v>
      </c>
      <c r="C46" s="109" t="s">
        <v>9</v>
      </c>
      <c r="D46" s="22" t="s">
        <v>9</v>
      </c>
      <c r="E46" s="23" t="s">
        <v>9</v>
      </c>
      <c r="F46" s="10">
        <v>-20</v>
      </c>
      <c r="G46" s="12">
        <v>20</v>
      </c>
      <c r="H46" s="11"/>
      <c r="I46" s="11"/>
      <c r="J46" s="12" t="s">
        <v>12</v>
      </c>
      <c r="K46" s="17" t="str">
        <f>Table141719202122[[#This Row],[Slagg mängd]]&amp;Table141719202122[[#This Row],[Gjuttemperatur]]&amp;Table141719202122[[#This Row],[Temperatur motgjutningsyta]]&amp;Table141719202122[[#This Row],[Väderskydd, uppvärmning (ingen vind)]]&amp;Table141719202122[[#This Row],[Täckning '[mm']]]&amp;Table141719202122[[#This Row],[OK&lt;7 dagar]]&amp;Table141719202122[[#This Row],[Kommentar]]</f>
        <v>-----Frys innan täck</v>
      </c>
    </row>
  </sheetData>
  <phoneticPr fontId="3" type="noConversion"/>
  <dataValidations count="1">
    <dataValidation type="list" allowBlank="1" showInputMessage="1" showErrorMessage="1" sqref="L2:L46" xr:uid="{5018CC87-32AB-4990-B4F7-CE968132D9A7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0BD82AA-D7C2-4CAD-B012-04F0B2590568}">
          <x14:formula1>
            <xm:f>Förutsättningar!$J$2:$J$4</xm:f>
          </x14:formula1>
          <xm:sqref>J2:J46</xm:sqref>
        </x14:dataValidation>
        <x14:dataValidation type="list" allowBlank="1" showInputMessage="1" showErrorMessage="1" xr:uid="{7EFDD1B6-EE77-449B-8D6E-214A43B36A0D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0693F6AD-823C-4F53-9351-6CF7C869215C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B3E692F3-D315-4F08-ADBA-6E1B0CAD63F2}">
          <x14:formula1>
            <xm:f>Förutsättningar!$I$2:$I$7</xm:f>
          </x14:formula1>
          <xm:sqref>A2:A46</xm:sqref>
        </x14:dataValidation>
        <x14:dataValidation type="list" allowBlank="1" showInputMessage="1" showErrorMessage="1" xr:uid="{871FF368-50BE-4BFD-B284-3F5C146D8C90}">
          <x14:formula1>
            <xm:f>Förutsättningar!$F$2</xm:f>
          </x14:formula1>
          <xm:sqref>I2:I46</xm:sqref>
        </x14:dataValidation>
        <x14:dataValidation type="list" allowBlank="1" showInputMessage="1" showErrorMessage="1" xr:uid="{8F8D6210-02A8-44A8-89F3-22569131E87B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E739B636-F72F-484D-8761-12F7C0D5F848}">
          <x14:formula1>
            <xm:f>Förutsättningar!$B$2:$B$6</xm:f>
          </x14:formula1>
          <xm:sqref>B2:B46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6119-852E-4E28-9BAE-A9D00AC87E73}">
  <sheetPr codeName="Sheet10"/>
  <dimension ref="A1:T46"/>
  <sheetViews>
    <sheetView zoomScale="115" zoomScaleNormal="115" workbookViewId="0">
      <selection activeCell="H3" sqref="H3:H6"/>
    </sheetView>
  </sheetViews>
  <sheetFormatPr defaultRowHeight="15" x14ac:dyDescent="0.25"/>
  <cols>
    <col min="1" max="1" width="12.5703125" style="103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10" width="14.42578125" bestFit="1" customWidth="1"/>
    <col min="11" max="11" width="22.85546875" bestFit="1" customWidth="1"/>
    <col min="12" max="17" width="11.28515625" customWidth="1"/>
    <col min="18" max="18" width="12.28515625" customWidth="1"/>
  </cols>
  <sheetData>
    <row r="1" spans="1:20" ht="30.75" thickBot="1" x14ac:dyDescent="0.3">
      <c r="A1" s="117" t="s">
        <v>52</v>
      </c>
      <c r="B1" s="115" t="s">
        <v>0</v>
      </c>
      <c r="C1" s="115" t="s">
        <v>1</v>
      </c>
      <c r="D1" s="115" t="s">
        <v>2</v>
      </c>
      <c r="E1" s="115" t="s">
        <v>3</v>
      </c>
      <c r="F1" s="13" t="s">
        <v>4</v>
      </c>
      <c r="G1" s="13" t="s">
        <v>5</v>
      </c>
      <c r="H1" s="13" t="s">
        <v>77</v>
      </c>
      <c r="I1" s="13" t="s">
        <v>78</v>
      </c>
      <c r="J1" s="13" t="s">
        <v>6</v>
      </c>
      <c r="K1" s="14" t="s">
        <v>7</v>
      </c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05">
        <v>0.4</v>
      </c>
      <c r="B2" s="108">
        <f>Förutsättningar!M$18</f>
        <v>15</v>
      </c>
      <c r="C2" s="108">
        <f>Förutsättningar!N$18</f>
        <v>20</v>
      </c>
      <c r="D2" s="19">
        <v>0</v>
      </c>
      <c r="E2" s="20" t="s">
        <v>11</v>
      </c>
      <c r="F2" s="6">
        <v>20</v>
      </c>
      <c r="G2" s="7">
        <v>0</v>
      </c>
      <c r="H2" s="6">
        <v>7</v>
      </c>
      <c r="I2" s="6" t="s">
        <v>85</v>
      </c>
      <c r="J2" s="7"/>
      <c r="K2" s="15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0,415200PresenningOK7</v>
      </c>
      <c r="O2" s="1"/>
    </row>
    <row r="3" spans="1:20" x14ac:dyDescent="0.25">
      <c r="A3" s="106">
        <v>0.3</v>
      </c>
      <c r="B3" s="116">
        <f>Förutsättningar!$M$18</f>
        <v>15</v>
      </c>
      <c r="C3" s="116">
        <f>Förutsättningar!N$18</f>
        <v>20</v>
      </c>
      <c r="D3" s="2" t="s">
        <v>9</v>
      </c>
      <c r="E3" s="21" t="s">
        <v>9</v>
      </c>
      <c r="F3">
        <v>20</v>
      </c>
      <c r="G3" s="9">
        <v>2</v>
      </c>
      <c r="H3">
        <v>6.8</v>
      </c>
      <c r="I3" t="s">
        <v>85</v>
      </c>
      <c r="J3" s="9"/>
      <c r="K3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0,31520--OK7</v>
      </c>
    </row>
    <row r="4" spans="1:20" x14ac:dyDescent="0.25">
      <c r="A4" s="106">
        <v>0.3</v>
      </c>
      <c r="B4" s="116">
        <f>Förutsättningar!$M$18</f>
        <v>15</v>
      </c>
      <c r="C4" s="116">
        <f>Förutsättningar!N$18</f>
        <v>20</v>
      </c>
      <c r="D4" s="2" t="s">
        <v>9</v>
      </c>
      <c r="E4" s="21" t="s">
        <v>9</v>
      </c>
      <c r="F4">
        <v>20</v>
      </c>
      <c r="G4" s="9">
        <v>7</v>
      </c>
      <c r="H4">
        <v>7</v>
      </c>
      <c r="I4" t="s">
        <v>85</v>
      </c>
      <c r="J4" s="9"/>
      <c r="K4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0,31520--OK7</v>
      </c>
    </row>
    <row r="5" spans="1:20" x14ac:dyDescent="0.25">
      <c r="A5" s="106">
        <v>0.3</v>
      </c>
      <c r="B5" s="116">
        <f>Förutsättningar!$M$18</f>
        <v>15</v>
      </c>
      <c r="C5" s="116">
        <f>Förutsättningar!N$18</f>
        <v>20</v>
      </c>
      <c r="D5" s="2" t="s">
        <v>9</v>
      </c>
      <c r="E5" s="21" t="s">
        <v>9</v>
      </c>
      <c r="F5">
        <v>20</v>
      </c>
      <c r="G5" s="9">
        <v>12</v>
      </c>
      <c r="H5">
        <v>7</v>
      </c>
      <c r="I5" t="s">
        <v>85</v>
      </c>
      <c r="J5" s="9"/>
      <c r="K5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0,31520--OK7</v>
      </c>
    </row>
    <row r="6" spans="1:20" ht="15.75" thickBot="1" x14ac:dyDescent="0.3">
      <c r="A6" s="107">
        <v>0.3</v>
      </c>
      <c r="B6" s="109">
        <f>Förutsättningar!$M$18</f>
        <v>15</v>
      </c>
      <c r="C6" s="109">
        <f>Förutsättningar!N$18</f>
        <v>20</v>
      </c>
      <c r="D6" s="22" t="s">
        <v>9</v>
      </c>
      <c r="E6" s="23" t="s">
        <v>9</v>
      </c>
      <c r="F6" s="11">
        <v>20</v>
      </c>
      <c r="G6" s="12">
        <v>20</v>
      </c>
      <c r="H6" s="11">
        <v>7</v>
      </c>
      <c r="I6" s="11" t="s">
        <v>85</v>
      </c>
      <c r="J6" s="12"/>
      <c r="K6" s="17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0,31520--OK7</v>
      </c>
    </row>
    <row r="7" spans="1:20" x14ac:dyDescent="0.25">
      <c r="A7" s="106">
        <v>0.1</v>
      </c>
      <c r="B7" s="116">
        <f>Förutsättningar!M$19</f>
        <v>15</v>
      </c>
      <c r="C7" s="116">
        <f>Förutsättningar!N$19</f>
        <v>15</v>
      </c>
      <c r="D7" s="2" t="s">
        <v>9</v>
      </c>
      <c r="E7" s="21" t="s">
        <v>9</v>
      </c>
      <c r="F7" s="5">
        <v>15</v>
      </c>
      <c r="G7" s="7">
        <v>0</v>
      </c>
      <c r="H7" s="6">
        <v>5.6</v>
      </c>
      <c r="I7" s="6" t="s">
        <v>85</v>
      </c>
      <c r="J7" s="7"/>
      <c r="K7" s="15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0,11515--OK7</v>
      </c>
    </row>
    <row r="8" spans="1:20" x14ac:dyDescent="0.25">
      <c r="A8" s="106">
        <v>0.1</v>
      </c>
      <c r="B8" s="116">
        <f>Förutsättningar!M$19</f>
        <v>15</v>
      </c>
      <c r="C8" s="116">
        <f>Förutsättningar!N$19</f>
        <v>15</v>
      </c>
      <c r="D8" s="2" t="s">
        <v>9</v>
      </c>
      <c r="E8" s="21" t="s">
        <v>9</v>
      </c>
      <c r="F8" s="8">
        <v>15</v>
      </c>
      <c r="G8" s="9">
        <v>2</v>
      </c>
      <c r="H8">
        <v>6.3</v>
      </c>
      <c r="I8" t="s">
        <v>85</v>
      </c>
      <c r="J8" s="9"/>
      <c r="K8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0,11515--OK7</v>
      </c>
    </row>
    <row r="9" spans="1:20" x14ac:dyDescent="0.25">
      <c r="A9" s="106">
        <v>0.1</v>
      </c>
      <c r="B9" s="116">
        <v>15</v>
      </c>
      <c r="C9" s="116">
        <v>15</v>
      </c>
      <c r="D9" s="2" t="s">
        <v>9</v>
      </c>
      <c r="E9" s="21" t="s">
        <v>9</v>
      </c>
      <c r="F9" s="8">
        <v>15</v>
      </c>
      <c r="G9" s="9">
        <v>7</v>
      </c>
      <c r="H9">
        <v>6.6</v>
      </c>
      <c r="I9" t="s">
        <v>85</v>
      </c>
      <c r="J9" s="9"/>
      <c r="K9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0,11515--OK7</v>
      </c>
    </row>
    <row r="10" spans="1:20" x14ac:dyDescent="0.25">
      <c r="A10" s="106">
        <v>0.1</v>
      </c>
      <c r="B10" s="116">
        <v>15</v>
      </c>
      <c r="C10" s="116">
        <v>15</v>
      </c>
      <c r="D10" s="2" t="s">
        <v>9</v>
      </c>
      <c r="E10" s="21" t="s">
        <v>9</v>
      </c>
      <c r="F10" s="8">
        <v>15</v>
      </c>
      <c r="G10" s="9">
        <v>12</v>
      </c>
      <c r="H10">
        <v>6.7</v>
      </c>
      <c r="I10" t="s">
        <v>85</v>
      </c>
      <c r="J10" s="9"/>
      <c r="K10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0,11515--OK7</v>
      </c>
    </row>
    <row r="11" spans="1:20" ht="15.75" thickBot="1" x14ac:dyDescent="0.3">
      <c r="A11" s="107">
        <v>0.1</v>
      </c>
      <c r="B11" s="109">
        <v>15</v>
      </c>
      <c r="C11" s="109">
        <v>15</v>
      </c>
      <c r="D11" s="22" t="s">
        <v>9</v>
      </c>
      <c r="E11" s="23" t="s">
        <v>9</v>
      </c>
      <c r="F11" s="10">
        <v>15</v>
      </c>
      <c r="G11" s="12">
        <v>20</v>
      </c>
      <c r="H11" s="11">
        <v>6.8</v>
      </c>
      <c r="I11" s="11" t="s">
        <v>85</v>
      </c>
      <c r="J11" s="12"/>
      <c r="K11" s="17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0,11515--OK7</v>
      </c>
    </row>
    <row r="12" spans="1:20" x14ac:dyDescent="0.25">
      <c r="A12" s="105" t="s">
        <v>83</v>
      </c>
      <c r="B12" s="108">
        <f>Förutsättningar!M$20</f>
        <v>15</v>
      </c>
      <c r="C12" s="108">
        <f>Förutsättningar!N$20</f>
        <v>10</v>
      </c>
      <c r="D12" s="18" t="s">
        <v>9</v>
      </c>
      <c r="E12" s="20" t="s">
        <v>9</v>
      </c>
      <c r="F12" s="5">
        <v>10</v>
      </c>
      <c r="G12" s="7">
        <v>0</v>
      </c>
      <c r="H12" s="6">
        <v>5.5</v>
      </c>
      <c r="I12" s="6" t="s">
        <v>85</v>
      </c>
      <c r="J12" s="7"/>
      <c r="K12" s="15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Bas+0%1510--OK7</v>
      </c>
    </row>
    <row r="13" spans="1:20" x14ac:dyDescent="0.25">
      <c r="A13" s="106" t="s">
        <v>83</v>
      </c>
      <c r="B13" s="116">
        <f>Förutsättningar!M$20</f>
        <v>15</v>
      </c>
      <c r="C13" s="116">
        <f>Förutsättningar!N$20</f>
        <v>10</v>
      </c>
      <c r="D13" s="2" t="s">
        <v>9</v>
      </c>
      <c r="E13" s="21" t="s">
        <v>9</v>
      </c>
      <c r="F13" s="8">
        <v>10</v>
      </c>
      <c r="G13" s="9">
        <v>2</v>
      </c>
      <c r="H13">
        <v>6.5</v>
      </c>
      <c r="I13" t="s">
        <v>85</v>
      </c>
      <c r="J13" s="9"/>
      <c r="K13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Bas+0%1510--OK7</v>
      </c>
    </row>
    <row r="14" spans="1:20" x14ac:dyDescent="0.25">
      <c r="A14" s="106" t="s">
        <v>83</v>
      </c>
      <c r="B14" s="116">
        <f>Förutsättningar!M$20</f>
        <v>15</v>
      </c>
      <c r="C14" s="116">
        <f>Förutsättningar!N$20</f>
        <v>10</v>
      </c>
      <c r="D14" s="2" t="s">
        <v>9</v>
      </c>
      <c r="E14" s="21" t="s">
        <v>9</v>
      </c>
      <c r="F14" s="8">
        <v>10</v>
      </c>
      <c r="G14" s="9">
        <v>7</v>
      </c>
      <c r="H14">
        <v>7</v>
      </c>
      <c r="I14" t="s">
        <v>85</v>
      </c>
      <c r="J14" s="9"/>
      <c r="K14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Bas+0%1510--OK7</v>
      </c>
    </row>
    <row r="15" spans="1:20" x14ac:dyDescent="0.25">
      <c r="A15" s="106" t="s">
        <v>83</v>
      </c>
      <c r="B15" s="116">
        <f>Förutsättningar!M$20</f>
        <v>15</v>
      </c>
      <c r="C15" s="116">
        <f>Förutsättningar!N$20</f>
        <v>10</v>
      </c>
      <c r="D15" s="2">
        <v>0</v>
      </c>
      <c r="E15" s="21" t="s">
        <v>9</v>
      </c>
      <c r="F15" s="8">
        <v>10</v>
      </c>
      <c r="G15" s="9">
        <v>12</v>
      </c>
      <c r="H15">
        <v>6.8</v>
      </c>
      <c r="I15" t="s">
        <v>85</v>
      </c>
      <c r="J15" s="9"/>
      <c r="K15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Bas+0%15100-OK7</v>
      </c>
    </row>
    <row r="16" spans="1:20" ht="15.75" thickBot="1" x14ac:dyDescent="0.3">
      <c r="A16" s="107" t="s">
        <v>83</v>
      </c>
      <c r="B16" s="109">
        <f>Förutsättningar!M$20</f>
        <v>15</v>
      </c>
      <c r="C16" s="109">
        <f>Förutsättningar!N$20</f>
        <v>10</v>
      </c>
      <c r="D16" s="22">
        <v>0</v>
      </c>
      <c r="E16" s="23" t="s">
        <v>9</v>
      </c>
      <c r="F16" s="10">
        <v>10</v>
      </c>
      <c r="G16" s="12">
        <v>20</v>
      </c>
      <c r="H16" s="11">
        <v>6.9</v>
      </c>
      <c r="I16" s="11" t="s">
        <v>85</v>
      </c>
      <c r="J16" s="12"/>
      <c r="K16" s="17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Bas+0%15100-OK7</v>
      </c>
    </row>
    <row r="17" spans="1:11" x14ac:dyDescent="0.25">
      <c r="A17" s="105">
        <v>0.4</v>
      </c>
      <c r="B17" s="108">
        <f>Förutsättningar!M$21</f>
        <v>20</v>
      </c>
      <c r="C17" s="108">
        <f>Förutsättningar!N$21</f>
        <v>5</v>
      </c>
      <c r="D17" s="18">
        <v>20</v>
      </c>
      <c r="E17" s="20">
        <v>20</v>
      </c>
      <c r="F17" s="5">
        <v>5</v>
      </c>
      <c r="G17" s="7">
        <v>0</v>
      </c>
      <c r="H17" s="6">
        <v>6.6</v>
      </c>
      <c r="I17" s="6" t="s">
        <v>85</v>
      </c>
      <c r="J17" s="7"/>
      <c r="K17" s="15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0,42052020OK7</v>
      </c>
    </row>
    <row r="18" spans="1:11" x14ac:dyDescent="0.25">
      <c r="A18" s="106">
        <v>0.4</v>
      </c>
      <c r="B18" s="116">
        <f>Förutsättningar!M$21</f>
        <v>20</v>
      </c>
      <c r="C18" s="116">
        <f>Förutsättningar!N$21</f>
        <v>5</v>
      </c>
      <c r="D18" s="2">
        <v>20</v>
      </c>
      <c r="E18" s="21">
        <v>20</v>
      </c>
      <c r="F18" s="8">
        <v>5</v>
      </c>
      <c r="G18" s="9">
        <v>2</v>
      </c>
      <c r="H18">
        <v>7</v>
      </c>
      <c r="I18" t="s">
        <v>85</v>
      </c>
      <c r="J18" s="9"/>
      <c r="K18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0,42052020OK7</v>
      </c>
    </row>
    <row r="19" spans="1:11" x14ac:dyDescent="0.25">
      <c r="A19" s="106">
        <v>0.4</v>
      </c>
      <c r="B19" s="116">
        <f>Förutsättningar!M$21</f>
        <v>20</v>
      </c>
      <c r="C19" s="116">
        <f>Förutsättningar!N$21</f>
        <v>5</v>
      </c>
      <c r="D19" s="2">
        <v>20</v>
      </c>
      <c r="E19" s="21">
        <v>30</v>
      </c>
      <c r="F19" s="8">
        <v>5</v>
      </c>
      <c r="G19" s="9">
        <v>7</v>
      </c>
      <c r="H19">
        <v>6.5</v>
      </c>
      <c r="I19" t="s">
        <v>85</v>
      </c>
      <c r="J19" s="9"/>
      <c r="K19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0,42052030OK7</v>
      </c>
    </row>
    <row r="20" spans="1:11" x14ac:dyDescent="0.25">
      <c r="A20" s="106">
        <v>0.4</v>
      </c>
      <c r="B20" s="116">
        <f>Förutsättningar!M$21</f>
        <v>20</v>
      </c>
      <c r="C20" s="116">
        <f>Förutsättningar!N$21</f>
        <v>5</v>
      </c>
      <c r="D20" s="2">
        <v>20</v>
      </c>
      <c r="E20" s="21">
        <v>30</v>
      </c>
      <c r="F20" s="8">
        <v>5</v>
      </c>
      <c r="G20" s="9">
        <v>12</v>
      </c>
      <c r="H20">
        <v>6.5</v>
      </c>
      <c r="I20" t="s">
        <v>85</v>
      </c>
      <c r="J20" s="9"/>
      <c r="K20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0,42052030OK7</v>
      </c>
    </row>
    <row r="21" spans="1:11" ht="15.75" thickBot="1" x14ac:dyDescent="0.3">
      <c r="A21" s="107">
        <v>0.4</v>
      </c>
      <c r="B21" s="109">
        <f>Förutsättningar!M$21</f>
        <v>20</v>
      </c>
      <c r="C21" s="109">
        <f>Förutsättningar!N$21</f>
        <v>5</v>
      </c>
      <c r="D21" s="22">
        <v>20</v>
      </c>
      <c r="E21" s="23">
        <v>30</v>
      </c>
      <c r="F21" s="10">
        <v>5</v>
      </c>
      <c r="G21" s="12">
        <v>20</v>
      </c>
      <c r="H21" s="11">
        <v>6.6</v>
      </c>
      <c r="I21" s="11" t="s">
        <v>85</v>
      </c>
      <c r="J21" s="12"/>
      <c r="K21" s="17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0,42052030OK7</v>
      </c>
    </row>
    <row r="22" spans="1:11" x14ac:dyDescent="0.25">
      <c r="A22" s="105">
        <v>0.4</v>
      </c>
      <c r="B22" s="108">
        <f>Förutsättningar!M$22</f>
        <v>20</v>
      </c>
      <c r="C22" s="108">
        <f>Förutsättningar!N$22</f>
        <v>5</v>
      </c>
      <c r="D22" s="18">
        <v>20</v>
      </c>
      <c r="E22" s="20">
        <v>50</v>
      </c>
      <c r="F22" s="5">
        <v>0</v>
      </c>
      <c r="G22" s="7">
        <v>0</v>
      </c>
      <c r="H22" s="6">
        <v>7</v>
      </c>
      <c r="I22" s="6" t="s">
        <v>85</v>
      </c>
      <c r="J22" s="7"/>
      <c r="K22" s="15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0,42052050OK7</v>
      </c>
    </row>
    <row r="23" spans="1:11" x14ac:dyDescent="0.25">
      <c r="A23" s="106">
        <v>0.3</v>
      </c>
      <c r="B23" s="116">
        <f>Förutsättningar!M$22</f>
        <v>20</v>
      </c>
      <c r="C23" s="116">
        <f>Förutsättningar!N$22</f>
        <v>5</v>
      </c>
      <c r="D23" s="2">
        <v>20</v>
      </c>
      <c r="E23" s="21">
        <v>30</v>
      </c>
      <c r="F23" s="8">
        <v>0</v>
      </c>
      <c r="G23" s="9">
        <v>2</v>
      </c>
      <c r="H23">
        <v>7</v>
      </c>
      <c r="I23" t="s">
        <v>85</v>
      </c>
      <c r="J23" s="9"/>
      <c r="K23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0,32052030OK7</v>
      </c>
    </row>
    <row r="24" spans="1:11" x14ac:dyDescent="0.25">
      <c r="A24" s="106">
        <v>0.3</v>
      </c>
      <c r="B24" s="116">
        <f>Förutsättningar!M$22</f>
        <v>20</v>
      </c>
      <c r="C24" s="116">
        <f>Förutsättningar!N$22</f>
        <v>5</v>
      </c>
      <c r="D24" s="2">
        <v>20</v>
      </c>
      <c r="E24" s="21">
        <v>50</v>
      </c>
      <c r="F24" s="8">
        <v>0</v>
      </c>
      <c r="G24" s="9">
        <v>7</v>
      </c>
      <c r="H24">
        <v>6.2</v>
      </c>
      <c r="I24" t="s">
        <v>85</v>
      </c>
      <c r="J24" s="9"/>
      <c r="K24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0,32052050OK7</v>
      </c>
    </row>
    <row r="25" spans="1:11" x14ac:dyDescent="0.25">
      <c r="A25" s="106">
        <v>0.3</v>
      </c>
      <c r="B25" s="116">
        <f>Förutsättningar!M$22</f>
        <v>20</v>
      </c>
      <c r="C25" s="116">
        <f>Förutsättningar!N$22</f>
        <v>5</v>
      </c>
      <c r="D25" s="2">
        <v>20</v>
      </c>
      <c r="E25" s="21">
        <v>50</v>
      </c>
      <c r="F25" s="8">
        <v>0</v>
      </c>
      <c r="G25" s="9">
        <v>12</v>
      </c>
      <c r="H25">
        <v>6.3</v>
      </c>
      <c r="I25" t="s">
        <v>85</v>
      </c>
      <c r="J25" s="9"/>
      <c r="K25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0,32052050OK7</v>
      </c>
    </row>
    <row r="26" spans="1:11" ht="15.75" thickBot="1" x14ac:dyDescent="0.3">
      <c r="A26" s="107">
        <v>0.3</v>
      </c>
      <c r="B26" s="109">
        <f>Förutsättningar!M$22</f>
        <v>20</v>
      </c>
      <c r="C26" s="109">
        <f>Förutsättningar!N$22</f>
        <v>5</v>
      </c>
      <c r="D26" s="22">
        <v>20</v>
      </c>
      <c r="E26" s="23">
        <v>10</v>
      </c>
      <c r="F26" s="10">
        <v>0</v>
      </c>
      <c r="G26" s="12">
        <v>20</v>
      </c>
      <c r="H26" s="11">
        <v>6.3</v>
      </c>
      <c r="I26" s="11" t="s">
        <v>85</v>
      </c>
      <c r="J26" s="12"/>
      <c r="K26" s="17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0,32052010OK7</v>
      </c>
    </row>
    <row r="27" spans="1:11" x14ac:dyDescent="0.25">
      <c r="A27" s="105">
        <v>0.2</v>
      </c>
      <c r="B27" s="108">
        <f>Förutsättningar!M$23</f>
        <v>20</v>
      </c>
      <c r="C27" s="108">
        <f>Förutsättningar!N$23</f>
        <v>5</v>
      </c>
      <c r="D27" s="18">
        <v>20</v>
      </c>
      <c r="E27" s="20">
        <v>50</v>
      </c>
      <c r="F27" s="5">
        <v>-5</v>
      </c>
      <c r="G27" s="7">
        <v>0</v>
      </c>
      <c r="H27" s="6">
        <v>6.6</v>
      </c>
      <c r="I27" s="6" t="s">
        <v>85</v>
      </c>
      <c r="J27" s="7"/>
      <c r="K27" s="15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0,22052050OK7</v>
      </c>
    </row>
    <row r="28" spans="1:11" x14ac:dyDescent="0.25">
      <c r="A28" s="106">
        <v>0.2</v>
      </c>
      <c r="B28" s="116">
        <f>Förutsättningar!M$23</f>
        <v>20</v>
      </c>
      <c r="C28" s="116">
        <f>Förutsättningar!N$23</f>
        <v>5</v>
      </c>
      <c r="D28" s="2">
        <v>20</v>
      </c>
      <c r="E28" s="21">
        <v>50</v>
      </c>
      <c r="F28" s="8">
        <v>-5</v>
      </c>
      <c r="G28" s="9">
        <v>2</v>
      </c>
      <c r="H28">
        <v>6.8</v>
      </c>
      <c r="I28" t="s">
        <v>85</v>
      </c>
      <c r="J28" s="9"/>
      <c r="K28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0,22052050OK7</v>
      </c>
    </row>
    <row r="29" spans="1:11" x14ac:dyDescent="0.25">
      <c r="A29" s="106">
        <v>0.1</v>
      </c>
      <c r="B29" s="116">
        <f>Förutsättningar!M$23</f>
        <v>20</v>
      </c>
      <c r="C29" s="116">
        <f>Förutsättningar!N$23</f>
        <v>5</v>
      </c>
      <c r="D29" s="2">
        <v>20</v>
      </c>
      <c r="E29" s="21">
        <v>30</v>
      </c>
      <c r="F29" s="8">
        <v>-5</v>
      </c>
      <c r="G29" s="9">
        <v>7</v>
      </c>
      <c r="H29">
        <v>6.2</v>
      </c>
      <c r="I29" t="s">
        <v>85</v>
      </c>
      <c r="J29" s="9"/>
      <c r="K29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0,12052030OK7</v>
      </c>
    </row>
    <row r="30" spans="1:11" x14ac:dyDescent="0.25">
      <c r="A30" s="106">
        <v>0.1</v>
      </c>
      <c r="B30" s="116">
        <f>Förutsättningar!M$23</f>
        <v>20</v>
      </c>
      <c r="C30" s="116">
        <f>Förutsättningar!N$23</f>
        <v>5</v>
      </c>
      <c r="D30" s="2">
        <v>20</v>
      </c>
      <c r="E30" s="21">
        <v>30</v>
      </c>
      <c r="F30" s="8">
        <v>-5</v>
      </c>
      <c r="G30" s="9">
        <v>12</v>
      </c>
      <c r="H30">
        <v>6.4</v>
      </c>
      <c r="I30" t="s">
        <v>85</v>
      </c>
      <c r="J30" s="9"/>
      <c r="K30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0,12052030OK7</v>
      </c>
    </row>
    <row r="31" spans="1:11" ht="15.75" thickBot="1" x14ac:dyDescent="0.3">
      <c r="A31" s="107">
        <v>0.1</v>
      </c>
      <c r="B31" s="109">
        <f>Förutsättningar!M$23</f>
        <v>20</v>
      </c>
      <c r="C31" s="109">
        <f>Förutsättningar!N$23</f>
        <v>5</v>
      </c>
      <c r="D31" s="22">
        <v>20</v>
      </c>
      <c r="E31" s="23">
        <v>30</v>
      </c>
      <c r="F31" s="10">
        <v>-5</v>
      </c>
      <c r="G31" s="12">
        <v>20</v>
      </c>
      <c r="H31" s="11">
        <v>6.5</v>
      </c>
      <c r="I31" s="11" t="s">
        <v>85</v>
      </c>
      <c r="J31" s="12"/>
      <c r="K31" s="17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0,12052030OK7</v>
      </c>
    </row>
    <row r="32" spans="1:11" x14ac:dyDescent="0.25">
      <c r="A32" s="105">
        <v>0.1</v>
      </c>
      <c r="B32" s="108">
        <f>Förutsättningar!M$24</f>
        <v>20</v>
      </c>
      <c r="C32" s="108">
        <f>Förutsättningar!N$24</f>
        <v>5</v>
      </c>
      <c r="D32" s="18">
        <v>20</v>
      </c>
      <c r="E32" s="20">
        <v>50</v>
      </c>
      <c r="F32" s="5">
        <v>-10</v>
      </c>
      <c r="G32" s="7">
        <v>0</v>
      </c>
      <c r="H32" s="6">
        <v>6.5</v>
      </c>
      <c r="I32" s="6" t="s">
        <v>85</v>
      </c>
      <c r="J32" s="7"/>
      <c r="K32" s="15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0,12052050OK7</v>
      </c>
    </row>
    <row r="33" spans="1:11" x14ac:dyDescent="0.25">
      <c r="A33" s="106">
        <v>0.1</v>
      </c>
      <c r="B33" s="116">
        <f>Förutsättningar!M$24</f>
        <v>20</v>
      </c>
      <c r="C33" s="116">
        <f>Förutsättningar!N$24</f>
        <v>5</v>
      </c>
      <c r="D33" s="2">
        <v>20</v>
      </c>
      <c r="E33" s="21">
        <v>50</v>
      </c>
      <c r="F33" s="8">
        <v>-10</v>
      </c>
      <c r="G33" s="9">
        <v>2</v>
      </c>
      <c r="H33">
        <v>6.8</v>
      </c>
      <c r="I33" t="s">
        <v>85</v>
      </c>
      <c r="J33" s="9"/>
      <c r="K33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0,12052050OK7</v>
      </c>
    </row>
    <row r="34" spans="1:11" x14ac:dyDescent="0.25">
      <c r="A34" s="106" t="s">
        <v>83</v>
      </c>
      <c r="B34" s="116">
        <f>Förutsättningar!M$24</f>
        <v>20</v>
      </c>
      <c r="C34" s="116">
        <f>Förutsättningar!N$24</f>
        <v>5</v>
      </c>
      <c r="D34" s="2">
        <v>20</v>
      </c>
      <c r="E34" s="21">
        <v>30</v>
      </c>
      <c r="F34" s="8">
        <v>-10</v>
      </c>
      <c r="G34" s="9">
        <v>7</v>
      </c>
      <c r="H34">
        <v>6</v>
      </c>
      <c r="I34" t="s">
        <v>85</v>
      </c>
      <c r="J34" s="9"/>
      <c r="K34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Bas+0%2052030OK7</v>
      </c>
    </row>
    <row r="35" spans="1:11" x14ac:dyDescent="0.25">
      <c r="A35" s="106" t="s">
        <v>9</v>
      </c>
      <c r="B35" s="116" t="s">
        <v>9</v>
      </c>
      <c r="C35" s="116" t="s">
        <v>9</v>
      </c>
      <c r="D35" s="2" t="s">
        <v>9</v>
      </c>
      <c r="E35" s="21" t="s">
        <v>9</v>
      </c>
      <c r="F35" s="8">
        <v>-10</v>
      </c>
      <c r="G35" s="9">
        <v>12</v>
      </c>
      <c r="J35" s="9" t="s">
        <v>12</v>
      </c>
      <c r="K35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-----Frys innan täck</v>
      </c>
    </row>
    <row r="36" spans="1:11" ht="15.75" thickBot="1" x14ac:dyDescent="0.3">
      <c r="A36" s="107" t="s">
        <v>9</v>
      </c>
      <c r="B36" s="109" t="s">
        <v>9</v>
      </c>
      <c r="C36" s="109" t="s">
        <v>9</v>
      </c>
      <c r="D36" s="22" t="s">
        <v>9</v>
      </c>
      <c r="E36" s="23" t="s">
        <v>9</v>
      </c>
      <c r="F36" s="10">
        <v>-10</v>
      </c>
      <c r="G36" s="12">
        <v>20</v>
      </c>
      <c r="H36" s="11"/>
      <c r="I36" s="11"/>
      <c r="J36" s="12" t="s">
        <v>12</v>
      </c>
      <c r="K36" s="17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-----Frys innan täck</v>
      </c>
    </row>
    <row r="37" spans="1:11" x14ac:dyDescent="0.25">
      <c r="A37" s="105" t="s">
        <v>83</v>
      </c>
      <c r="B37" s="108">
        <f>Förutsättningar!M$25</f>
        <v>15</v>
      </c>
      <c r="C37" s="108">
        <f>Förutsättningar!N$25</f>
        <v>5</v>
      </c>
      <c r="D37" s="18">
        <v>20</v>
      </c>
      <c r="E37" s="20">
        <v>50</v>
      </c>
      <c r="F37" s="5">
        <v>-15</v>
      </c>
      <c r="G37" s="7">
        <v>0</v>
      </c>
      <c r="H37" s="6">
        <v>7</v>
      </c>
      <c r="I37" s="6" t="s">
        <v>85</v>
      </c>
      <c r="J37" s="7"/>
      <c r="K37" s="15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Bas+0%1552050OK7</v>
      </c>
    </row>
    <row r="38" spans="1:11" x14ac:dyDescent="0.25">
      <c r="A38" s="106" t="s">
        <v>9</v>
      </c>
      <c r="B38" s="116" t="s">
        <v>9</v>
      </c>
      <c r="C38" s="116" t="s">
        <v>9</v>
      </c>
      <c r="D38" s="2" t="s">
        <v>9</v>
      </c>
      <c r="E38" s="21" t="s">
        <v>9</v>
      </c>
      <c r="F38" s="8">
        <v>-15</v>
      </c>
      <c r="G38" s="9">
        <v>2</v>
      </c>
      <c r="J38" s="9" t="s">
        <v>18</v>
      </c>
      <c r="K38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-----Når ej 70%</v>
      </c>
    </row>
    <row r="39" spans="1:11" x14ac:dyDescent="0.25">
      <c r="A39" s="106" t="s">
        <v>9</v>
      </c>
      <c r="B39" s="116" t="s">
        <v>9</v>
      </c>
      <c r="C39" s="116" t="s">
        <v>9</v>
      </c>
      <c r="D39" s="2" t="s">
        <v>9</v>
      </c>
      <c r="E39" s="21" t="s">
        <v>9</v>
      </c>
      <c r="F39" s="8">
        <v>-15</v>
      </c>
      <c r="G39" s="9">
        <v>7</v>
      </c>
      <c r="J39" s="9" t="s">
        <v>12</v>
      </c>
      <c r="K39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-----Frys innan täck</v>
      </c>
    </row>
    <row r="40" spans="1:11" x14ac:dyDescent="0.25">
      <c r="A40" s="106" t="s">
        <v>9</v>
      </c>
      <c r="B40" s="116" t="s">
        <v>9</v>
      </c>
      <c r="C40" s="116" t="s">
        <v>9</v>
      </c>
      <c r="D40" s="2" t="s">
        <v>9</v>
      </c>
      <c r="E40" s="21" t="s">
        <v>9</v>
      </c>
      <c r="F40" s="8">
        <v>-15</v>
      </c>
      <c r="G40" s="9">
        <v>12</v>
      </c>
      <c r="J40" s="9" t="s">
        <v>12</v>
      </c>
      <c r="K40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-----Frys innan täck</v>
      </c>
    </row>
    <row r="41" spans="1:11" ht="15.75" thickBot="1" x14ac:dyDescent="0.3">
      <c r="A41" s="107" t="s">
        <v>9</v>
      </c>
      <c r="B41" s="109" t="s">
        <v>9</v>
      </c>
      <c r="C41" s="109" t="s">
        <v>9</v>
      </c>
      <c r="D41" s="22" t="s">
        <v>9</v>
      </c>
      <c r="E41" s="23" t="s">
        <v>9</v>
      </c>
      <c r="F41" s="10">
        <v>-15</v>
      </c>
      <c r="G41" s="12">
        <v>20</v>
      </c>
      <c r="H41" s="11"/>
      <c r="I41" s="11"/>
      <c r="J41" s="12" t="s">
        <v>12</v>
      </c>
      <c r="K41" s="17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-----Frys innan täck</v>
      </c>
    </row>
    <row r="42" spans="1:11" x14ac:dyDescent="0.25">
      <c r="A42" s="106" t="s">
        <v>9</v>
      </c>
      <c r="B42" s="108" t="s">
        <v>9</v>
      </c>
      <c r="C42" s="108" t="s">
        <v>9</v>
      </c>
      <c r="D42" s="2" t="s">
        <v>9</v>
      </c>
      <c r="E42" s="21" t="s">
        <v>9</v>
      </c>
      <c r="F42" s="8">
        <v>-20</v>
      </c>
      <c r="G42" s="9">
        <v>0</v>
      </c>
      <c r="J42" s="9" t="s">
        <v>18</v>
      </c>
      <c r="K42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-----Når ej 70%</v>
      </c>
    </row>
    <row r="43" spans="1:11" x14ac:dyDescent="0.25">
      <c r="A43" s="106" t="s">
        <v>9</v>
      </c>
      <c r="B43" s="116" t="s">
        <v>9</v>
      </c>
      <c r="C43" s="116" t="s">
        <v>9</v>
      </c>
      <c r="D43" s="2" t="s">
        <v>9</v>
      </c>
      <c r="E43" s="21" t="s">
        <v>9</v>
      </c>
      <c r="F43" s="8">
        <v>-20</v>
      </c>
      <c r="G43" s="9">
        <v>2</v>
      </c>
      <c r="J43" s="9" t="s">
        <v>18</v>
      </c>
      <c r="K43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-----Når ej 70%</v>
      </c>
    </row>
    <row r="44" spans="1:11" x14ac:dyDescent="0.25">
      <c r="A44" s="106" t="s">
        <v>9</v>
      </c>
      <c r="B44" s="116" t="s">
        <v>9</v>
      </c>
      <c r="C44" s="116" t="s">
        <v>9</v>
      </c>
      <c r="D44" s="2" t="s">
        <v>9</v>
      </c>
      <c r="E44" s="21" t="s">
        <v>9</v>
      </c>
      <c r="F44" s="8">
        <v>-20</v>
      </c>
      <c r="G44" s="9">
        <v>7</v>
      </c>
      <c r="J44" s="9" t="s">
        <v>12</v>
      </c>
      <c r="K44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-----Frys innan täck</v>
      </c>
    </row>
    <row r="45" spans="1:11" x14ac:dyDescent="0.25">
      <c r="A45" s="106" t="s">
        <v>9</v>
      </c>
      <c r="B45" s="116" t="s">
        <v>9</v>
      </c>
      <c r="C45" s="116" t="s">
        <v>9</v>
      </c>
      <c r="D45" s="2" t="s">
        <v>9</v>
      </c>
      <c r="E45" s="21" t="s">
        <v>9</v>
      </c>
      <c r="F45" s="8">
        <v>-20</v>
      </c>
      <c r="G45" s="9">
        <v>12</v>
      </c>
      <c r="J45" s="9" t="s">
        <v>12</v>
      </c>
      <c r="K45" s="16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-----Frys innan täck</v>
      </c>
    </row>
    <row r="46" spans="1:11" ht="15.75" thickBot="1" x14ac:dyDescent="0.3">
      <c r="A46" s="107" t="s">
        <v>9</v>
      </c>
      <c r="B46" s="109" t="s">
        <v>9</v>
      </c>
      <c r="C46" s="109" t="s">
        <v>9</v>
      </c>
      <c r="D46" s="22" t="s">
        <v>9</v>
      </c>
      <c r="E46" s="23" t="s">
        <v>9</v>
      </c>
      <c r="F46" s="10">
        <v>-20</v>
      </c>
      <c r="G46" s="12">
        <v>20</v>
      </c>
      <c r="H46" s="11"/>
      <c r="I46" s="11"/>
      <c r="J46" s="12" t="s">
        <v>12</v>
      </c>
      <c r="K46" s="17" t="str">
        <f>Table1417192021[[#This Row],[Slagg mängd]]&amp;Table1417192021[[#This Row],[Gjuttemperatur]]&amp;Table1417192021[[#This Row],[Temperatur motgjutningsyta]]&amp;Table1417192021[[#This Row],[Väderskydd, uppvärmning (ingen vind)]]&amp;Table1417192021[[#This Row],[Täckning '[mm']]]&amp;Table1417192021[[#This Row],[OK&lt;7 dagar]]&amp;Table1417192021[[#This Row],[Kommentar]]</f>
        <v>-----Frys innan täck</v>
      </c>
    </row>
  </sheetData>
  <phoneticPr fontId="3" type="noConversion"/>
  <dataValidations count="1">
    <dataValidation type="list" allowBlank="1" showInputMessage="1" showErrorMessage="1" sqref="L2:L46" xr:uid="{66BF558D-5C3B-4CF2-B415-C74F6170905B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9DD592B-02FD-46BF-A5F5-AF27AC775ECD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F50DA18E-C6D4-4E35-AEA0-0E6EB452F0ED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3F46DD15-6A0E-4EBA-94F1-541312C4E508}">
          <x14:formula1>
            <xm:f>Förutsättningar!$J$2:$J$3</xm:f>
          </x14:formula1>
          <xm:sqref>J2:J46</xm:sqref>
        </x14:dataValidation>
        <x14:dataValidation type="list" allowBlank="1" showInputMessage="1" showErrorMessage="1" xr:uid="{FE24A097-369D-483B-B7E3-3EF7DCA0C1D6}">
          <x14:formula1>
            <xm:f>Förutsättningar!$I$2:$I$7</xm:f>
          </x14:formula1>
          <xm:sqref>A2:A46</xm:sqref>
        </x14:dataValidation>
        <x14:dataValidation type="list" allowBlank="1" showInputMessage="1" showErrorMessage="1" xr:uid="{FD31725B-2083-460C-AC77-ED29F43E8C0B}">
          <x14:formula1>
            <xm:f>Förutsättningar!$F$2</xm:f>
          </x14:formula1>
          <xm:sqref>I2:I46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440B2-5302-4ED1-BB7D-3A61A080B1FC}">
  <sheetPr codeName="Sheet9"/>
  <dimension ref="A1:T46"/>
  <sheetViews>
    <sheetView zoomScale="115" zoomScaleNormal="115" workbookViewId="0">
      <selection activeCell="H12" sqref="H12"/>
    </sheetView>
  </sheetViews>
  <sheetFormatPr defaultRowHeight="15" x14ac:dyDescent="0.25"/>
  <cols>
    <col min="1" max="1" width="12.5703125" style="103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10" width="14.42578125" bestFit="1" customWidth="1"/>
    <col min="11" max="11" width="22.85546875" bestFit="1" customWidth="1"/>
    <col min="12" max="17" width="11.28515625" customWidth="1"/>
    <col min="18" max="18" width="12.28515625" customWidth="1"/>
  </cols>
  <sheetData>
    <row r="1" spans="1:20" ht="30.75" thickBot="1" x14ac:dyDescent="0.3">
      <c r="A1" s="117" t="s">
        <v>52</v>
      </c>
      <c r="B1" s="115" t="s">
        <v>0</v>
      </c>
      <c r="C1" s="115" t="s">
        <v>1</v>
      </c>
      <c r="D1" s="115" t="s">
        <v>2</v>
      </c>
      <c r="E1" s="115" t="s">
        <v>3</v>
      </c>
      <c r="F1" s="13" t="s">
        <v>4</v>
      </c>
      <c r="G1" s="13" t="s">
        <v>5</v>
      </c>
      <c r="H1" s="13" t="s">
        <v>77</v>
      </c>
      <c r="I1" s="13" t="s">
        <v>78</v>
      </c>
      <c r="J1" s="13" t="s">
        <v>6</v>
      </c>
      <c r="K1" s="14" t="s">
        <v>7</v>
      </c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05">
        <v>0.4</v>
      </c>
      <c r="B2" s="108">
        <f>Förutsättningar!M$18</f>
        <v>15</v>
      </c>
      <c r="C2" s="108">
        <f>Förutsättningar!N$18</f>
        <v>20</v>
      </c>
      <c r="D2" s="19" t="s">
        <v>9</v>
      </c>
      <c r="E2" s="20" t="s">
        <v>9</v>
      </c>
      <c r="F2" s="6">
        <v>20</v>
      </c>
      <c r="G2" s="7">
        <v>0</v>
      </c>
      <c r="H2" s="6">
        <v>6.5</v>
      </c>
      <c r="I2" s="6" t="s">
        <v>85</v>
      </c>
      <c r="J2" s="7"/>
      <c r="K2" s="15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0,41520--OK7</v>
      </c>
      <c r="O2" s="1"/>
    </row>
    <row r="3" spans="1:20" x14ac:dyDescent="0.25">
      <c r="A3" s="106">
        <v>0.4</v>
      </c>
      <c r="B3" s="116">
        <f>Förutsättningar!$M$18</f>
        <v>15</v>
      </c>
      <c r="C3" s="116">
        <f>Förutsättningar!N$18</f>
        <v>20</v>
      </c>
      <c r="D3" s="2" t="s">
        <v>9</v>
      </c>
      <c r="E3" s="21" t="s">
        <v>9</v>
      </c>
      <c r="F3">
        <v>20</v>
      </c>
      <c r="G3" s="9">
        <v>2</v>
      </c>
      <c r="H3">
        <v>7</v>
      </c>
      <c r="I3" t="s">
        <v>85</v>
      </c>
      <c r="J3" s="9"/>
      <c r="K3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0,41520--OK7</v>
      </c>
    </row>
    <row r="4" spans="1:20" x14ac:dyDescent="0.25">
      <c r="A4" s="106">
        <v>0.4</v>
      </c>
      <c r="B4" s="116">
        <f>Förutsättningar!$M$18</f>
        <v>15</v>
      </c>
      <c r="C4" s="116">
        <f>Förutsättningar!N$18</f>
        <v>20</v>
      </c>
      <c r="D4" s="2">
        <v>0</v>
      </c>
      <c r="E4" s="21" t="s">
        <v>11</v>
      </c>
      <c r="F4">
        <v>20</v>
      </c>
      <c r="G4" s="9">
        <v>7</v>
      </c>
      <c r="H4">
        <v>6.9</v>
      </c>
      <c r="I4" t="s">
        <v>85</v>
      </c>
      <c r="J4" s="9"/>
      <c r="K4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0,415200PresenningOK7</v>
      </c>
    </row>
    <row r="5" spans="1:20" x14ac:dyDescent="0.25">
      <c r="A5" s="106">
        <v>0.4</v>
      </c>
      <c r="B5" s="116">
        <f>Förutsättningar!$M$18</f>
        <v>15</v>
      </c>
      <c r="C5" s="116">
        <f>Förutsättningar!N$18</f>
        <v>20</v>
      </c>
      <c r="D5" s="2">
        <v>0</v>
      </c>
      <c r="E5" s="21" t="s">
        <v>11</v>
      </c>
      <c r="F5">
        <v>20</v>
      </c>
      <c r="G5" s="9">
        <v>12</v>
      </c>
      <c r="H5">
        <v>7</v>
      </c>
      <c r="I5" t="s">
        <v>85</v>
      </c>
      <c r="J5" s="9"/>
      <c r="K5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0,415200PresenningOK7</v>
      </c>
    </row>
    <row r="6" spans="1:20" ht="15.75" thickBot="1" x14ac:dyDescent="0.3">
      <c r="A6" s="107">
        <v>0.4</v>
      </c>
      <c r="B6" s="109">
        <f>Förutsättningar!$M$18</f>
        <v>15</v>
      </c>
      <c r="C6" s="109">
        <f>Förutsättningar!N$18</f>
        <v>20</v>
      </c>
      <c r="D6" s="22">
        <v>0</v>
      </c>
      <c r="E6" s="23" t="s">
        <v>11</v>
      </c>
      <c r="F6" s="11">
        <v>20</v>
      </c>
      <c r="G6" s="12">
        <v>20</v>
      </c>
      <c r="H6" s="11">
        <v>7</v>
      </c>
      <c r="I6" s="11" t="s">
        <v>85</v>
      </c>
      <c r="J6" s="12"/>
      <c r="K6" s="17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0,415200PresenningOK7</v>
      </c>
    </row>
    <row r="7" spans="1:20" x14ac:dyDescent="0.25">
      <c r="A7" s="106">
        <v>0.2</v>
      </c>
      <c r="B7" s="116">
        <f>Förutsättningar!M$19</f>
        <v>15</v>
      </c>
      <c r="C7" s="116">
        <f>Förutsättningar!N$19</f>
        <v>15</v>
      </c>
      <c r="D7" s="2" t="s">
        <v>9</v>
      </c>
      <c r="E7" s="21" t="s">
        <v>9</v>
      </c>
      <c r="F7" s="5">
        <v>15</v>
      </c>
      <c r="G7" s="7">
        <v>0</v>
      </c>
      <c r="H7" s="6">
        <v>6.4</v>
      </c>
      <c r="I7" s="6" t="s">
        <v>85</v>
      </c>
      <c r="J7" s="7"/>
      <c r="K7" s="15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0,21515--OK7</v>
      </c>
    </row>
    <row r="8" spans="1:20" x14ac:dyDescent="0.25">
      <c r="A8" s="106">
        <v>0.2</v>
      </c>
      <c r="B8" s="116">
        <f>Förutsättningar!M$19</f>
        <v>15</v>
      </c>
      <c r="C8" s="116">
        <f>Förutsättningar!N$19</f>
        <v>15</v>
      </c>
      <c r="D8" s="2">
        <v>0</v>
      </c>
      <c r="E8" s="21" t="s">
        <v>9</v>
      </c>
      <c r="F8" s="8">
        <v>15</v>
      </c>
      <c r="G8" s="9">
        <v>2</v>
      </c>
      <c r="H8">
        <v>7</v>
      </c>
      <c r="I8" t="s">
        <v>85</v>
      </c>
      <c r="J8" s="9"/>
      <c r="K8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0,215150-OK7</v>
      </c>
    </row>
    <row r="9" spans="1:20" x14ac:dyDescent="0.25">
      <c r="A9" s="106">
        <v>0.1</v>
      </c>
      <c r="B9" s="116">
        <f>Förutsättningar!M$19</f>
        <v>15</v>
      </c>
      <c r="C9" s="116">
        <f>Förutsättningar!N$19</f>
        <v>15</v>
      </c>
      <c r="D9" s="2" t="s">
        <v>9</v>
      </c>
      <c r="E9" s="21" t="s">
        <v>9</v>
      </c>
      <c r="F9" s="8">
        <v>15</v>
      </c>
      <c r="G9" s="9">
        <v>7</v>
      </c>
      <c r="H9">
        <v>6</v>
      </c>
      <c r="I9" t="s">
        <v>85</v>
      </c>
      <c r="J9" s="9"/>
      <c r="K9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0,11515--OK7</v>
      </c>
    </row>
    <row r="10" spans="1:20" x14ac:dyDescent="0.25">
      <c r="A10" s="106">
        <v>0.1</v>
      </c>
      <c r="B10" s="116">
        <f>Förutsättningar!M$19</f>
        <v>15</v>
      </c>
      <c r="C10" s="116">
        <f>Förutsättningar!N$19</f>
        <v>15</v>
      </c>
      <c r="D10" s="2" t="s">
        <v>9</v>
      </c>
      <c r="E10" s="21" t="s">
        <v>9</v>
      </c>
      <c r="F10" s="8">
        <v>15</v>
      </c>
      <c r="G10" s="9">
        <v>12</v>
      </c>
      <c r="H10">
        <v>6</v>
      </c>
      <c r="I10" t="s">
        <v>85</v>
      </c>
      <c r="J10" s="9"/>
      <c r="K10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0,11515--OK7</v>
      </c>
    </row>
    <row r="11" spans="1:20" ht="15.75" thickBot="1" x14ac:dyDescent="0.3">
      <c r="A11" s="107">
        <v>0.1</v>
      </c>
      <c r="B11" s="109">
        <f>Förutsättningar!M$19</f>
        <v>15</v>
      </c>
      <c r="C11" s="109">
        <f>Förutsättningar!N$19</f>
        <v>15</v>
      </c>
      <c r="D11" s="22" t="s">
        <v>9</v>
      </c>
      <c r="E11" s="23" t="s">
        <v>9</v>
      </c>
      <c r="F11" s="10">
        <v>15</v>
      </c>
      <c r="G11" s="12">
        <v>20</v>
      </c>
      <c r="H11" s="11">
        <v>6.1</v>
      </c>
      <c r="I11" s="11" t="s">
        <v>85</v>
      </c>
      <c r="J11" s="12"/>
      <c r="K11" s="17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0,11515--OK7</v>
      </c>
    </row>
    <row r="12" spans="1:20" x14ac:dyDescent="0.25">
      <c r="A12" s="105">
        <v>0.1</v>
      </c>
      <c r="B12" s="108">
        <f>Förutsättningar!M$20</f>
        <v>15</v>
      </c>
      <c r="C12" s="108">
        <f>Förutsättningar!N$20</f>
        <v>10</v>
      </c>
      <c r="D12" s="18" t="s">
        <v>9</v>
      </c>
      <c r="E12" s="20" t="s">
        <v>9</v>
      </c>
      <c r="F12" s="5">
        <v>10</v>
      </c>
      <c r="G12" s="7">
        <v>0</v>
      </c>
      <c r="H12" s="6">
        <v>6.7</v>
      </c>
      <c r="I12" s="6" t="s">
        <v>85</v>
      </c>
      <c r="J12" s="7"/>
      <c r="K12" s="15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0,11510--OK7</v>
      </c>
    </row>
    <row r="13" spans="1:20" x14ac:dyDescent="0.25">
      <c r="A13" s="106" t="s">
        <v>83</v>
      </c>
      <c r="B13" s="116">
        <f>Förutsättningar!M$20</f>
        <v>15</v>
      </c>
      <c r="C13" s="116">
        <f>Förutsättningar!N$20</f>
        <v>10</v>
      </c>
      <c r="D13" s="2" t="s">
        <v>9</v>
      </c>
      <c r="E13" s="21" t="s">
        <v>9</v>
      </c>
      <c r="F13" s="8">
        <v>10</v>
      </c>
      <c r="G13" s="9">
        <v>2</v>
      </c>
      <c r="H13">
        <v>5.8</v>
      </c>
      <c r="I13" t="s">
        <v>85</v>
      </c>
      <c r="J13" s="9"/>
      <c r="K13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Bas+0%1510--OK7</v>
      </c>
    </row>
    <row r="14" spans="1:20" x14ac:dyDescent="0.25">
      <c r="A14" s="106" t="s">
        <v>83</v>
      </c>
      <c r="B14" s="116">
        <f>Förutsättningar!M$20</f>
        <v>15</v>
      </c>
      <c r="C14" s="116">
        <f>Förutsättningar!N$20</f>
        <v>10</v>
      </c>
      <c r="D14" s="2" t="s">
        <v>9</v>
      </c>
      <c r="E14" s="21" t="s">
        <v>9</v>
      </c>
      <c r="F14" s="8">
        <v>10</v>
      </c>
      <c r="G14" s="9">
        <v>7</v>
      </c>
      <c r="H14">
        <v>6.3</v>
      </c>
      <c r="I14" t="s">
        <v>85</v>
      </c>
      <c r="J14" s="9"/>
      <c r="K14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Bas+0%1510--OK7</v>
      </c>
    </row>
    <row r="15" spans="1:20" x14ac:dyDescent="0.25">
      <c r="A15" s="106" t="s">
        <v>83</v>
      </c>
      <c r="B15" s="116">
        <f>Förutsättningar!M$20</f>
        <v>15</v>
      </c>
      <c r="C15" s="116">
        <f>Förutsättningar!N$20</f>
        <v>10</v>
      </c>
      <c r="D15" s="2" t="s">
        <v>9</v>
      </c>
      <c r="E15" s="21" t="s">
        <v>9</v>
      </c>
      <c r="F15" s="8">
        <v>10</v>
      </c>
      <c r="G15" s="9">
        <v>12</v>
      </c>
      <c r="H15">
        <v>6.4</v>
      </c>
      <c r="I15" t="s">
        <v>85</v>
      </c>
      <c r="J15" s="9"/>
      <c r="K15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Bas+0%1510--OK7</v>
      </c>
    </row>
    <row r="16" spans="1:20" ht="15.75" thickBot="1" x14ac:dyDescent="0.3">
      <c r="A16" s="107" t="s">
        <v>83</v>
      </c>
      <c r="B16" s="109">
        <f>Förutsättningar!M$20</f>
        <v>15</v>
      </c>
      <c r="C16" s="109">
        <f>Förutsättningar!N$20</f>
        <v>10</v>
      </c>
      <c r="D16" s="22" t="s">
        <v>9</v>
      </c>
      <c r="E16" s="23" t="s">
        <v>9</v>
      </c>
      <c r="F16" s="10">
        <v>10</v>
      </c>
      <c r="G16" s="12">
        <v>20</v>
      </c>
      <c r="H16" s="11">
        <v>6.4</v>
      </c>
      <c r="I16" s="11" t="s">
        <v>85</v>
      </c>
      <c r="J16" s="12"/>
      <c r="K16" s="17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Bas+0%1510--OK7</v>
      </c>
    </row>
    <row r="17" spans="1:11" x14ac:dyDescent="0.25">
      <c r="A17" s="105">
        <v>0.4</v>
      </c>
      <c r="B17" s="108">
        <f>Förutsättningar!M$21</f>
        <v>20</v>
      </c>
      <c r="C17" s="108">
        <f>Förutsättningar!N$21</f>
        <v>5</v>
      </c>
      <c r="D17" s="18">
        <v>20</v>
      </c>
      <c r="E17" s="20">
        <v>10</v>
      </c>
      <c r="F17" s="5">
        <v>5</v>
      </c>
      <c r="G17" s="7">
        <v>0</v>
      </c>
      <c r="H17" s="6">
        <v>6.7</v>
      </c>
      <c r="I17" s="6" t="s">
        <v>85</v>
      </c>
      <c r="J17" s="7"/>
      <c r="K17" s="15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0,42052010OK7</v>
      </c>
    </row>
    <row r="18" spans="1:11" x14ac:dyDescent="0.25">
      <c r="A18" s="106">
        <v>0.4</v>
      </c>
      <c r="B18" s="116">
        <f>Förutsättningar!M$21</f>
        <v>20</v>
      </c>
      <c r="C18" s="116">
        <f>Förutsättningar!N$21</f>
        <v>5</v>
      </c>
      <c r="D18" s="2">
        <v>20</v>
      </c>
      <c r="E18" s="21">
        <v>20</v>
      </c>
      <c r="F18" s="8">
        <v>5</v>
      </c>
      <c r="G18" s="9">
        <v>2</v>
      </c>
      <c r="H18">
        <v>6.2</v>
      </c>
      <c r="I18" t="s">
        <v>85</v>
      </c>
      <c r="J18" s="9"/>
      <c r="K18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0,42052020OK7</v>
      </c>
    </row>
    <row r="19" spans="1:11" x14ac:dyDescent="0.25">
      <c r="A19" s="106">
        <v>0.4</v>
      </c>
      <c r="B19" s="116">
        <f>Förutsättningar!M$21</f>
        <v>20</v>
      </c>
      <c r="C19" s="116">
        <f>Förutsättningar!N$21</f>
        <v>5</v>
      </c>
      <c r="D19" s="2">
        <v>20</v>
      </c>
      <c r="E19" s="21">
        <v>20</v>
      </c>
      <c r="F19" s="8">
        <v>5</v>
      </c>
      <c r="G19" s="9">
        <v>7</v>
      </c>
      <c r="H19">
        <v>6.4</v>
      </c>
      <c r="I19" t="s">
        <v>85</v>
      </c>
      <c r="J19" s="9"/>
      <c r="K19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0,42052020OK7</v>
      </c>
    </row>
    <row r="20" spans="1:11" x14ac:dyDescent="0.25">
      <c r="A20" s="106">
        <v>0.4</v>
      </c>
      <c r="B20" s="116">
        <f>Förutsättningar!M$21</f>
        <v>20</v>
      </c>
      <c r="C20" s="116">
        <f>Förutsättningar!N$21</f>
        <v>5</v>
      </c>
      <c r="D20" s="2">
        <v>20</v>
      </c>
      <c r="E20" s="21">
        <v>20</v>
      </c>
      <c r="F20" s="8">
        <v>5</v>
      </c>
      <c r="G20" s="9">
        <v>12</v>
      </c>
      <c r="H20">
        <v>6.5</v>
      </c>
      <c r="I20" t="s">
        <v>85</v>
      </c>
      <c r="J20" s="9"/>
      <c r="K20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0,42052020OK7</v>
      </c>
    </row>
    <row r="21" spans="1:11" ht="15.75" thickBot="1" x14ac:dyDescent="0.3">
      <c r="A21" s="107">
        <v>0.4</v>
      </c>
      <c r="B21" s="109">
        <f>Förutsättningar!M$21</f>
        <v>20</v>
      </c>
      <c r="C21" s="109">
        <f>Förutsättningar!N$21</f>
        <v>5</v>
      </c>
      <c r="D21" s="22">
        <v>20</v>
      </c>
      <c r="E21" s="23">
        <v>20</v>
      </c>
      <c r="F21" s="10">
        <v>5</v>
      </c>
      <c r="G21" s="12">
        <v>20</v>
      </c>
      <c r="H21" s="11">
        <v>6.5</v>
      </c>
      <c r="I21" s="11" t="s">
        <v>85</v>
      </c>
      <c r="J21" s="12"/>
      <c r="K21" s="17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0,42052020OK7</v>
      </c>
    </row>
    <row r="22" spans="1:11" x14ac:dyDescent="0.25">
      <c r="A22" s="105">
        <v>0.4</v>
      </c>
      <c r="B22" s="108">
        <f>Förutsättningar!M$22</f>
        <v>20</v>
      </c>
      <c r="C22" s="108">
        <f>Förutsättningar!N$22</f>
        <v>5</v>
      </c>
      <c r="D22" s="18">
        <v>20</v>
      </c>
      <c r="E22" s="20">
        <v>20</v>
      </c>
      <c r="F22" s="5">
        <v>0</v>
      </c>
      <c r="G22" s="7">
        <v>0</v>
      </c>
      <c r="H22" s="6">
        <v>7</v>
      </c>
      <c r="I22" s="6" t="s">
        <v>85</v>
      </c>
      <c r="J22" s="7"/>
      <c r="K22" s="15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0,42052020OK7</v>
      </c>
    </row>
    <row r="23" spans="1:11" x14ac:dyDescent="0.25">
      <c r="A23" s="106">
        <v>0.4</v>
      </c>
      <c r="B23" s="116">
        <f>Förutsättningar!M$22</f>
        <v>20</v>
      </c>
      <c r="C23" s="116">
        <f>Förutsättningar!N$22</f>
        <v>5</v>
      </c>
      <c r="D23" s="2">
        <v>20</v>
      </c>
      <c r="E23" s="21">
        <v>50</v>
      </c>
      <c r="F23" s="8">
        <v>0</v>
      </c>
      <c r="G23" s="9">
        <v>2</v>
      </c>
      <c r="H23">
        <v>6.3</v>
      </c>
      <c r="I23" t="s">
        <v>85</v>
      </c>
      <c r="J23" s="9"/>
      <c r="K23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0,42052050OK7</v>
      </c>
    </row>
    <row r="24" spans="1:11" x14ac:dyDescent="0.25">
      <c r="A24" s="106">
        <v>0.4</v>
      </c>
      <c r="B24" s="116">
        <f>Förutsättningar!M$22</f>
        <v>20</v>
      </c>
      <c r="C24" s="116">
        <f>Förutsättningar!N$22</f>
        <v>5</v>
      </c>
      <c r="D24" s="2">
        <v>20</v>
      </c>
      <c r="E24" s="21">
        <v>50</v>
      </c>
      <c r="F24" s="8">
        <v>0</v>
      </c>
      <c r="G24" s="9">
        <v>7</v>
      </c>
      <c r="H24">
        <v>6.5</v>
      </c>
      <c r="I24" t="s">
        <v>85</v>
      </c>
      <c r="J24" s="9"/>
      <c r="K24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0,42052050OK7</v>
      </c>
    </row>
    <row r="25" spans="1:11" x14ac:dyDescent="0.25">
      <c r="A25" s="106">
        <v>0.4</v>
      </c>
      <c r="B25" s="116">
        <f>Förutsättningar!M$22</f>
        <v>20</v>
      </c>
      <c r="C25" s="116">
        <f>Förutsättningar!N$22</f>
        <v>5</v>
      </c>
      <c r="D25" s="2">
        <v>20</v>
      </c>
      <c r="E25" s="21">
        <v>50</v>
      </c>
      <c r="F25" s="8">
        <v>0</v>
      </c>
      <c r="G25" s="9">
        <v>12</v>
      </c>
      <c r="H25">
        <v>6.5</v>
      </c>
      <c r="I25" t="s">
        <v>85</v>
      </c>
      <c r="J25" s="9"/>
      <c r="K25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0,42052050OK7</v>
      </c>
    </row>
    <row r="26" spans="1:11" ht="15.75" thickBot="1" x14ac:dyDescent="0.3">
      <c r="A26" s="107">
        <v>0.4</v>
      </c>
      <c r="B26" s="109">
        <f>Förutsättningar!M$22</f>
        <v>20</v>
      </c>
      <c r="C26" s="109">
        <f>Förutsättningar!N$22</f>
        <v>5</v>
      </c>
      <c r="D26" s="22">
        <v>20</v>
      </c>
      <c r="E26" s="23">
        <v>50</v>
      </c>
      <c r="F26" s="10">
        <v>0</v>
      </c>
      <c r="G26" s="12">
        <v>20</v>
      </c>
      <c r="H26" s="11">
        <v>6.6</v>
      </c>
      <c r="I26" s="11" t="s">
        <v>85</v>
      </c>
      <c r="J26" s="12"/>
      <c r="K26" s="17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0,42052050OK7</v>
      </c>
    </row>
    <row r="27" spans="1:11" x14ac:dyDescent="0.25">
      <c r="A27" s="105">
        <v>0.3</v>
      </c>
      <c r="B27" s="108">
        <f>Förutsättningar!M$23</f>
        <v>20</v>
      </c>
      <c r="C27" s="108">
        <f>Förutsättningar!N$23</f>
        <v>5</v>
      </c>
      <c r="D27" s="18">
        <v>20</v>
      </c>
      <c r="E27" s="20">
        <v>50</v>
      </c>
      <c r="F27" s="5">
        <v>-5</v>
      </c>
      <c r="G27" s="7">
        <v>0</v>
      </c>
      <c r="H27" s="6">
        <v>6.8</v>
      </c>
      <c r="I27" s="6" t="s">
        <v>85</v>
      </c>
      <c r="J27" s="7"/>
      <c r="K27" s="15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0,32052050OK7</v>
      </c>
    </row>
    <row r="28" spans="1:11" x14ac:dyDescent="0.25">
      <c r="A28" s="106">
        <v>0.3</v>
      </c>
      <c r="B28" s="116">
        <f>Förutsättningar!M$23</f>
        <v>20</v>
      </c>
      <c r="C28" s="116">
        <f>Förutsättningar!N$23</f>
        <v>5</v>
      </c>
      <c r="D28" s="2">
        <v>20</v>
      </c>
      <c r="E28" s="21">
        <v>50</v>
      </c>
      <c r="F28" s="8">
        <v>-5</v>
      </c>
      <c r="G28" s="9">
        <v>2</v>
      </c>
      <c r="H28">
        <v>7</v>
      </c>
      <c r="I28" t="s">
        <v>85</v>
      </c>
      <c r="J28" s="9"/>
      <c r="K28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0,32052050OK7</v>
      </c>
    </row>
    <row r="29" spans="1:11" x14ac:dyDescent="0.25">
      <c r="A29" s="106">
        <v>0.2</v>
      </c>
      <c r="B29" s="116">
        <f>Förutsättningar!M$23</f>
        <v>20</v>
      </c>
      <c r="C29" s="116">
        <f>Förutsättningar!N$23</f>
        <v>5</v>
      </c>
      <c r="D29" s="2">
        <v>20</v>
      </c>
      <c r="E29" s="21">
        <v>50</v>
      </c>
      <c r="F29" s="8">
        <v>-5</v>
      </c>
      <c r="G29" s="9">
        <v>7</v>
      </c>
      <c r="H29">
        <v>5.8</v>
      </c>
      <c r="I29" t="s">
        <v>85</v>
      </c>
      <c r="J29" s="9"/>
      <c r="K29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0,22052050OK7</v>
      </c>
    </row>
    <row r="30" spans="1:11" x14ac:dyDescent="0.25">
      <c r="A30" s="106">
        <v>0.2</v>
      </c>
      <c r="B30" s="116">
        <f>Förutsättningar!M$23</f>
        <v>20</v>
      </c>
      <c r="C30" s="116">
        <f>Förutsättningar!N$23</f>
        <v>5</v>
      </c>
      <c r="D30" s="2">
        <v>20</v>
      </c>
      <c r="E30" s="21">
        <v>50</v>
      </c>
      <c r="F30" s="8">
        <v>-5</v>
      </c>
      <c r="G30" s="9">
        <v>12</v>
      </c>
      <c r="H30">
        <v>6</v>
      </c>
      <c r="I30" t="s">
        <v>85</v>
      </c>
      <c r="J30" s="9"/>
      <c r="K30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0,22052050OK7</v>
      </c>
    </row>
    <row r="31" spans="1:11" ht="15.75" thickBot="1" x14ac:dyDescent="0.3">
      <c r="A31" s="107">
        <v>0.2</v>
      </c>
      <c r="B31" s="109">
        <f>Förutsättningar!M$23</f>
        <v>20</v>
      </c>
      <c r="C31" s="109">
        <f>Förutsättningar!N$23</f>
        <v>5</v>
      </c>
      <c r="D31" s="22">
        <v>20</v>
      </c>
      <c r="E31" s="23">
        <v>50</v>
      </c>
      <c r="F31" s="10">
        <v>-5</v>
      </c>
      <c r="G31" s="12">
        <v>20</v>
      </c>
      <c r="H31" s="11">
        <v>6.1</v>
      </c>
      <c r="I31" s="11" t="s">
        <v>85</v>
      </c>
      <c r="J31" s="12"/>
      <c r="K31" s="17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0,22052050OK7</v>
      </c>
    </row>
    <row r="32" spans="1:11" x14ac:dyDescent="0.25">
      <c r="A32" s="105">
        <v>0.1</v>
      </c>
      <c r="B32" s="108">
        <f>Förutsättningar!M$24</f>
        <v>20</v>
      </c>
      <c r="C32" s="108">
        <f>Förutsättningar!N$24</f>
        <v>5</v>
      </c>
      <c r="D32" s="18">
        <v>20</v>
      </c>
      <c r="E32" s="20">
        <v>30</v>
      </c>
      <c r="F32" s="5">
        <v>-10</v>
      </c>
      <c r="G32" s="7">
        <v>0</v>
      </c>
      <c r="H32" s="6">
        <v>6.4</v>
      </c>
      <c r="I32" s="6" t="s">
        <v>85</v>
      </c>
      <c r="J32" s="7"/>
      <c r="K32" s="15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0,12052030OK7</v>
      </c>
    </row>
    <row r="33" spans="1:11" x14ac:dyDescent="0.25">
      <c r="A33" s="106">
        <v>0.1</v>
      </c>
      <c r="B33" s="116">
        <f>Förutsättningar!M$24</f>
        <v>20</v>
      </c>
      <c r="C33" s="116">
        <f>Förutsättningar!N$24</f>
        <v>5</v>
      </c>
      <c r="D33" s="2">
        <v>20</v>
      </c>
      <c r="E33" s="21">
        <v>30</v>
      </c>
      <c r="F33" s="8">
        <v>-10</v>
      </c>
      <c r="G33" s="9">
        <v>2</v>
      </c>
      <c r="H33">
        <v>7</v>
      </c>
      <c r="I33" t="s">
        <v>85</v>
      </c>
      <c r="J33" s="9"/>
      <c r="K33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0,12052030OK7</v>
      </c>
    </row>
    <row r="34" spans="1:11" x14ac:dyDescent="0.25">
      <c r="A34" s="106">
        <v>0.1</v>
      </c>
      <c r="B34" s="116">
        <f>Förutsättningar!M$24</f>
        <v>20</v>
      </c>
      <c r="C34" s="116">
        <f>Förutsättningar!N$24</f>
        <v>5</v>
      </c>
      <c r="D34" s="2">
        <v>20</v>
      </c>
      <c r="E34" s="21">
        <v>50</v>
      </c>
      <c r="F34" s="8">
        <v>-10</v>
      </c>
      <c r="G34" s="9">
        <v>7</v>
      </c>
      <c r="H34">
        <v>5.7</v>
      </c>
      <c r="I34" t="s">
        <v>85</v>
      </c>
      <c r="J34" s="9"/>
      <c r="K34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0,12052050OK7</v>
      </c>
    </row>
    <row r="35" spans="1:11" x14ac:dyDescent="0.25">
      <c r="A35" s="106" t="s">
        <v>9</v>
      </c>
      <c r="B35" s="116" t="s">
        <v>9</v>
      </c>
      <c r="C35" s="116" t="s">
        <v>9</v>
      </c>
      <c r="D35" s="2" t="s">
        <v>9</v>
      </c>
      <c r="E35" s="21" t="s">
        <v>9</v>
      </c>
      <c r="F35" s="8">
        <v>-10</v>
      </c>
      <c r="G35" s="9">
        <v>12</v>
      </c>
      <c r="J35" s="9" t="s">
        <v>12</v>
      </c>
      <c r="K35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-----Frys innan täck</v>
      </c>
    </row>
    <row r="36" spans="1:11" ht="15.75" thickBot="1" x14ac:dyDescent="0.3">
      <c r="A36" s="107" t="s">
        <v>9</v>
      </c>
      <c r="B36" s="109" t="s">
        <v>9</v>
      </c>
      <c r="C36" s="109" t="s">
        <v>9</v>
      </c>
      <c r="D36" s="22" t="s">
        <v>9</v>
      </c>
      <c r="E36" s="23" t="s">
        <v>9</v>
      </c>
      <c r="F36" s="10">
        <v>-10</v>
      </c>
      <c r="G36" s="12">
        <v>20</v>
      </c>
      <c r="H36" s="11"/>
      <c r="I36" s="11"/>
      <c r="J36" s="12" t="s">
        <v>12</v>
      </c>
      <c r="K36" s="17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-----Frys innan täck</v>
      </c>
    </row>
    <row r="37" spans="1:11" x14ac:dyDescent="0.25">
      <c r="A37" s="105" t="s">
        <v>83</v>
      </c>
      <c r="B37" s="108">
        <f>Förutsättningar!M$25</f>
        <v>15</v>
      </c>
      <c r="C37" s="108">
        <f>Förutsättningar!N$25</f>
        <v>5</v>
      </c>
      <c r="D37" s="18">
        <v>20</v>
      </c>
      <c r="E37" s="20">
        <v>50</v>
      </c>
      <c r="F37" s="5">
        <v>-15</v>
      </c>
      <c r="G37" s="7">
        <v>0</v>
      </c>
      <c r="H37" s="6">
        <v>5.2</v>
      </c>
      <c r="I37" s="6" t="s">
        <v>85</v>
      </c>
      <c r="J37" s="7"/>
      <c r="K37" s="15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Bas+0%1552050OK7</v>
      </c>
    </row>
    <row r="38" spans="1:11" x14ac:dyDescent="0.25">
      <c r="A38" s="106" t="s">
        <v>83</v>
      </c>
      <c r="B38" s="116">
        <f>Förutsättningar!M$25</f>
        <v>15</v>
      </c>
      <c r="C38" s="116">
        <f>Förutsättningar!N$25</f>
        <v>5</v>
      </c>
      <c r="D38" s="2">
        <v>20</v>
      </c>
      <c r="E38" s="21">
        <v>50</v>
      </c>
      <c r="F38" s="8">
        <v>-15</v>
      </c>
      <c r="G38" s="9">
        <v>2</v>
      </c>
      <c r="H38">
        <v>5.5</v>
      </c>
      <c r="I38" t="s">
        <v>85</v>
      </c>
      <c r="J38" s="9"/>
      <c r="K38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Bas+0%1552050OK7</v>
      </c>
    </row>
    <row r="39" spans="1:11" x14ac:dyDescent="0.25">
      <c r="A39" s="106" t="s">
        <v>9</v>
      </c>
      <c r="B39" s="116" t="s">
        <v>9</v>
      </c>
      <c r="C39" s="116" t="s">
        <v>9</v>
      </c>
      <c r="D39" s="2" t="s">
        <v>9</v>
      </c>
      <c r="E39" s="21" t="s">
        <v>9</v>
      </c>
      <c r="F39" s="8">
        <v>-15</v>
      </c>
      <c r="G39" s="9">
        <v>7</v>
      </c>
      <c r="J39" s="9" t="s">
        <v>12</v>
      </c>
      <c r="K39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-----Frys innan täck</v>
      </c>
    </row>
    <row r="40" spans="1:11" x14ac:dyDescent="0.25">
      <c r="A40" s="106" t="s">
        <v>9</v>
      </c>
      <c r="B40" s="116" t="s">
        <v>9</v>
      </c>
      <c r="C40" s="116" t="s">
        <v>9</v>
      </c>
      <c r="D40" s="2" t="s">
        <v>9</v>
      </c>
      <c r="E40" s="21" t="s">
        <v>9</v>
      </c>
      <c r="F40" s="8">
        <v>-15</v>
      </c>
      <c r="G40" s="9">
        <v>12</v>
      </c>
      <c r="J40" s="9" t="s">
        <v>12</v>
      </c>
      <c r="K40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-----Frys innan täck</v>
      </c>
    </row>
    <row r="41" spans="1:11" ht="15.75" thickBot="1" x14ac:dyDescent="0.3">
      <c r="A41" s="107" t="s">
        <v>9</v>
      </c>
      <c r="B41" s="109" t="s">
        <v>9</v>
      </c>
      <c r="C41" s="109" t="s">
        <v>9</v>
      </c>
      <c r="D41" s="22" t="s">
        <v>9</v>
      </c>
      <c r="E41" s="23" t="s">
        <v>9</v>
      </c>
      <c r="F41" s="10">
        <v>-15</v>
      </c>
      <c r="G41" s="12">
        <v>20</v>
      </c>
      <c r="H41" s="11"/>
      <c r="I41" s="11"/>
      <c r="J41" s="12" t="s">
        <v>12</v>
      </c>
      <c r="K41" s="17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-----Frys innan täck</v>
      </c>
    </row>
    <row r="42" spans="1:11" x14ac:dyDescent="0.25">
      <c r="A42" s="106" t="s">
        <v>9</v>
      </c>
      <c r="B42" s="108" t="s">
        <v>9</v>
      </c>
      <c r="C42" s="108" t="s">
        <v>9</v>
      </c>
      <c r="D42" s="2" t="s">
        <v>9</v>
      </c>
      <c r="E42" s="21" t="s">
        <v>9</v>
      </c>
      <c r="F42" s="8">
        <v>-20</v>
      </c>
      <c r="G42" s="9">
        <v>0</v>
      </c>
      <c r="J42" s="9" t="s">
        <v>18</v>
      </c>
      <c r="K42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-----Når ej 70%</v>
      </c>
    </row>
    <row r="43" spans="1:11" x14ac:dyDescent="0.25">
      <c r="A43" s="106" t="s">
        <v>9</v>
      </c>
      <c r="B43" s="116" t="s">
        <v>9</v>
      </c>
      <c r="C43" s="116" t="s">
        <v>9</v>
      </c>
      <c r="D43" s="2" t="s">
        <v>9</v>
      </c>
      <c r="E43" s="21" t="s">
        <v>9</v>
      </c>
      <c r="F43" s="8">
        <v>-20</v>
      </c>
      <c r="G43" s="9">
        <v>2</v>
      </c>
      <c r="J43" s="9" t="s">
        <v>18</v>
      </c>
      <c r="K43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-----Når ej 70%</v>
      </c>
    </row>
    <row r="44" spans="1:11" x14ac:dyDescent="0.25">
      <c r="A44" s="106" t="s">
        <v>9</v>
      </c>
      <c r="B44" s="116" t="s">
        <v>9</v>
      </c>
      <c r="C44" s="116" t="s">
        <v>9</v>
      </c>
      <c r="D44" s="2" t="s">
        <v>9</v>
      </c>
      <c r="E44" s="21" t="s">
        <v>9</v>
      </c>
      <c r="F44" s="8">
        <v>-20</v>
      </c>
      <c r="G44" s="9">
        <v>7</v>
      </c>
      <c r="J44" s="9" t="s">
        <v>12</v>
      </c>
      <c r="K44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-----Frys innan täck</v>
      </c>
    </row>
    <row r="45" spans="1:11" x14ac:dyDescent="0.25">
      <c r="A45" s="106" t="s">
        <v>9</v>
      </c>
      <c r="B45" s="116" t="s">
        <v>9</v>
      </c>
      <c r="C45" s="116" t="s">
        <v>9</v>
      </c>
      <c r="D45" s="2" t="s">
        <v>9</v>
      </c>
      <c r="E45" s="21" t="s">
        <v>9</v>
      </c>
      <c r="F45" s="8">
        <v>-20</v>
      </c>
      <c r="G45" s="9">
        <v>12</v>
      </c>
      <c r="J45" s="9" t="s">
        <v>12</v>
      </c>
      <c r="K45" s="16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-----Frys innan täck</v>
      </c>
    </row>
    <row r="46" spans="1:11" ht="15.75" thickBot="1" x14ac:dyDescent="0.3">
      <c r="A46" s="107" t="s">
        <v>9</v>
      </c>
      <c r="B46" s="109" t="s">
        <v>9</v>
      </c>
      <c r="C46" s="109" t="s">
        <v>9</v>
      </c>
      <c r="D46" s="22" t="s">
        <v>9</v>
      </c>
      <c r="E46" s="23" t="s">
        <v>9</v>
      </c>
      <c r="F46" s="10">
        <v>-20</v>
      </c>
      <c r="G46" s="12">
        <v>20</v>
      </c>
      <c r="H46" s="11"/>
      <c r="I46" s="11"/>
      <c r="J46" s="12" t="s">
        <v>12</v>
      </c>
      <c r="K46" s="17" t="str">
        <f>Table14171920[[#This Row],[Slagg mängd]]&amp;Table14171920[[#This Row],[Gjuttemperatur]]&amp;Table14171920[[#This Row],[Temperatur motgjutningsyta]]&amp;Table14171920[[#This Row],[Väderskydd, uppvärmning (ingen vind)]]&amp;Table14171920[[#This Row],[Täckning '[mm']]]&amp;Table14171920[[#This Row],[OK&lt;7 dagar]]&amp;Table14171920[[#This Row],[Kommentar]]</f>
        <v>-----Frys innan täck</v>
      </c>
    </row>
  </sheetData>
  <phoneticPr fontId="3" type="noConversion"/>
  <dataValidations count="1">
    <dataValidation type="list" allowBlank="1" showInputMessage="1" showErrorMessage="1" sqref="L2:L46" xr:uid="{B1A57A7A-9F21-4ECE-9BC4-5A69A5843AC1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5355FF3-3991-44DC-AD74-80D186C794E4}">
          <x14:formula1>
            <xm:f>Förutsättningar!$J$2:$J$3</xm:f>
          </x14:formula1>
          <xm:sqref>J2:J46</xm:sqref>
        </x14:dataValidation>
        <x14:dataValidation type="list" allowBlank="1" showInputMessage="1" showErrorMessage="1" xr:uid="{44506B42-9B6F-4AE7-9F72-0396CF750A8A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F01A77C3-C0B0-4E34-8175-48FF454FE6BA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0F6AB6DE-CFCF-4AA4-9EB9-0273831E07D9}">
          <x14:formula1>
            <xm:f>Förutsättningar!$I$2:$I$7</xm:f>
          </x14:formula1>
          <xm:sqref>A2:A46</xm:sqref>
        </x14:dataValidation>
        <x14:dataValidation type="list" allowBlank="1" showInputMessage="1" showErrorMessage="1" xr:uid="{7C2FBF8C-7538-48D8-83EC-408A9841D55E}">
          <x14:formula1>
            <xm:f>Förutsättningar!$F$2</xm:f>
          </x14:formula1>
          <xm:sqref>I2:I46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AC7B5-65B0-44E3-8254-A89EFDA326AC}">
  <sheetPr codeName="Sheet8"/>
  <dimension ref="A1:T46"/>
  <sheetViews>
    <sheetView zoomScale="115" zoomScaleNormal="115" workbookViewId="0">
      <selection activeCell="H13" sqref="H13"/>
    </sheetView>
  </sheetViews>
  <sheetFormatPr defaultRowHeight="15" x14ac:dyDescent="0.25"/>
  <cols>
    <col min="1" max="1" width="12.5703125" style="103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10" width="14.42578125" bestFit="1" customWidth="1"/>
    <col min="11" max="11" width="22.85546875" bestFit="1" customWidth="1"/>
    <col min="12" max="17" width="11.28515625" customWidth="1"/>
    <col min="18" max="18" width="12.28515625" customWidth="1"/>
  </cols>
  <sheetData>
    <row r="1" spans="1:20" ht="30.75" thickBot="1" x14ac:dyDescent="0.3">
      <c r="A1" s="117" t="s">
        <v>52</v>
      </c>
      <c r="B1" s="115" t="s">
        <v>0</v>
      </c>
      <c r="C1" s="115" t="s">
        <v>1</v>
      </c>
      <c r="D1" s="115" t="s">
        <v>2</v>
      </c>
      <c r="E1" s="115" t="s">
        <v>3</v>
      </c>
      <c r="F1" s="13" t="s">
        <v>4</v>
      </c>
      <c r="G1" s="13" t="s">
        <v>5</v>
      </c>
      <c r="H1" s="13" t="s">
        <v>77</v>
      </c>
      <c r="I1" s="13" t="s">
        <v>78</v>
      </c>
      <c r="J1" s="13" t="s">
        <v>6</v>
      </c>
      <c r="K1" s="14" t="s">
        <v>7</v>
      </c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05">
        <v>0.4</v>
      </c>
      <c r="B2" s="108">
        <f>Förutsättningar!M$18</f>
        <v>15</v>
      </c>
      <c r="C2" s="108">
        <f>Förutsättningar!N$18</f>
        <v>20</v>
      </c>
      <c r="D2" s="19" t="s">
        <v>9</v>
      </c>
      <c r="E2" s="20" t="s">
        <v>9</v>
      </c>
      <c r="F2" s="6">
        <v>20</v>
      </c>
      <c r="G2" s="7">
        <v>0</v>
      </c>
      <c r="H2" s="6">
        <v>6.3</v>
      </c>
      <c r="I2" s="6" t="s">
        <v>85</v>
      </c>
      <c r="J2" s="7"/>
      <c r="K2" s="15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0,41520--OK7</v>
      </c>
      <c r="O2" s="1"/>
    </row>
    <row r="3" spans="1:20" x14ac:dyDescent="0.25">
      <c r="A3" s="106">
        <v>0.4</v>
      </c>
      <c r="B3" s="116">
        <f>Förutsättningar!$M$18</f>
        <v>15</v>
      </c>
      <c r="C3" s="116">
        <f>Förutsättningar!N$18</f>
        <v>20</v>
      </c>
      <c r="D3" s="2" t="s">
        <v>9</v>
      </c>
      <c r="E3" s="21" t="s">
        <v>9</v>
      </c>
      <c r="F3">
        <v>20</v>
      </c>
      <c r="G3" s="9">
        <v>2</v>
      </c>
      <c r="H3">
        <v>6.8</v>
      </c>
      <c r="I3" t="s">
        <v>85</v>
      </c>
      <c r="J3" s="9"/>
      <c r="K3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0,41520--OK7</v>
      </c>
    </row>
    <row r="4" spans="1:20" x14ac:dyDescent="0.25">
      <c r="A4" s="106">
        <v>0.4</v>
      </c>
      <c r="B4" s="116">
        <f>Förutsättningar!$M$18</f>
        <v>15</v>
      </c>
      <c r="C4" s="116">
        <f>Förutsättningar!N$18</f>
        <v>20</v>
      </c>
      <c r="D4" s="2" t="s">
        <v>9</v>
      </c>
      <c r="E4" s="21" t="s">
        <v>9</v>
      </c>
      <c r="F4">
        <v>20</v>
      </c>
      <c r="G4" s="9">
        <v>7</v>
      </c>
      <c r="H4">
        <v>7</v>
      </c>
      <c r="I4" t="s">
        <v>85</v>
      </c>
      <c r="J4" s="9"/>
      <c r="K4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0,41520--OK7</v>
      </c>
    </row>
    <row r="5" spans="1:20" x14ac:dyDescent="0.25">
      <c r="A5" s="106">
        <v>0.4</v>
      </c>
      <c r="B5" s="116">
        <f>Förutsättningar!$M$18</f>
        <v>15</v>
      </c>
      <c r="C5" s="116">
        <f>Förutsättningar!N$18</f>
        <v>20</v>
      </c>
      <c r="D5" s="2" t="s">
        <v>9</v>
      </c>
      <c r="E5" s="21" t="s">
        <v>9</v>
      </c>
      <c r="F5">
        <v>20</v>
      </c>
      <c r="G5" s="9">
        <v>12</v>
      </c>
      <c r="H5">
        <v>7</v>
      </c>
      <c r="I5" t="s">
        <v>85</v>
      </c>
      <c r="J5" s="9"/>
      <c r="K5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0,41520--OK7</v>
      </c>
    </row>
    <row r="6" spans="1:20" ht="15.75" thickBot="1" x14ac:dyDescent="0.3">
      <c r="A6" s="107">
        <v>0.4</v>
      </c>
      <c r="B6" s="109">
        <f>Förutsättningar!$M$18</f>
        <v>15</v>
      </c>
      <c r="C6" s="109">
        <f>Förutsättningar!N$18</f>
        <v>20</v>
      </c>
      <c r="D6" s="22">
        <v>0</v>
      </c>
      <c r="E6" s="23" t="s">
        <v>9</v>
      </c>
      <c r="F6" s="11">
        <v>20</v>
      </c>
      <c r="G6" s="12">
        <v>20</v>
      </c>
      <c r="H6" s="11">
        <v>7</v>
      </c>
      <c r="I6" s="11" t="s">
        <v>85</v>
      </c>
      <c r="J6" s="12"/>
      <c r="K6" s="17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0,415200-OK7</v>
      </c>
    </row>
    <row r="7" spans="1:20" x14ac:dyDescent="0.25">
      <c r="A7" s="106">
        <v>0.2</v>
      </c>
      <c r="B7" s="116">
        <f>Förutsättningar!M$19</f>
        <v>15</v>
      </c>
      <c r="C7" s="116">
        <f>Förutsättningar!N$19</f>
        <v>15</v>
      </c>
      <c r="D7" s="2" t="s">
        <v>9</v>
      </c>
      <c r="E7" s="21" t="s">
        <v>9</v>
      </c>
      <c r="F7" s="5">
        <v>15</v>
      </c>
      <c r="G7" s="7">
        <v>0</v>
      </c>
      <c r="H7" s="6">
        <v>6.1</v>
      </c>
      <c r="I7" s="6" t="s">
        <v>85</v>
      </c>
      <c r="J7" s="7"/>
      <c r="K7" s="15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0,21515--OK7</v>
      </c>
    </row>
    <row r="8" spans="1:20" x14ac:dyDescent="0.25">
      <c r="A8" s="106">
        <v>0.2</v>
      </c>
      <c r="B8" s="116">
        <v>15</v>
      </c>
      <c r="C8" s="116">
        <v>15</v>
      </c>
      <c r="D8" s="2" t="s">
        <v>9</v>
      </c>
      <c r="E8" s="21" t="s">
        <v>9</v>
      </c>
      <c r="F8" s="8">
        <v>15</v>
      </c>
      <c r="G8" s="9">
        <v>2</v>
      </c>
      <c r="H8">
        <v>6.9</v>
      </c>
      <c r="I8" t="s">
        <v>85</v>
      </c>
      <c r="J8" s="9"/>
      <c r="K8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0,21515--OK7</v>
      </c>
    </row>
    <row r="9" spans="1:20" x14ac:dyDescent="0.25">
      <c r="A9" s="106">
        <v>0.2</v>
      </c>
      <c r="B9" s="116">
        <f>Förutsättningar!M$19</f>
        <v>15</v>
      </c>
      <c r="C9" s="116">
        <f>Förutsättningar!N$19</f>
        <v>15</v>
      </c>
      <c r="D9" s="2">
        <v>0</v>
      </c>
      <c r="E9" s="21" t="s">
        <v>11</v>
      </c>
      <c r="F9" s="8">
        <v>15</v>
      </c>
      <c r="G9" s="9">
        <v>7</v>
      </c>
      <c r="H9">
        <v>6.8</v>
      </c>
      <c r="I9" t="s">
        <v>85</v>
      </c>
      <c r="J9" s="9"/>
      <c r="K9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0,215150PresenningOK7</v>
      </c>
    </row>
    <row r="10" spans="1:20" x14ac:dyDescent="0.25">
      <c r="A10" s="106">
        <v>0.2</v>
      </c>
      <c r="B10" s="116">
        <f>Förutsättningar!M$19</f>
        <v>15</v>
      </c>
      <c r="C10" s="116">
        <f>Förutsättningar!N$19</f>
        <v>15</v>
      </c>
      <c r="D10" s="2">
        <v>0</v>
      </c>
      <c r="E10" s="21" t="s">
        <v>11</v>
      </c>
      <c r="F10" s="8">
        <v>15</v>
      </c>
      <c r="G10" s="9">
        <v>12</v>
      </c>
      <c r="H10">
        <v>6.9</v>
      </c>
      <c r="I10" t="s">
        <v>85</v>
      </c>
      <c r="J10" s="9"/>
      <c r="K10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0,215150PresenningOK7</v>
      </c>
    </row>
    <row r="11" spans="1:20" ht="15.75" thickBot="1" x14ac:dyDescent="0.3">
      <c r="A11" s="107">
        <v>0.2</v>
      </c>
      <c r="B11" s="109">
        <f>Förutsättningar!M$19</f>
        <v>15</v>
      </c>
      <c r="C11" s="109">
        <f>Förutsättningar!N$19</f>
        <v>15</v>
      </c>
      <c r="D11" s="22">
        <v>0</v>
      </c>
      <c r="E11" s="23" t="s">
        <v>11</v>
      </c>
      <c r="F11" s="10">
        <v>15</v>
      </c>
      <c r="G11" s="12">
        <v>20</v>
      </c>
      <c r="H11" s="11">
        <v>7</v>
      </c>
      <c r="I11" s="11" t="s">
        <v>85</v>
      </c>
      <c r="J11" s="12"/>
      <c r="K11" s="17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0,215150PresenningOK7</v>
      </c>
    </row>
    <row r="12" spans="1:20" x14ac:dyDescent="0.25">
      <c r="A12" s="105">
        <v>0.1</v>
      </c>
      <c r="B12" s="108">
        <f>Förutsättningar!M$20</f>
        <v>15</v>
      </c>
      <c r="C12" s="108">
        <f>Förutsättningar!N$20</f>
        <v>10</v>
      </c>
      <c r="D12" s="18" t="s">
        <v>9</v>
      </c>
      <c r="E12" s="20" t="s">
        <v>9</v>
      </c>
      <c r="F12" s="5">
        <v>10</v>
      </c>
      <c r="G12" s="7">
        <v>0</v>
      </c>
      <c r="H12" s="6">
        <v>6.3</v>
      </c>
      <c r="I12" s="6" t="s">
        <v>85</v>
      </c>
      <c r="J12" s="7"/>
      <c r="K12" s="15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0,11510--OK7</v>
      </c>
    </row>
    <row r="13" spans="1:20" x14ac:dyDescent="0.25">
      <c r="A13" s="106">
        <v>0.1</v>
      </c>
      <c r="B13" s="116">
        <f>Förutsättningar!M$20</f>
        <v>15</v>
      </c>
      <c r="C13" s="116">
        <f>Förutsättningar!N$20</f>
        <v>10</v>
      </c>
      <c r="D13" s="2">
        <v>0</v>
      </c>
      <c r="E13" s="21" t="s">
        <v>11</v>
      </c>
      <c r="F13" s="8">
        <v>10</v>
      </c>
      <c r="G13" s="9">
        <v>2</v>
      </c>
      <c r="H13">
        <v>6.8</v>
      </c>
      <c r="I13" t="s">
        <v>85</v>
      </c>
      <c r="J13" s="9"/>
      <c r="K13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0,115100PresenningOK7</v>
      </c>
    </row>
    <row r="14" spans="1:20" x14ac:dyDescent="0.25">
      <c r="A14" s="106" t="s">
        <v>83</v>
      </c>
      <c r="B14" s="116">
        <f>Förutsättningar!M$20</f>
        <v>15</v>
      </c>
      <c r="C14" s="116">
        <f>Förutsättningar!N$20</f>
        <v>10</v>
      </c>
      <c r="D14" s="2" t="s">
        <v>9</v>
      </c>
      <c r="E14" s="21" t="s">
        <v>9</v>
      </c>
      <c r="F14" s="8">
        <v>10</v>
      </c>
      <c r="G14" s="9">
        <v>7</v>
      </c>
      <c r="H14">
        <v>6</v>
      </c>
      <c r="I14" t="s">
        <v>85</v>
      </c>
      <c r="J14" s="9"/>
      <c r="K14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Bas+0%1510--OK7</v>
      </c>
    </row>
    <row r="15" spans="1:20" x14ac:dyDescent="0.25">
      <c r="A15" s="106" t="s">
        <v>83</v>
      </c>
      <c r="B15" s="116">
        <f>Förutsättningar!M$20</f>
        <v>15</v>
      </c>
      <c r="C15" s="116">
        <f>Förutsättningar!N$20</f>
        <v>10</v>
      </c>
      <c r="D15" s="2" t="s">
        <v>9</v>
      </c>
      <c r="E15" s="21" t="s">
        <v>9</v>
      </c>
      <c r="F15" s="8">
        <v>10</v>
      </c>
      <c r="G15" s="9">
        <v>12</v>
      </c>
      <c r="H15">
        <v>6.1</v>
      </c>
      <c r="I15" t="s">
        <v>85</v>
      </c>
      <c r="J15" s="9"/>
      <c r="K15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Bas+0%1510--OK7</v>
      </c>
    </row>
    <row r="16" spans="1:20" ht="15.75" thickBot="1" x14ac:dyDescent="0.3">
      <c r="A16" s="107" t="s">
        <v>83</v>
      </c>
      <c r="B16" s="109">
        <f>Förutsättningar!M$20</f>
        <v>15</v>
      </c>
      <c r="C16" s="109">
        <f>Förutsättningar!N$20</f>
        <v>10</v>
      </c>
      <c r="D16" s="22" t="s">
        <v>9</v>
      </c>
      <c r="E16" s="23" t="s">
        <v>9</v>
      </c>
      <c r="F16" s="10">
        <v>10</v>
      </c>
      <c r="G16" s="12">
        <v>20</v>
      </c>
      <c r="H16" s="11">
        <v>6.2</v>
      </c>
      <c r="I16" s="11" t="s">
        <v>85</v>
      </c>
      <c r="J16" s="12"/>
      <c r="K16" s="17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Bas+0%1510--OK7</v>
      </c>
    </row>
    <row r="17" spans="1:11" x14ac:dyDescent="0.25">
      <c r="A17" s="105">
        <v>0.4</v>
      </c>
      <c r="B17" s="108">
        <f>Förutsättningar!M$21</f>
        <v>20</v>
      </c>
      <c r="C17" s="108">
        <f>Förutsättningar!N$21</f>
        <v>5</v>
      </c>
      <c r="D17" s="18">
        <v>20</v>
      </c>
      <c r="E17" s="20">
        <v>10</v>
      </c>
      <c r="F17" s="5">
        <v>5</v>
      </c>
      <c r="G17" s="7">
        <v>0</v>
      </c>
      <c r="H17" s="6">
        <v>6.4</v>
      </c>
      <c r="I17" s="6" t="s">
        <v>85</v>
      </c>
      <c r="J17" s="7"/>
      <c r="K17" s="15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0,42052010OK7</v>
      </c>
    </row>
    <row r="18" spans="1:11" x14ac:dyDescent="0.25">
      <c r="A18" s="106">
        <v>0.4</v>
      </c>
      <c r="B18" s="116">
        <f>Förutsättningar!M$21</f>
        <v>20</v>
      </c>
      <c r="C18" s="116">
        <f>Förutsättningar!N$21</f>
        <v>5</v>
      </c>
      <c r="D18" s="2">
        <v>20</v>
      </c>
      <c r="E18" s="21">
        <v>10</v>
      </c>
      <c r="F18" s="8">
        <v>5</v>
      </c>
      <c r="G18" s="9">
        <v>2</v>
      </c>
      <c r="H18">
        <v>7</v>
      </c>
      <c r="I18" t="s">
        <v>85</v>
      </c>
      <c r="J18" s="9"/>
      <c r="K18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0,42052010OK7</v>
      </c>
    </row>
    <row r="19" spans="1:11" x14ac:dyDescent="0.25">
      <c r="A19" s="106">
        <v>0.4</v>
      </c>
      <c r="B19" s="116">
        <f>Förutsättningar!M$21</f>
        <v>20</v>
      </c>
      <c r="C19" s="116">
        <f>Förutsättningar!N$21</f>
        <v>5</v>
      </c>
      <c r="D19" s="2">
        <v>20</v>
      </c>
      <c r="E19" s="21">
        <v>20</v>
      </c>
      <c r="F19" s="8">
        <v>5</v>
      </c>
      <c r="G19" s="9">
        <v>7</v>
      </c>
      <c r="H19">
        <v>6.1</v>
      </c>
      <c r="I19" t="s">
        <v>85</v>
      </c>
      <c r="J19" s="9"/>
      <c r="K19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0,42052020OK7</v>
      </c>
    </row>
    <row r="20" spans="1:11" x14ac:dyDescent="0.25">
      <c r="A20" s="106">
        <v>0.4</v>
      </c>
      <c r="B20" s="116">
        <f>Förutsättningar!M$21</f>
        <v>20</v>
      </c>
      <c r="C20" s="116">
        <f>Förutsättningar!N$21</f>
        <v>5</v>
      </c>
      <c r="D20" s="2">
        <v>20</v>
      </c>
      <c r="E20" s="21">
        <v>20</v>
      </c>
      <c r="F20" s="8">
        <v>5</v>
      </c>
      <c r="G20" s="9">
        <v>12</v>
      </c>
      <c r="H20">
        <v>6.2</v>
      </c>
      <c r="I20" t="s">
        <v>85</v>
      </c>
      <c r="J20" s="9"/>
      <c r="K20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0,42052020OK7</v>
      </c>
    </row>
    <row r="21" spans="1:11" ht="15.75" thickBot="1" x14ac:dyDescent="0.3">
      <c r="A21" s="107">
        <v>0.4</v>
      </c>
      <c r="B21" s="109">
        <f>Förutsättningar!M$21</f>
        <v>20</v>
      </c>
      <c r="C21" s="109">
        <f>Förutsättningar!N$21</f>
        <v>5</v>
      </c>
      <c r="D21" s="22">
        <v>20</v>
      </c>
      <c r="E21" s="23">
        <v>20</v>
      </c>
      <c r="F21" s="10">
        <v>5</v>
      </c>
      <c r="G21" s="12">
        <v>20</v>
      </c>
      <c r="H21" s="11">
        <v>6.2</v>
      </c>
      <c r="I21" s="11" t="s">
        <v>85</v>
      </c>
      <c r="J21" s="12"/>
      <c r="K21" s="17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0,42052020OK7</v>
      </c>
    </row>
    <row r="22" spans="1:11" x14ac:dyDescent="0.25">
      <c r="A22" s="105">
        <v>0.4</v>
      </c>
      <c r="B22" s="108">
        <f>Förutsättningar!M$22</f>
        <v>20</v>
      </c>
      <c r="C22" s="108">
        <f>Förutsättningar!N$22</f>
        <v>5</v>
      </c>
      <c r="D22" s="18">
        <v>20</v>
      </c>
      <c r="E22" s="20">
        <v>30</v>
      </c>
      <c r="F22" s="5">
        <v>0</v>
      </c>
      <c r="G22" s="7">
        <v>0</v>
      </c>
      <c r="H22" s="6">
        <v>6.7</v>
      </c>
      <c r="I22" s="6" t="s">
        <v>85</v>
      </c>
      <c r="J22" s="7"/>
      <c r="K22" s="15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0,42052030OK7</v>
      </c>
    </row>
    <row r="23" spans="1:11" x14ac:dyDescent="0.25">
      <c r="A23" s="106">
        <v>0.4</v>
      </c>
      <c r="B23" s="116">
        <f>Förutsättningar!M$22</f>
        <v>20</v>
      </c>
      <c r="C23" s="116">
        <f>Förutsättningar!N$22</f>
        <v>5</v>
      </c>
      <c r="D23" s="2">
        <v>20</v>
      </c>
      <c r="E23" s="21">
        <v>30</v>
      </c>
      <c r="F23" s="8">
        <v>0</v>
      </c>
      <c r="G23" s="9">
        <v>2</v>
      </c>
      <c r="H23">
        <v>7</v>
      </c>
      <c r="I23" t="s">
        <v>85</v>
      </c>
      <c r="J23" s="9"/>
      <c r="K23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0,42052030OK7</v>
      </c>
    </row>
    <row r="24" spans="1:11" x14ac:dyDescent="0.25">
      <c r="A24" s="106">
        <v>0.4</v>
      </c>
      <c r="B24" s="116">
        <f>Förutsättningar!M$22</f>
        <v>20</v>
      </c>
      <c r="C24" s="116">
        <f>Förutsättningar!N$22</f>
        <v>5</v>
      </c>
      <c r="D24" s="2">
        <v>20</v>
      </c>
      <c r="E24" s="21">
        <v>50</v>
      </c>
      <c r="F24" s="8">
        <v>0</v>
      </c>
      <c r="G24" s="9">
        <v>7</v>
      </c>
      <c r="H24">
        <v>6.2</v>
      </c>
      <c r="I24" t="s">
        <v>85</v>
      </c>
      <c r="J24" s="9"/>
      <c r="K24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0,42052050OK7</v>
      </c>
    </row>
    <row r="25" spans="1:11" x14ac:dyDescent="0.25">
      <c r="A25" s="106">
        <v>0.4</v>
      </c>
      <c r="B25" s="116">
        <f>Förutsättningar!M$22</f>
        <v>20</v>
      </c>
      <c r="C25" s="116">
        <f>Förutsättningar!N$22</f>
        <v>5</v>
      </c>
      <c r="D25" s="2">
        <v>20</v>
      </c>
      <c r="E25" s="21">
        <v>50</v>
      </c>
      <c r="F25" s="8">
        <v>0</v>
      </c>
      <c r="G25" s="9">
        <v>12</v>
      </c>
      <c r="H25">
        <v>6.2</v>
      </c>
      <c r="I25" t="s">
        <v>85</v>
      </c>
      <c r="J25" s="9"/>
      <c r="K25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0,42052050OK7</v>
      </c>
    </row>
    <row r="26" spans="1:11" ht="15.75" thickBot="1" x14ac:dyDescent="0.3">
      <c r="A26" s="107">
        <v>0.4</v>
      </c>
      <c r="B26" s="109">
        <f>Förutsättningar!M$22</f>
        <v>20</v>
      </c>
      <c r="C26" s="109">
        <f>Förutsättningar!N$22</f>
        <v>5</v>
      </c>
      <c r="D26" s="22">
        <v>20</v>
      </c>
      <c r="E26" s="23">
        <v>50</v>
      </c>
      <c r="F26" s="10">
        <v>0</v>
      </c>
      <c r="G26" s="12">
        <v>20</v>
      </c>
      <c r="H26" s="11">
        <v>6.3</v>
      </c>
      <c r="I26" s="11" t="s">
        <v>85</v>
      </c>
      <c r="J26" s="9"/>
      <c r="K26" s="17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0,42052050OK7</v>
      </c>
    </row>
    <row r="27" spans="1:11" x14ac:dyDescent="0.25">
      <c r="A27" s="105">
        <v>0.3</v>
      </c>
      <c r="B27" s="108">
        <f>Förutsättningar!M$23</f>
        <v>20</v>
      </c>
      <c r="C27" s="108">
        <f>Förutsättningar!N$23</f>
        <v>5</v>
      </c>
      <c r="D27" s="18">
        <v>20</v>
      </c>
      <c r="E27" s="20">
        <v>50</v>
      </c>
      <c r="F27" s="5">
        <v>-5</v>
      </c>
      <c r="G27" s="7">
        <v>0</v>
      </c>
      <c r="H27" s="6">
        <v>6.4</v>
      </c>
      <c r="I27" s="6" t="s">
        <v>85</v>
      </c>
      <c r="J27" s="7"/>
      <c r="K27" s="15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0,32052050OK7</v>
      </c>
    </row>
    <row r="28" spans="1:11" x14ac:dyDescent="0.25">
      <c r="A28" s="106">
        <v>0.3</v>
      </c>
      <c r="B28" s="116">
        <f>Förutsättningar!M$23</f>
        <v>20</v>
      </c>
      <c r="C28" s="116">
        <f>Förutsättningar!N$23</f>
        <v>5</v>
      </c>
      <c r="D28" s="2">
        <v>20</v>
      </c>
      <c r="E28" s="21">
        <v>50</v>
      </c>
      <c r="F28" s="8">
        <v>-5</v>
      </c>
      <c r="G28" s="9">
        <v>2</v>
      </c>
      <c r="H28">
        <v>6.6</v>
      </c>
      <c r="I28" t="s">
        <v>85</v>
      </c>
      <c r="J28" s="9"/>
      <c r="K28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0,32052050OK7</v>
      </c>
    </row>
    <row r="29" spans="1:11" x14ac:dyDescent="0.25">
      <c r="A29" s="106">
        <v>0.3</v>
      </c>
      <c r="B29" s="116">
        <f>Förutsättningar!M$23</f>
        <v>20</v>
      </c>
      <c r="C29" s="116">
        <f>Förutsättningar!N$23</f>
        <v>5</v>
      </c>
      <c r="D29" s="2">
        <v>20</v>
      </c>
      <c r="E29" s="21">
        <v>50</v>
      </c>
      <c r="F29" s="8">
        <v>-5</v>
      </c>
      <c r="G29" s="9">
        <v>7</v>
      </c>
      <c r="H29">
        <v>6.9</v>
      </c>
      <c r="I29" t="s">
        <v>85</v>
      </c>
      <c r="J29" s="9"/>
      <c r="K29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0,32052050OK7</v>
      </c>
    </row>
    <row r="30" spans="1:11" x14ac:dyDescent="0.25">
      <c r="A30" s="106">
        <v>0.3</v>
      </c>
      <c r="B30" s="116">
        <f>Förutsättningar!M$23</f>
        <v>20</v>
      </c>
      <c r="C30" s="116">
        <f>Förutsättningar!N$23</f>
        <v>5</v>
      </c>
      <c r="D30" s="2">
        <v>20</v>
      </c>
      <c r="E30" s="21">
        <v>50</v>
      </c>
      <c r="F30" s="8">
        <v>-5</v>
      </c>
      <c r="G30" s="9">
        <v>12</v>
      </c>
      <c r="H30">
        <v>7</v>
      </c>
      <c r="I30" t="s">
        <v>85</v>
      </c>
      <c r="J30" s="9"/>
      <c r="K30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0,32052050OK7</v>
      </c>
    </row>
    <row r="31" spans="1:11" ht="15.75" thickBot="1" x14ac:dyDescent="0.3">
      <c r="A31" s="107">
        <v>0.2</v>
      </c>
      <c r="B31" s="109">
        <f>Förutsättningar!M$23</f>
        <v>20</v>
      </c>
      <c r="C31" s="109">
        <f>Förutsättningar!N$23</f>
        <v>5</v>
      </c>
      <c r="D31" s="22">
        <v>20</v>
      </c>
      <c r="E31" s="23">
        <v>30</v>
      </c>
      <c r="F31" s="10">
        <v>-5</v>
      </c>
      <c r="G31" s="12">
        <v>20</v>
      </c>
      <c r="H31" s="11">
        <v>7</v>
      </c>
      <c r="I31" s="11" t="s">
        <v>85</v>
      </c>
      <c r="J31" s="12"/>
      <c r="K31" s="17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0,22052030OK7</v>
      </c>
    </row>
    <row r="32" spans="1:11" x14ac:dyDescent="0.25">
      <c r="A32" s="105">
        <v>0.2</v>
      </c>
      <c r="B32" s="108">
        <f>Förutsättningar!M$24</f>
        <v>20</v>
      </c>
      <c r="C32" s="108">
        <f>Förutsättningar!N$24</f>
        <v>5</v>
      </c>
      <c r="D32" s="18">
        <v>20</v>
      </c>
      <c r="E32" s="20">
        <v>50</v>
      </c>
      <c r="F32" s="5">
        <v>-10</v>
      </c>
      <c r="G32" s="7">
        <v>0</v>
      </c>
      <c r="H32" s="6">
        <v>7</v>
      </c>
      <c r="I32" s="6" t="s">
        <v>85</v>
      </c>
      <c r="J32" s="7"/>
      <c r="K32" s="15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0,22052050OK7</v>
      </c>
    </row>
    <row r="33" spans="1:11" x14ac:dyDescent="0.25">
      <c r="A33" s="106">
        <v>0.1</v>
      </c>
      <c r="B33" s="116">
        <f>Förutsättningar!M$24</f>
        <v>20</v>
      </c>
      <c r="C33" s="116">
        <f>Förutsättningar!N$24</f>
        <v>5</v>
      </c>
      <c r="D33" s="2">
        <v>20</v>
      </c>
      <c r="E33" s="21">
        <v>30</v>
      </c>
      <c r="F33" s="8">
        <v>-10</v>
      </c>
      <c r="G33" s="9">
        <v>2</v>
      </c>
      <c r="H33">
        <v>6.4</v>
      </c>
      <c r="I33" t="s">
        <v>85</v>
      </c>
      <c r="J33" s="9"/>
      <c r="K33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0,12052030OK7</v>
      </c>
    </row>
    <row r="34" spans="1:11" x14ac:dyDescent="0.25">
      <c r="A34" s="106">
        <v>0.1</v>
      </c>
      <c r="B34" s="116">
        <f>Förutsättningar!M$24</f>
        <v>20</v>
      </c>
      <c r="C34" s="116">
        <f>Förutsättningar!N$24</f>
        <v>5</v>
      </c>
      <c r="D34" s="2">
        <v>20</v>
      </c>
      <c r="E34" s="21">
        <v>30</v>
      </c>
      <c r="F34" s="8">
        <v>-10</v>
      </c>
      <c r="G34" s="9">
        <v>7</v>
      </c>
      <c r="H34">
        <v>6.9</v>
      </c>
      <c r="I34" t="s">
        <v>85</v>
      </c>
      <c r="J34" s="9"/>
      <c r="K34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0,12052030OK7</v>
      </c>
    </row>
    <row r="35" spans="1:11" x14ac:dyDescent="0.25">
      <c r="A35" s="106" t="s">
        <v>9</v>
      </c>
      <c r="B35" s="116" t="s">
        <v>9</v>
      </c>
      <c r="C35" s="116" t="s">
        <v>9</v>
      </c>
      <c r="D35" s="2" t="s">
        <v>9</v>
      </c>
      <c r="E35" s="21" t="s">
        <v>9</v>
      </c>
      <c r="F35" s="8">
        <v>-10</v>
      </c>
      <c r="G35" s="9">
        <v>12</v>
      </c>
      <c r="J35" s="9" t="s">
        <v>12</v>
      </c>
      <c r="K35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-----Frys innan täck</v>
      </c>
    </row>
    <row r="36" spans="1:11" ht="15.75" thickBot="1" x14ac:dyDescent="0.3">
      <c r="A36" s="107" t="s">
        <v>9</v>
      </c>
      <c r="B36" s="109" t="s">
        <v>9</v>
      </c>
      <c r="C36" s="109" t="s">
        <v>9</v>
      </c>
      <c r="D36" s="22" t="s">
        <v>9</v>
      </c>
      <c r="E36" s="23" t="s">
        <v>9</v>
      </c>
      <c r="F36" s="10">
        <v>-10</v>
      </c>
      <c r="G36" s="12">
        <v>20</v>
      </c>
      <c r="H36" s="11"/>
      <c r="I36" s="11"/>
      <c r="J36" s="12" t="s">
        <v>12</v>
      </c>
      <c r="K36" s="17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-----Frys innan täck</v>
      </c>
    </row>
    <row r="37" spans="1:11" x14ac:dyDescent="0.25">
      <c r="A37" s="105" t="s">
        <v>83</v>
      </c>
      <c r="B37" s="108">
        <f>Förutsättningar!M$25</f>
        <v>15</v>
      </c>
      <c r="C37" s="108">
        <f>Förutsättningar!N$25</f>
        <v>5</v>
      </c>
      <c r="D37" s="18">
        <v>20</v>
      </c>
      <c r="E37" s="20">
        <v>30</v>
      </c>
      <c r="F37" s="5">
        <v>-15</v>
      </c>
      <c r="G37" s="7">
        <v>0</v>
      </c>
      <c r="H37" s="6">
        <v>6.5</v>
      </c>
      <c r="I37" s="6" t="s">
        <v>85</v>
      </c>
      <c r="J37" s="7"/>
      <c r="K37" s="15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Bas+0%1552030OK7</v>
      </c>
    </row>
    <row r="38" spans="1:11" x14ac:dyDescent="0.25">
      <c r="A38" s="106" t="s">
        <v>83</v>
      </c>
      <c r="B38" s="116">
        <f>Förutsättningar!M$25</f>
        <v>15</v>
      </c>
      <c r="C38" s="116">
        <f>Förutsättningar!N$25</f>
        <v>5</v>
      </c>
      <c r="D38" s="2">
        <v>20</v>
      </c>
      <c r="E38" s="21">
        <v>50</v>
      </c>
      <c r="F38" s="8">
        <v>-15</v>
      </c>
      <c r="G38" s="9">
        <v>2</v>
      </c>
      <c r="H38">
        <v>5</v>
      </c>
      <c r="I38" t="s">
        <v>85</v>
      </c>
      <c r="J38" s="9"/>
      <c r="K38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Bas+0%1552050OK7</v>
      </c>
    </row>
    <row r="39" spans="1:11" x14ac:dyDescent="0.25">
      <c r="A39" s="106" t="s">
        <v>9</v>
      </c>
      <c r="B39" s="116" t="s">
        <v>9</v>
      </c>
      <c r="C39" s="116" t="s">
        <v>9</v>
      </c>
      <c r="D39" s="2" t="s">
        <v>9</v>
      </c>
      <c r="E39" s="21" t="s">
        <v>9</v>
      </c>
      <c r="F39" s="8">
        <v>-15</v>
      </c>
      <c r="G39" s="9">
        <v>7</v>
      </c>
      <c r="J39" s="9" t="s">
        <v>12</v>
      </c>
      <c r="K39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-----Frys innan täck</v>
      </c>
    </row>
    <row r="40" spans="1:11" x14ac:dyDescent="0.25">
      <c r="A40" s="106" t="s">
        <v>9</v>
      </c>
      <c r="B40" s="116" t="s">
        <v>9</v>
      </c>
      <c r="C40" s="116" t="s">
        <v>9</v>
      </c>
      <c r="D40" s="2" t="s">
        <v>9</v>
      </c>
      <c r="E40" s="21" t="s">
        <v>9</v>
      </c>
      <c r="F40" s="8">
        <v>-15</v>
      </c>
      <c r="G40" s="9">
        <v>12</v>
      </c>
      <c r="J40" s="9" t="s">
        <v>12</v>
      </c>
      <c r="K40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-----Frys innan täck</v>
      </c>
    </row>
    <row r="41" spans="1:11" ht="15.75" thickBot="1" x14ac:dyDescent="0.3">
      <c r="A41" s="107" t="s">
        <v>9</v>
      </c>
      <c r="B41" s="109" t="s">
        <v>9</v>
      </c>
      <c r="C41" s="109" t="s">
        <v>9</v>
      </c>
      <c r="D41" s="22" t="s">
        <v>9</v>
      </c>
      <c r="E41" s="23" t="s">
        <v>9</v>
      </c>
      <c r="F41" s="10">
        <v>-15</v>
      </c>
      <c r="G41" s="12">
        <v>20</v>
      </c>
      <c r="H41" s="11"/>
      <c r="I41" s="11"/>
      <c r="J41" s="12" t="s">
        <v>12</v>
      </c>
      <c r="K41" s="17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-----Frys innan täck</v>
      </c>
    </row>
    <row r="42" spans="1:11" x14ac:dyDescent="0.25">
      <c r="A42" s="106" t="s">
        <v>9</v>
      </c>
      <c r="B42" s="108" t="s">
        <v>9</v>
      </c>
      <c r="C42" s="108" t="s">
        <v>9</v>
      </c>
      <c r="D42" s="2" t="s">
        <v>9</v>
      </c>
      <c r="E42" s="21" t="s">
        <v>9</v>
      </c>
      <c r="F42" s="8">
        <v>-20</v>
      </c>
      <c r="G42" s="9">
        <v>0</v>
      </c>
      <c r="J42" s="9" t="s">
        <v>18</v>
      </c>
      <c r="K42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-----Når ej 70%</v>
      </c>
    </row>
    <row r="43" spans="1:11" x14ac:dyDescent="0.25">
      <c r="A43" s="106" t="s">
        <v>9</v>
      </c>
      <c r="B43" s="116" t="s">
        <v>9</v>
      </c>
      <c r="C43" s="116" t="s">
        <v>9</v>
      </c>
      <c r="D43" s="2" t="s">
        <v>9</v>
      </c>
      <c r="E43" s="21" t="s">
        <v>9</v>
      </c>
      <c r="F43" s="8">
        <v>-20</v>
      </c>
      <c r="G43" s="9">
        <v>2</v>
      </c>
      <c r="J43" s="9" t="s">
        <v>18</v>
      </c>
      <c r="K43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-----Når ej 70%</v>
      </c>
    </row>
    <row r="44" spans="1:11" x14ac:dyDescent="0.25">
      <c r="A44" s="106" t="s">
        <v>9</v>
      </c>
      <c r="B44" s="116" t="s">
        <v>9</v>
      </c>
      <c r="C44" s="116" t="s">
        <v>9</v>
      </c>
      <c r="D44" s="2" t="s">
        <v>9</v>
      </c>
      <c r="E44" s="21" t="s">
        <v>9</v>
      </c>
      <c r="F44" s="8">
        <v>-20</v>
      </c>
      <c r="G44" s="9">
        <v>7</v>
      </c>
      <c r="J44" s="9" t="s">
        <v>12</v>
      </c>
      <c r="K44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-----Frys innan täck</v>
      </c>
    </row>
    <row r="45" spans="1:11" x14ac:dyDescent="0.25">
      <c r="A45" s="106" t="s">
        <v>9</v>
      </c>
      <c r="B45" s="116" t="s">
        <v>9</v>
      </c>
      <c r="C45" s="116" t="s">
        <v>9</v>
      </c>
      <c r="D45" s="2" t="s">
        <v>9</v>
      </c>
      <c r="E45" s="21" t="s">
        <v>9</v>
      </c>
      <c r="F45" s="8">
        <v>-20</v>
      </c>
      <c r="G45" s="9">
        <v>12</v>
      </c>
      <c r="J45" s="9" t="s">
        <v>12</v>
      </c>
      <c r="K45" s="16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-----Frys innan täck</v>
      </c>
    </row>
    <row r="46" spans="1:11" ht="15.75" thickBot="1" x14ac:dyDescent="0.3">
      <c r="A46" s="107" t="s">
        <v>9</v>
      </c>
      <c r="B46" s="109" t="s">
        <v>9</v>
      </c>
      <c r="C46" s="109" t="s">
        <v>9</v>
      </c>
      <c r="D46" s="22" t="s">
        <v>9</v>
      </c>
      <c r="E46" s="23" t="s">
        <v>9</v>
      </c>
      <c r="F46" s="10">
        <v>-20</v>
      </c>
      <c r="G46" s="12">
        <v>20</v>
      </c>
      <c r="H46" s="11"/>
      <c r="I46" s="11"/>
      <c r="J46" s="12" t="s">
        <v>12</v>
      </c>
      <c r="K46" s="17" t="str">
        <f>Table141719[[#This Row],[Slagg mängd]]&amp;Table141719[[#This Row],[Gjuttemperatur]]&amp;Table141719[[#This Row],[Temperatur motgjutningsyta]]&amp;Table141719[[#This Row],[Väderskydd, uppvärmning (ingen vind)]]&amp;Table141719[[#This Row],[Täckning '[mm']]]&amp;Table141719[[#This Row],[OK&lt;7 dagar]]&amp;Table141719[[#This Row],[Kommentar]]</f>
        <v>-----Frys innan täck</v>
      </c>
    </row>
  </sheetData>
  <phoneticPr fontId="3" type="noConversion"/>
  <dataValidations count="1">
    <dataValidation type="list" allowBlank="1" showInputMessage="1" showErrorMessage="1" sqref="L2:L46" xr:uid="{2E171ECA-04AC-451A-ACA2-537C03D0D53E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BD13D1-30BC-45A9-9101-1E4EACC8ECA8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7B29F886-20FE-43FA-A06C-9C466318BC96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AED41B50-BD50-4C7A-BFC8-B90CA731E397}">
          <x14:formula1>
            <xm:f>Förutsättningar!$J$2:$J$3</xm:f>
          </x14:formula1>
          <xm:sqref>J2:J46</xm:sqref>
        </x14:dataValidation>
        <x14:dataValidation type="list" allowBlank="1" showInputMessage="1" showErrorMessage="1" xr:uid="{33E511D0-525A-4B4F-BEDA-41FBCBDA6186}">
          <x14:formula1>
            <xm:f>Förutsättningar!$I$2:$I$7</xm:f>
          </x14:formula1>
          <xm:sqref>A2:A46</xm:sqref>
        </x14:dataValidation>
        <x14:dataValidation type="list" allowBlank="1" showInputMessage="1" showErrorMessage="1" xr:uid="{19EE9D91-626A-4E50-B697-DE360B9E215B}">
          <x14:formula1>
            <xm:f>Förutsättningar!$F$2</xm:f>
          </x14:formula1>
          <xm:sqref>I2:I46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C31C-96CF-44F3-9F10-55747AED3E95}">
  <sheetPr codeName="Sheet7"/>
  <dimension ref="A1:T46"/>
  <sheetViews>
    <sheetView zoomScale="115" zoomScaleNormal="115" workbookViewId="0">
      <selection activeCell="N20" sqref="N20"/>
    </sheetView>
  </sheetViews>
  <sheetFormatPr defaultRowHeight="15" x14ac:dyDescent="0.25"/>
  <cols>
    <col min="1" max="1" width="12.5703125" style="103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10" width="14.42578125" bestFit="1" customWidth="1"/>
    <col min="11" max="11" width="22.85546875" bestFit="1" customWidth="1"/>
    <col min="12" max="17" width="11.28515625" customWidth="1"/>
    <col min="18" max="18" width="12.28515625" customWidth="1"/>
  </cols>
  <sheetData>
    <row r="1" spans="1:20" ht="30.75" thickBot="1" x14ac:dyDescent="0.3">
      <c r="A1" s="117" t="s">
        <v>52</v>
      </c>
      <c r="B1" s="115" t="s">
        <v>0</v>
      </c>
      <c r="C1" s="115" t="s">
        <v>1</v>
      </c>
      <c r="D1" s="115" t="s">
        <v>2</v>
      </c>
      <c r="E1" s="115" t="s">
        <v>3</v>
      </c>
      <c r="F1" s="13" t="s">
        <v>4</v>
      </c>
      <c r="G1" s="13" t="s">
        <v>5</v>
      </c>
      <c r="H1" s="13" t="s">
        <v>77</v>
      </c>
      <c r="I1" s="13" t="s">
        <v>78</v>
      </c>
      <c r="J1" s="13" t="s">
        <v>6</v>
      </c>
      <c r="K1" s="14" t="s">
        <v>7</v>
      </c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05">
        <v>0.4</v>
      </c>
      <c r="B2" s="108">
        <f>Förutsättningar!M$18</f>
        <v>15</v>
      </c>
      <c r="C2" s="108">
        <f>Förutsättningar!N$18</f>
        <v>20</v>
      </c>
      <c r="D2" s="19" t="s">
        <v>9</v>
      </c>
      <c r="E2" s="20" t="s">
        <v>9</v>
      </c>
      <c r="F2" s="6">
        <v>20</v>
      </c>
      <c r="G2" s="7">
        <v>0</v>
      </c>
      <c r="H2" s="6">
        <v>5.9</v>
      </c>
      <c r="I2" s="6" t="s">
        <v>85</v>
      </c>
      <c r="J2" s="7"/>
      <c r="K2" s="15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0,41520--OK7</v>
      </c>
      <c r="O2" s="1"/>
    </row>
    <row r="3" spans="1:20" x14ac:dyDescent="0.25">
      <c r="A3" s="106">
        <v>0.4</v>
      </c>
      <c r="B3" s="116">
        <f>Förutsättningar!$M$18</f>
        <v>15</v>
      </c>
      <c r="C3" s="116">
        <f>Förutsättningar!N$18</f>
        <v>20</v>
      </c>
      <c r="D3" s="2" t="s">
        <v>9</v>
      </c>
      <c r="E3" s="21" t="s">
        <v>9</v>
      </c>
      <c r="F3">
        <v>20</v>
      </c>
      <c r="G3" s="9">
        <v>2</v>
      </c>
      <c r="H3">
        <v>6.5</v>
      </c>
      <c r="I3" t="s">
        <v>85</v>
      </c>
      <c r="J3" s="9"/>
      <c r="K3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0,41520--OK7</v>
      </c>
    </row>
    <row r="4" spans="1:20" x14ac:dyDescent="0.25">
      <c r="A4" s="106">
        <v>0.4</v>
      </c>
      <c r="B4" s="116">
        <f>Förutsättningar!$M$18</f>
        <v>15</v>
      </c>
      <c r="C4" s="116">
        <f>Förutsättningar!N$18</f>
        <v>20</v>
      </c>
      <c r="D4" s="2" t="s">
        <v>9</v>
      </c>
      <c r="E4" s="21" t="s">
        <v>9</v>
      </c>
      <c r="F4">
        <v>20</v>
      </c>
      <c r="G4" s="9">
        <v>7</v>
      </c>
      <c r="H4">
        <v>6.7</v>
      </c>
      <c r="I4" t="s">
        <v>85</v>
      </c>
      <c r="J4" s="9"/>
      <c r="K4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0,41520--OK7</v>
      </c>
    </row>
    <row r="5" spans="1:20" x14ac:dyDescent="0.25">
      <c r="A5" s="106">
        <v>0.4</v>
      </c>
      <c r="B5" s="116">
        <f>Förutsättningar!$M$18</f>
        <v>15</v>
      </c>
      <c r="C5" s="116">
        <f>Förutsättningar!N$18</f>
        <v>20</v>
      </c>
      <c r="D5" s="2" t="s">
        <v>9</v>
      </c>
      <c r="E5" s="21" t="s">
        <v>9</v>
      </c>
      <c r="F5">
        <v>20</v>
      </c>
      <c r="G5" s="9">
        <v>12</v>
      </c>
      <c r="H5">
        <v>6.8</v>
      </c>
      <c r="I5" t="s">
        <v>85</v>
      </c>
      <c r="J5" s="9"/>
      <c r="K5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0,41520--OK7</v>
      </c>
    </row>
    <row r="6" spans="1:20" ht="15.75" thickBot="1" x14ac:dyDescent="0.3">
      <c r="A6" s="107">
        <v>0.4</v>
      </c>
      <c r="B6" s="109">
        <f>Förutsättningar!$M$18</f>
        <v>15</v>
      </c>
      <c r="C6" s="109">
        <f>Förutsättningar!N$18</f>
        <v>20</v>
      </c>
      <c r="D6" s="22" t="s">
        <v>9</v>
      </c>
      <c r="E6" s="23" t="s">
        <v>9</v>
      </c>
      <c r="F6" s="11">
        <v>20</v>
      </c>
      <c r="G6" s="12">
        <v>20</v>
      </c>
      <c r="H6" s="11">
        <v>6.8</v>
      </c>
      <c r="I6" s="11" t="s">
        <v>85</v>
      </c>
      <c r="J6" s="12"/>
      <c r="K6" s="17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0,41520--OK7</v>
      </c>
    </row>
    <row r="7" spans="1:20" x14ac:dyDescent="0.25">
      <c r="A7" s="106">
        <v>0.3</v>
      </c>
      <c r="B7" s="116">
        <f>Förutsättningar!M$19</f>
        <v>15</v>
      </c>
      <c r="C7" s="116">
        <f>Förutsättningar!N$19</f>
        <v>15</v>
      </c>
      <c r="D7" s="2">
        <v>0</v>
      </c>
      <c r="E7" s="21" t="s">
        <v>11</v>
      </c>
      <c r="F7" s="5">
        <v>15</v>
      </c>
      <c r="G7" s="7">
        <v>0</v>
      </c>
      <c r="H7" s="6">
        <v>6.6</v>
      </c>
      <c r="I7" s="6" t="s">
        <v>85</v>
      </c>
      <c r="J7" s="7"/>
      <c r="K7" s="15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0,315150PresenningOK7</v>
      </c>
    </row>
    <row r="8" spans="1:20" x14ac:dyDescent="0.25">
      <c r="A8" s="106">
        <v>0.2</v>
      </c>
      <c r="B8" s="116">
        <f>Förutsättningar!M$19</f>
        <v>15</v>
      </c>
      <c r="C8" s="116">
        <f>Förutsättningar!N$19</f>
        <v>15</v>
      </c>
      <c r="D8" s="2" t="s">
        <v>9</v>
      </c>
      <c r="E8" s="21" t="s">
        <v>9</v>
      </c>
      <c r="F8" s="8">
        <v>15</v>
      </c>
      <c r="G8" s="9">
        <v>2</v>
      </c>
      <c r="H8">
        <v>6.5</v>
      </c>
      <c r="I8" t="s">
        <v>85</v>
      </c>
      <c r="J8" s="9"/>
      <c r="K8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0,21515--OK7</v>
      </c>
    </row>
    <row r="9" spans="1:20" x14ac:dyDescent="0.25">
      <c r="A9" s="106">
        <v>0.2</v>
      </c>
      <c r="B9" s="116">
        <f>Förutsättningar!M$19</f>
        <v>15</v>
      </c>
      <c r="C9" s="116">
        <f>Förutsättningar!N$19</f>
        <v>15</v>
      </c>
      <c r="D9" s="2" t="s">
        <v>9</v>
      </c>
      <c r="E9" s="21" t="s">
        <v>9</v>
      </c>
      <c r="F9" s="8">
        <v>15</v>
      </c>
      <c r="G9" s="9">
        <v>7</v>
      </c>
      <c r="H9">
        <v>6.9</v>
      </c>
      <c r="I9" t="s">
        <v>85</v>
      </c>
      <c r="J9" s="9"/>
      <c r="K9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0,21515--OK7</v>
      </c>
    </row>
    <row r="10" spans="1:20" x14ac:dyDescent="0.25">
      <c r="A10" s="106">
        <v>0.2</v>
      </c>
      <c r="B10" s="116">
        <f>Förutsättningar!M$19</f>
        <v>15</v>
      </c>
      <c r="C10" s="116">
        <f>Förutsättningar!N$19</f>
        <v>15</v>
      </c>
      <c r="D10" s="2" t="s">
        <v>9</v>
      </c>
      <c r="E10" s="21" t="s">
        <v>9</v>
      </c>
      <c r="F10" s="8">
        <v>15</v>
      </c>
      <c r="G10" s="9">
        <v>12</v>
      </c>
      <c r="H10">
        <v>7</v>
      </c>
      <c r="I10" t="s">
        <v>85</v>
      </c>
      <c r="J10" s="9"/>
      <c r="K10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0,21515--OK7</v>
      </c>
    </row>
    <row r="11" spans="1:20" ht="15.75" thickBot="1" x14ac:dyDescent="0.3">
      <c r="A11" s="107">
        <v>0.2</v>
      </c>
      <c r="B11" s="109">
        <f>Förutsättningar!M$19</f>
        <v>15</v>
      </c>
      <c r="C11" s="109">
        <f>Förutsättningar!N$19</f>
        <v>15</v>
      </c>
      <c r="D11" s="22" t="s">
        <v>9</v>
      </c>
      <c r="E11" s="23" t="s">
        <v>9</v>
      </c>
      <c r="F11" s="10">
        <v>15</v>
      </c>
      <c r="G11" s="12">
        <v>20</v>
      </c>
      <c r="H11" s="11">
        <v>7</v>
      </c>
      <c r="I11" s="11" t="s">
        <v>85</v>
      </c>
      <c r="J11" s="12"/>
      <c r="K11" s="17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0,21515--OK7</v>
      </c>
    </row>
    <row r="12" spans="1:20" x14ac:dyDescent="0.25">
      <c r="A12" s="105">
        <v>0.1</v>
      </c>
      <c r="B12" s="108">
        <f>Förutsättningar!M$20</f>
        <v>15</v>
      </c>
      <c r="C12" s="108">
        <f>Förutsättningar!N$20</f>
        <v>10</v>
      </c>
      <c r="D12" s="18" t="s">
        <v>9</v>
      </c>
      <c r="E12" s="20" t="s">
        <v>9</v>
      </c>
      <c r="F12" s="5">
        <v>10</v>
      </c>
      <c r="G12" s="7">
        <v>0</v>
      </c>
      <c r="H12" s="6">
        <v>5.7</v>
      </c>
      <c r="I12" s="6" t="s">
        <v>85</v>
      </c>
      <c r="J12" s="7"/>
      <c r="K12" s="15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0,11510--OK7</v>
      </c>
    </row>
    <row r="13" spans="1:20" x14ac:dyDescent="0.25">
      <c r="A13" s="106">
        <v>0.1</v>
      </c>
      <c r="B13" s="116">
        <f>Förutsättningar!M$20</f>
        <v>15</v>
      </c>
      <c r="C13" s="116">
        <f>Förutsättningar!N$20</f>
        <v>10</v>
      </c>
      <c r="D13" s="2" t="s">
        <v>9</v>
      </c>
      <c r="E13" s="21" t="s">
        <v>9</v>
      </c>
      <c r="F13" s="8">
        <v>10</v>
      </c>
      <c r="G13" s="9">
        <v>2</v>
      </c>
      <c r="H13">
        <v>6.9</v>
      </c>
      <c r="I13" t="s">
        <v>85</v>
      </c>
      <c r="J13" s="9"/>
      <c r="K13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0,11510--OK7</v>
      </c>
    </row>
    <row r="14" spans="1:20" x14ac:dyDescent="0.25">
      <c r="A14" s="106">
        <v>0.1</v>
      </c>
      <c r="B14" s="116">
        <f>Förutsättningar!M$20</f>
        <v>15</v>
      </c>
      <c r="C14" s="116">
        <f>Förutsättningar!N$20</f>
        <v>10</v>
      </c>
      <c r="D14" s="2">
        <v>0</v>
      </c>
      <c r="E14" s="21" t="s">
        <v>11</v>
      </c>
      <c r="F14" s="8">
        <v>10</v>
      </c>
      <c r="G14" s="9">
        <v>7</v>
      </c>
      <c r="H14">
        <v>6.7</v>
      </c>
      <c r="I14" t="s">
        <v>85</v>
      </c>
      <c r="J14" s="9"/>
      <c r="K14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0,115100PresenningOK7</v>
      </c>
    </row>
    <row r="15" spans="1:20" x14ac:dyDescent="0.25">
      <c r="A15" s="106">
        <v>0.1</v>
      </c>
      <c r="B15" s="116">
        <f>Förutsättningar!M$20</f>
        <v>15</v>
      </c>
      <c r="C15" s="116">
        <f>Förutsättningar!N$20</f>
        <v>10</v>
      </c>
      <c r="D15" s="2">
        <v>0</v>
      </c>
      <c r="E15" s="21" t="s">
        <v>11</v>
      </c>
      <c r="F15" s="8">
        <v>10</v>
      </c>
      <c r="G15" s="9">
        <v>12</v>
      </c>
      <c r="H15">
        <v>6.8</v>
      </c>
      <c r="I15" t="s">
        <v>85</v>
      </c>
      <c r="J15" s="9"/>
      <c r="K15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0,115100PresenningOK7</v>
      </c>
    </row>
    <row r="16" spans="1:20" ht="15.75" thickBot="1" x14ac:dyDescent="0.3">
      <c r="A16" s="107">
        <v>0.1</v>
      </c>
      <c r="B16" s="109">
        <f>Förutsättningar!M$20</f>
        <v>15</v>
      </c>
      <c r="C16" s="109">
        <f>Förutsättningar!N$20</f>
        <v>10</v>
      </c>
      <c r="D16" s="22">
        <v>0</v>
      </c>
      <c r="E16" s="23" t="s">
        <v>11</v>
      </c>
      <c r="F16" s="10">
        <v>10</v>
      </c>
      <c r="G16" s="12">
        <v>20</v>
      </c>
      <c r="H16" s="11">
        <v>6.9</v>
      </c>
      <c r="I16" s="11" t="s">
        <v>85</v>
      </c>
      <c r="J16" s="12"/>
      <c r="K16" s="17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0,115100PresenningOK7</v>
      </c>
    </row>
    <row r="17" spans="1:11" x14ac:dyDescent="0.25">
      <c r="A17" s="105">
        <v>0.4</v>
      </c>
      <c r="B17" s="108">
        <f>Förutsättningar!M$21</f>
        <v>20</v>
      </c>
      <c r="C17" s="108">
        <f>Förutsättningar!N$21</f>
        <v>5</v>
      </c>
      <c r="D17" s="18">
        <v>20</v>
      </c>
      <c r="E17" s="20">
        <v>10</v>
      </c>
      <c r="F17" s="5">
        <v>5</v>
      </c>
      <c r="G17" s="7">
        <v>0</v>
      </c>
      <c r="H17" s="6">
        <v>6</v>
      </c>
      <c r="I17" s="6" t="s">
        <v>85</v>
      </c>
      <c r="J17" s="7"/>
      <c r="K17" s="15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0,42052010OK7</v>
      </c>
    </row>
    <row r="18" spans="1:11" x14ac:dyDescent="0.25">
      <c r="A18" s="106">
        <v>0.4</v>
      </c>
      <c r="B18" s="116">
        <f>Förutsättningar!M$21</f>
        <v>20</v>
      </c>
      <c r="C18" s="116">
        <f>Förutsättningar!N$21</f>
        <v>5</v>
      </c>
      <c r="D18" s="2">
        <v>20</v>
      </c>
      <c r="E18" s="21">
        <v>10</v>
      </c>
      <c r="F18" s="8">
        <v>5</v>
      </c>
      <c r="G18" s="9">
        <v>2</v>
      </c>
      <c r="H18">
        <v>6.6</v>
      </c>
      <c r="I18" t="s">
        <v>85</v>
      </c>
      <c r="J18" s="9"/>
      <c r="K18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0,42052010OK7</v>
      </c>
    </row>
    <row r="19" spans="1:11" x14ac:dyDescent="0.25">
      <c r="A19" s="106">
        <v>0.4</v>
      </c>
      <c r="B19" s="116">
        <f>Förutsättningar!M$21</f>
        <v>20</v>
      </c>
      <c r="C19" s="116">
        <f>Förutsättningar!N$21</f>
        <v>5</v>
      </c>
      <c r="D19" s="2">
        <v>20</v>
      </c>
      <c r="E19" s="21">
        <v>10</v>
      </c>
      <c r="F19" s="8">
        <v>5</v>
      </c>
      <c r="G19" s="9">
        <v>7</v>
      </c>
      <c r="H19">
        <v>7</v>
      </c>
      <c r="I19" t="s">
        <v>85</v>
      </c>
      <c r="J19" s="9"/>
      <c r="K19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0,42052010OK7</v>
      </c>
    </row>
    <row r="20" spans="1:11" x14ac:dyDescent="0.25">
      <c r="A20" s="106">
        <v>0.4</v>
      </c>
      <c r="B20" s="116">
        <f>Förutsättningar!M$21</f>
        <v>20</v>
      </c>
      <c r="C20" s="116">
        <f>Förutsättningar!N$21</f>
        <v>5</v>
      </c>
      <c r="D20" s="2">
        <v>20</v>
      </c>
      <c r="E20" s="21">
        <v>20</v>
      </c>
      <c r="F20" s="8">
        <v>5</v>
      </c>
      <c r="G20" s="9">
        <v>12</v>
      </c>
      <c r="H20">
        <v>5.8</v>
      </c>
      <c r="I20" t="s">
        <v>85</v>
      </c>
      <c r="J20" s="9"/>
      <c r="K20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0,42052020OK7</v>
      </c>
    </row>
    <row r="21" spans="1:11" ht="15.75" thickBot="1" x14ac:dyDescent="0.3">
      <c r="A21" s="107">
        <v>0.4</v>
      </c>
      <c r="B21" s="109">
        <f>Förutsättningar!M$21</f>
        <v>20</v>
      </c>
      <c r="C21" s="109">
        <f>Förutsättningar!N$21</f>
        <v>5</v>
      </c>
      <c r="D21" s="22">
        <v>20</v>
      </c>
      <c r="E21" s="23">
        <v>20</v>
      </c>
      <c r="F21" s="10">
        <v>5</v>
      </c>
      <c r="G21" s="12">
        <v>20</v>
      </c>
      <c r="H21" s="11">
        <v>5.8</v>
      </c>
      <c r="I21" s="11" t="s">
        <v>85</v>
      </c>
      <c r="J21" s="12"/>
      <c r="K21" s="17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0,42052020OK7</v>
      </c>
    </row>
    <row r="22" spans="1:11" x14ac:dyDescent="0.25">
      <c r="A22" s="105">
        <v>0.4</v>
      </c>
      <c r="B22" s="108">
        <f>Förutsättningar!M$22</f>
        <v>20</v>
      </c>
      <c r="C22" s="108">
        <f>Förutsättningar!N$22</f>
        <v>5</v>
      </c>
      <c r="D22" s="18">
        <v>20</v>
      </c>
      <c r="E22" s="20">
        <v>20</v>
      </c>
      <c r="F22" s="5">
        <v>0</v>
      </c>
      <c r="G22" s="7">
        <v>0</v>
      </c>
      <c r="H22" s="6">
        <v>6.8</v>
      </c>
      <c r="I22" s="6" t="s">
        <v>85</v>
      </c>
      <c r="J22" s="7"/>
      <c r="K22" s="15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0,42052020OK7</v>
      </c>
    </row>
    <row r="23" spans="1:11" x14ac:dyDescent="0.25">
      <c r="A23" s="106">
        <v>0.4</v>
      </c>
      <c r="B23" s="116">
        <f>Förutsättningar!M$22</f>
        <v>20</v>
      </c>
      <c r="C23" s="116">
        <f>Förutsättningar!N$22</f>
        <v>5</v>
      </c>
      <c r="D23" s="2">
        <v>20</v>
      </c>
      <c r="E23" s="21">
        <v>30</v>
      </c>
      <c r="F23" s="8">
        <v>0</v>
      </c>
      <c r="G23" s="9">
        <v>2</v>
      </c>
      <c r="H23">
        <v>6.5</v>
      </c>
      <c r="I23" t="s">
        <v>85</v>
      </c>
      <c r="J23" s="9"/>
      <c r="K23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0,42052030OK7</v>
      </c>
    </row>
    <row r="24" spans="1:11" x14ac:dyDescent="0.25">
      <c r="A24" s="106">
        <v>0.4</v>
      </c>
      <c r="B24" s="116">
        <f>Förutsättningar!M$22</f>
        <v>20</v>
      </c>
      <c r="C24" s="116">
        <f>Förutsättningar!N$22</f>
        <v>5</v>
      </c>
      <c r="D24" s="2">
        <v>20</v>
      </c>
      <c r="E24" s="21">
        <v>30</v>
      </c>
      <c r="F24" s="8">
        <v>0</v>
      </c>
      <c r="G24" s="9">
        <v>7</v>
      </c>
      <c r="H24">
        <v>6.7</v>
      </c>
      <c r="I24" t="s">
        <v>85</v>
      </c>
      <c r="J24" s="9"/>
      <c r="K24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0,42052030OK7</v>
      </c>
    </row>
    <row r="25" spans="1:11" x14ac:dyDescent="0.25">
      <c r="A25" s="106">
        <v>0.4</v>
      </c>
      <c r="B25" s="116">
        <f>Förutsättningar!M$22</f>
        <v>20</v>
      </c>
      <c r="C25" s="116">
        <f>Förutsättningar!N$22</f>
        <v>5</v>
      </c>
      <c r="D25" s="2">
        <v>20</v>
      </c>
      <c r="E25" s="21">
        <v>30</v>
      </c>
      <c r="F25" s="8">
        <v>0</v>
      </c>
      <c r="G25" s="9">
        <v>12</v>
      </c>
      <c r="H25">
        <v>6.8</v>
      </c>
      <c r="I25" t="s">
        <v>85</v>
      </c>
      <c r="J25" s="9"/>
      <c r="K25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0,42052030OK7</v>
      </c>
    </row>
    <row r="26" spans="1:11" ht="15.75" thickBot="1" x14ac:dyDescent="0.3">
      <c r="A26" s="107">
        <v>0.4</v>
      </c>
      <c r="B26" s="109">
        <f>Förutsättningar!M$22</f>
        <v>20</v>
      </c>
      <c r="C26" s="109">
        <f>Förutsättningar!N$22</f>
        <v>5</v>
      </c>
      <c r="D26" s="22">
        <v>20</v>
      </c>
      <c r="E26" s="23">
        <v>30</v>
      </c>
      <c r="F26" s="10">
        <v>0</v>
      </c>
      <c r="G26" s="12">
        <v>20</v>
      </c>
      <c r="H26" s="11">
        <v>6.9</v>
      </c>
      <c r="I26" s="11" t="s">
        <v>85</v>
      </c>
      <c r="J26" s="12"/>
      <c r="K26" s="17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0,42052030OK7</v>
      </c>
    </row>
    <row r="27" spans="1:11" x14ac:dyDescent="0.25">
      <c r="A27" s="105">
        <v>0.3</v>
      </c>
      <c r="B27" s="108">
        <f>Förutsättningar!M$23</f>
        <v>20</v>
      </c>
      <c r="C27" s="108">
        <f>Förutsättningar!N$23</f>
        <v>5</v>
      </c>
      <c r="D27" s="18">
        <v>20</v>
      </c>
      <c r="E27" s="20">
        <v>30</v>
      </c>
      <c r="F27" s="5">
        <v>-5</v>
      </c>
      <c r="G27" s="7">
        <v>0</v>
      </c>
      <c r="H27" s="6">
        <v>6.9</v>
      </c>
      <c r="I27" s="6" t="s">
        <v>85</v>
      </c>
      <c r="J27" s="7"/>
      <c r="K27" s="15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0,32052030OK7</v>
      </c>
    </row>
    <row r="28" spans="1:11" x14ac:dyDescent="0.25">
      <c r="A28" s="106">
        <v>0.3</v>
      </c>
      <c r="B28" s="116">
        <f>Förutsättningar!M$23</f>
        <v>20</v>
      </c>
      <c r="C28" s="116">
        <f>Förutsättningar!N$23</f>
        <v>5</v>
      </c>
      <c r="D28" s="2">
        <v>20</v>
      </c>
      <c r="E28" s="21">
        <v>50</v>
      </c>
      <c r="F28" s="8">
        <v>-5</v>
      </c>
      <c r="G28" s="9">
        <v>2</v>
      </c>
      <c r="H28">
        <v>6</v>
      </c>
      <c r="I28" t="s">
        <v>85</v>
      </c>
      <c r="J28" s="9"/>
      <c r="K28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0,32052050OK7</v>
      </c>
    </row>
    <row r="29" spans="1:11" x14ac:dyDescent="0.25">
      <c r="A29" s="106">
        <v>0.3</v>
      </c>
      <c r="B29" s="116">
        <f>Förutsättningar!M$23</f>
        <v>20</v>
      </c>
      <c r="C29" s="116">
        <f>Förutsättningar!N$23</f>
        <v>5</v>
      </c>
      <c r="D29" s="2">
        <v>20</v>
      </c>
      <c r="E29" s="21">
        <v>50</v>
      </c>
      <c r="F29" s="8">
        <v>-5</v>
      </c>
      <c r="G29" s="9">
        <v>7</v>
      </c>
      <c r="H29">
        <v>6.2</v>
      </c>
      <c r="I29" t="s">
        <v>85</v>
      </c>
      <c r="J29" s="9"/>
      <c r="K29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0,32052050OK7</v>
      </c>
    </row>
    <row r="30" spans="1:11" x14ac:dyDescent="0.25">
      <c r="A30" s="106">
        <v>0.3</v>
      </c>
      <c r="B30" s="116">
        <f>Förutsättningar!M$23</f>
        <v>20</v>
      </c>
      <c r="C30" s="116">
        <f>Förutsättningar!N$23</f>
        <v>5</v>
      </c>
      <c r="D30" s="2">
        <v>20</v>
      </c>
      <c r="E30" s="21">
        <v>50</v>
      </c>
      <c r="F30" s="8">
        <v>-5</v>
      </c>
      <c r="G30" s="9">
        <v>12</v>
      </c>
      <c r="H30">
        <v>6.3</v>
      </c>
      <c r="I30" t="s">
        <v>85</v>
      </c>
      <c r="J30" s="9"/>
      <c r="K30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0,32052050OK7</v>
      </c>
    </row>
    <row r="31" spans="1:11" ht="15.75" thickBot="1" x14ac:dyDescent="0.3">
      <c r="A31" s="107">
        <v>0.3</v>
      </c>
      <c r="B31" s="109">
        <f>Förutsättningar!M$23</f>
        <v>20</v>
      </c>
      <c r="C31" s="109">
        <f>Förutsättningar!N$23</f>
        <v>5</v>
      </c>
      <c r="D31" s="22">
        <v>20</v>
      </c>
      <c r="E31" s="23">
        <v>50</v>
      </c>
      <c r="F31" s="10">
        <v>-5</v>
      </c>
      <c r="G31" s="12">
        <v>20</v>
      </c>
      <c r="H31" s="11">
        <v>6.4</v>
      </c>
      <c r="I31" s="11" t="s">
        <v>85</v>
      </c>
      <c r="J31" s="12"/>
      <c r="K31" s="17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0,32052050OK7</v>
      </c>
    </row>
    <row r="32" spans="1:11" x14ac:dyDescent="0.25">
      <c r="A32" s="105">
        <v>0.2</v>
      </c>
      <c r="B32" s="108">
        <f>Förutsättningar!M$24</f>
        <v>20</v>
      </c>
      <c r="C32" s="108">
        <f>Förutsättningar!N$24</f>
        <v>5</v>
      </c>
      <c r="D32" s="18">
        <v>20</v>
      </c>
      <c r="E32" s="20">
        <v>50</v>
      </c>
      <c r="F32" s="5">
        <v>-10</v>
      </c>
      <c r="G32" s="7">
        <v>0</v>
      </c>
      <c r="H32" s="6">
        <v>6.1</v>
      </c>
      <c r="I32" s="6" t="s">
        <v>85</v>
      </c>
      <c r="J32" s="7"/>
      <c r="K32" s="15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0,22052050OK7</v>
      </c>
    </row>
    <row r="33" spans="1:11" x14ac:dyDescent="0.25">
      <c r="A33" s="106">
        <v>0.2</v>
      </c>
      <c r="B33" s="116">
        <f>Förutsättningar!M$24</f>
        <v>20</v>
      </c>
      <c r="C33" s="116">
        <f>Förutsättningar!N$24</f>
        <v>5</v>
      </c>
      <c r="D33" s="2">
        <v>20</v>
      </c>
      <c r="E33" s="21">
        <v>50</v>
      </c>
      <c r="F33" s="8">
        <v>-10</v>
      </c>
      <c r="G33" s="9">
        <v>2</v>
      </c>
      <c r="H33">
        <v>6.4</v>
      </c>
      <c r="I33" t="s">
        <v>85</v>
      </c>
      <c r="J33" s="9"/>
      <c r="K33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0,22052050OK7</v>
      </c>
    </row>
    <row r="34" spans="1:11" x14ac:dyDescent="0.25">
      <c r="A34" s="106">
        <v>0.2</v>
      </c>
      <c r="B34" s="116">
        <f>Förutsättningar!M$24</f>
        <v>20</v>
      </c>
      <c r="C34" s="116">
        <f>Förutsättningar!N$24</f>
        <v>5</v>
      </c>
      <c r="D34" s="2">
        <v>20</v>
      </c>
      <c r="E34" s="21">
        <v>50</v>
      </c>
      <c r="F34" s="8">
        <v>-10</v>
      </c>
      <c r="G34" s="9">
        <v>7</v>
      </c>
      <c r="H34">
        <v>6.8</v>
      </c>
      <c r="I34" t="s">
        <v>85</v>
      </c>
      <c r="J34" s="9"/>
      <c r="K34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0,22052050OK7</v>
      </c>
    </row>
    <row r="35" spans="1:11" x14ac:dyDescent="0.25">
      <c r="A35" s="106" t="s">
        <v>9</v>
      </c>
      <c r="B35" s="116" t="s">
        <v>9</v>
      </c>
      <c r="C35" s="116" t="s">
        <v>9</v>
      </c>
      <c r="D35" s="2" t="s">
        <v>9</v>
      </c>
      <c r="E35" s="21" t="s">
        <v>9</v>
      </c>
      <c r="F35" s="8">
        <v>-10</v>
      </c>
      <c r="G35" s="9">
        <v>12</v>
      </c>
      <c r="J35" s="9" t="s">
        <v>12</v>
      </c>
      <c r="K35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-----Frys innan täck</v>
      </c>
    </row>
    <row r="36" spans="1:11" ht="15.75" thickBot="1" x14ac:dyDescent="0.3">
      <c r="A36" s="107" t="s">
        <v>9</v>
      </c>
      <c r="B36" s="109" t="s">
        <v>9</v>
      </c>
      <c r="C36" s="109" t="s">
        <v>9</v>
      </c>
      <c r="D36" s="22" t="s">
        <v>9</v>
      </c>
      <c r="E36" s="23" t="s">
        <v>9</v>
      </c>
      <c r="F36" s="10">
        <v>-10</v>
      </c>
      <c r="G36" s="12">
        <v>20</v>
      </c>
      <c r="H36" s="11"/>
      <c r="I36" s="11"/>
      <c r="J36" s="12" t="s">
        <v>12</v>
      </c>
      <c r="K36" s="17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-----Frys innan täck</v>
      </c>
    </row>
    <row r="37" spans="1:11" x14ac:dyDescent="0.25">
      <c r="A37" s="105">
        <v>0.1</v>
      </c>
      <c r="B37" s="108">
        <f>Förutsättningar!M$25</f>
        <v>15</v>
      </c>
      <c r="C37" s="108">
        <f>Förutsättningar!N$25</f>
        <v>5</v>
      </c>
      <c r="D37" s="18">
        <v>20</v>
      </c>
      <c r="E37" s="20">
        <v>50</v>
      </c>
      <c r="F37" s="5">
        <v>-15</v>
      </c>
      <c r="G37" s="7">
        <v>0</v>
      </c>
      <c r="H37" s="6">
        <v>6.8</v>
      </c>
      <c r="I37" s="6" t="s">
        <v>85</v>
      </c>
      <c r="J37" s="7"/>
      <c r="K37" s="15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0,11552050OK7</v>
      </c>
    </row>
    <row r="38" spans="1:11" x14ac:dyDescent="0.25">
      <c r="A38" s="106" t="s">
        <v>83</v>
      </c>
      <c r="B38" s="116">
        <f>Förutsättningar!M$25</f>
        <v>15</v>
      </c>
      <c r="C38" s="116">
        <f>Förutsättningar!N$25</f>
        <v>5</v>
      </c>
      <c r="D38" s="2">
        <v>20</v>
      </c>
      <c r="E38" s="21">
        <v>30</v>
      </c>
      <c r="F38" s="8">
        <v>-15</v>
      </c>
      <c r="G38" s="9">
        <v>2</v>
      </c>
      <c r="H38">
        <v>6</v>
      </c>
      <c r="I38" t="s">
        <v>85</v>
      </c>
      <c r="J38" s="9"/>
      <c r="K38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Bas+0%1552030OK7</v>
      </c>
    </row>
    <row r="39" spans="1:11" x14ac:dyDescent="0.25">
      <c r="A39" s="106" t="s">
        <v>9</v>
      </c>
      <c r="B39" s="116" t="s">
        <v>9</v>
      </c>
      <c r="C39" s="116" t="s">
        <v>9</v>
      </c>
      <c r="D39" s="2" t="s">
        <v>9</v>
      </c>
      <c r="E39" s="21" t="s">
        <v>9</v>
      </c>
      <c r="F39" s="8">
        <v>-15</v>
      </c>
      <c r="G39" s="9">
        <v>7</v>
      </c>
      <c r="J39" s="9" t="s">
        <v>12</v>
      </c>
      <c r="K39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-----Frys innan täck</v>
      </c>
    </row>
    <row r="40" spans="1:11" x14ac:dyDescent="0.25">
      <c r="A40" s="106" t="s">
        <v>9</v>
      </c>
      <c r="B40" s="116" t="s">
        <v>9</v>
      </c>
      <c r="C40" s="116" t="s">
        <v>9</v>
      </c>
      <c r="D40" s="2" t="s">
        <v>9</v>
      </c>
      <c r="E40" s="21" t="s">
        <v>9</v>
      </c>
      <c r="F40" s="8">
        <v>-15</v>
      </c>
      <c r="G40" s="9">
        <v>12</v>
      </c>
      <c r="J40" s="9" t="s">
        <v>12</v>
      </c>
      <c r="K40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-----Frys innan täck</v>
      </c>
    </row>
    <row r="41" spans="1:11" ht="15.75" thickBot="1" x14ac:dyDescent="0.3">
      <c r="A41" s="107" t="s">
        <v>9</v>
      </c>
      <c r="B41" s="109" t="s">
        <v>9</v>
      </c>
      <c r="C41" s="109" t="s">
        <v>9</v>
      </c>
      <c r="D41" s="22" t="s">
        <v>9</v>
      </c>
      <c r="E41" s="23" t="s">
        <v>9</v>
      </c>
      <c r="F41" s="10">
        <v>-15</v>
      </c>
      <c r="G41" s="12">
        <v>20</v>
      </c>
      <c r="H41" s="11"/>
      <c r="I41" s="11"/>
      <c r="J41" s="12" t="s">
        <v>12</v>
      </c>
      <c r="K41" s="17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-----Frys innan täck</v>
      </c>
    </row>
    <row r="42" spans="1:11" x14ac:dyDescent="0.25">
      <c r="A42" s="106" t="s">
        <v>9</v>
      </c>
      <c r="B42" s="108" t="s">
        <v>9</v>
      </c>
      <c r="C42" s="108" t="s">
        <v>9</v>
      </c>
      <c r="D42" s="2" t="s">
        <v>9</v>
      </c>
      <c r="E42" s="21" t="s">
        <v>9</v>
      </c>
      <c r="F42" s="8">
        <v>-20</v>
      </c>
      <c r="G42" s="9">
        <v>0</v>
      </c>
      <c r="J42" s="9" t="s">
        <v>18</v>
      </c>
      <c r="K42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-----Når ej 70%</v>
      </c>
    </row>
    <row r="43" spans="1:11" x14ac:dyDescent="0.25">
      <c r="A43" s="106" t="s">
        <v>9</v>
      </c>
      <c r="B43" s="116" t="s">
        <v>9</v>
      </c>
      <c r="C43" s="116" t="s">
        <v>9</v>
      </c>
      <c r="D43" s="2" t="s">
        <v>9</v>
      </c>
      <c r="E43" s="21" t="s">
        <v>9</v>
      </c>
      <c r="F43" s="8">
        <v>-20</v>
      </c>
      <c r="G43" s="9">
        <v>2</v>
      </c>
      <c r="J43" s="9" t="s">
        <v>18</v>
      </c>
      <c r="K43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-----Når ej 70%</v>
      </c>
    </row>
    <row r="44" spans="1:11" x14ac:dyDescent="0.25">
      <c r="A44" s="106" t="s">
        <v>9</v>
      </c>
      <c r="B44" s="116" t="s">
        <v>9</v>
      </c>
      <c r="C44" s="116" t="s">
        <v>9</v>
      </c>
      <c r="D44" s="2" t="s">
        <v>9</v>
      </c>
      <c r="E44" s="21" t="s">
        <v>9</v>
      </c>
      <c r="F44" s="8">
        <v>-20</v>
      </c>
      <c r="G44" s="9">
        <v>7</v>
      </c>
      <c r="J44" s="9" t="s">
        <v>12</v>
      </c>
      <c r="K44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-----Frys innan täck</v>
      </c>
    </row>
    <row r="45" spans="1:11" x14ac:dyDescent="0.25">
      <c r="A45" s="106" t="s">
        <v>9</v>
      </c>
      <c r="B45" s="116" t="s">
        <v>9</v>
      </c>
      <c r="C45" s="116" t="s">
        <v>9</v>
      </c>
      <c r="D45" s="2" t="s">
        <v>9</v>
      </c>
      <c r="E45" s="21" t="s">
        <v>9</v>
      </c>
      <c r="F45" s="8">
        <v>-20</v>
      </c>
      <c r="G45" s="9">
        <v>12</v>
      </c>
      <c r="J45" s="9" t="s">
        <v>12</v>
      </c>
      <c r="K45" s="16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-----Frys innan täck</v>
      </c>
    </row>
    <row r="46" spans="1:11" ht="15.75" thickBot="1" x14ac:dyDescent="0.3">
      <c r="A46" s="107" t="s">
        <v>9</v>
      </c>
      <c r="B46" s="109" t="s">
        <v>9</v>
      </c>
      <c r="C46" s="109" t="s">
        <v>9</v>
      </c>
      <c r="D46" s="22" t="s">
        <v>9</v>
      </c>
      <c r="E46" s="23" t="s">
        <v>9</v>
      </c>
      <c r="F46" s="10">
        <v>-20</v>
      </c>
      <c r="G46" s="12">
        <v>20</v>
      </c>
      <c r="H46" s="11"/>
      <c r="I46" s="11"/>
      <c r="J46" s="12" t="s">
        <v>12</v>
      </c>
      <c r="K46" s="17" t="str">
        <f>Table1417[[#This Row],[Slagg mängd]]&amp;Table1417[[#This Row],[Gjuttemperatur]]&amp;Table1417[[#This Row],[Temperatur motgjutningsyta]]&amp;Table1417[[#This Row],[Väderskydd, uppvärmning (ingen vind)]]&amp;Table1417[[#This Row],[Täckning '[mm']]]&amp;Table1417[[#This Row],[OK&lt;7 dagar]]&amp;Table1417[[#This Row],[Kommentar]]</f>
        <v>-----Frys innan täck</v>
      </c>
    </row>
  </sheetData>
  <phoneticPr fontId="3" type="noConversion"/>
  <dataValidations count="1">
    <dataValidation type="list" allowBlank="1" showInputMessage="1" showErrorMessage="1" sqref="L2:L46" xr:uid="{CF5E1F7C-9D9B-4D94-AA62-8FD5CD4B4471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65E69E9-F063-43D8-876A-26C831DCE224}">
          <x14:formula1>
            <xm:f>Förutsättningar!$J$2:$J$3</xm:f>
          </x14:formula1>
          <xm:sqref>J2:J46</xm:sqref>
        </x14:dataValidation>
        <x14:dataValidation type="list" allowBlank="1" showInputMessage="1" showErrorMessage="1" xr:uid="{A4FCE850-AB24-462B-88CC-95CF326B996A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ED3B5101-CA5F-46D4-83E7-66A5709A0495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05276E0D-2ECE-4B7B-B5EF-E258F1BFD139}">
          <x14:formula1>
            <xm:f>Förutsättningar!$I$2:$I$7</xm:f>
          </x14:formula1>
          <xm:sqref>A2:A46</xm:sqref>
        </x14:dataValidation>
        <x14:dataValidation type="list" allowBlank="1" showInputMessage="1" showErrorMessage="1" xr:uid="{29624419-8CF5-46F2-B425-E4C4D335CFE8}">
          <x14:formula1>
            <xm:f>Förutsättningar!$F$2</xm:f>
          </x14:formula1>
          <xm:sqref>I2:I46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3468B-9A33-40A2-89C0-19A38CB2E8FA}">
  <sheetPr codeName="Sheet12"/>
  <dimension ref="A1:T46"/>
  <sheetViews>
    <sheetView zoomScale="115" zoomScaleNormal="115" workbookViewId="0">
      <selection activeCell="B12" sqref="B12:E12"/>
    </sheetView>
  </sheetViews>
  <sheetFormatPr defaultRowHeight="15" x14ac:dyDescent="0.25"/>
  <cols>
    <col min="1" max="1" width="12.5703125" style="103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10" width="14.42578125" bestFit="1" customWidth="1"/>
    <col min="11" max="11" width="22.85546875" bestFit="1" customWidth="1"/>
    <col min="12" max="17" width="11.28515625" customWidth="1"/>
    <col min="18" max="18" width="12.28515625" customWidth="1"/>
  </cols>
  <sheetData>
    <row r="1" spans="1:20" ht="30.75" thickBot="1" x14ac:dyDescent="0.3">
      <c r="A1" s="117" t="s">
        <v>52</v>
      </c>
      <c r="B1" s="115" t="s">
        <v>0</v>
      </c>
      <c r="C1" s="115" t="s">
        <v>1</v>
      </c>
      <c r="D1" s="115" t="s">
        <v>2</v>
      </c>
      <c r="E1" s="115" t="s">
        <v>3</v>
      </c>
      <c r="F1" s="13" t="s">
        <v>4</v>
      </c>
      <c r="G1" s="13" t="s">
        <v>5</v>
      </c>
      <c r="H1" s="13" t="s">
        <v>77</v>
      </c>
      <c r="I1" s="13" t="s">
        <v>78</v>
      </c>
      <c r="J1" s="13" t="s">
        <v>6</v>
      </c>
      <c r="K1" s="14" t="s">
        <v>7</v>
      </c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05">
        <v>0.4</v>
      </c>
      <c r="B2" s="108">
        <f>Förutsättningar!M$18</f>
        <v>15</v>
      </c>
      <c r="C2" s="108">
        <f>Förutsättningar!N$18</f>
        <v>20</v>
      </c>
      <c r="D2" s="19" t="s">
        <v>9</v>
      </c>
      <c r="E2" s="20" t="s">
        <v>9</v>
      </c>
      <c r="F2" s="6">
        <v>20</v>
      </c>
      <c r="G2" s="7">
        <v>0</v>
      </c>
      <c r="H2" s="6">
        <v>5.6</v>
      </c>
      <c r="I2" s="6" t="s">
        <v>85</v>
      </c>
      <c r="J2" s="7"/>
      <c r="K2" s="15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0,41520--OK7</v>
      </c>
      <c r="O2" s="1"/>
    </row>
    <row r="3" spans="1:20" x14ac:dyDescent="0.25">
      <c r="A3" s="106">
        <v>0.4</v>
      </c>
      <c r="B3" s="116">
        <f>Förutsättningar!$M$18</f>
        <v>15</v>
      </c>
      <c r="C3" s="116">
        <f>Förutsättningar!N$18</f>
        <v>20</v>
      </c>
      <c r="D3" s="2" t="s">
        <v>9</v>
      </c>
      <c r="E3" s="21" t="s">
        <v>9</v>
      </c>
      <c r="F3">
        <v>20</v>
      </c>
      <c r="G3" s="9">
        <v>2</v>
      </c>
      <c r="H3">
        <v>6.2</v>
      </c>
      <c r="I3" t="s">
        <v>85</v>
      </c>
      <c r="J3" s="9"/>
      <c r="K3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0,41520--OK7</v>
      </c>
    </row>
    <row r="4" spans="1:20" x14ac:dyDescent="0.25">
      <c r="A4" s="106">
        <v>0.4</v>
      </c>
      <c r="B4" s="116">
        <f>Förutsättningar!$M$18</f>
        <v>15</v>
      </c>
      <c r="C4" s="116">
        <f>Förutsättningar!N$18</f>
        <v>20</v>
      </c>
      <c r="D4" s="2" t="s">
        <v>9</v>
      </c>
      <c r="E4" s="21" t="s">
        <v>9</v>
      </c>
      <c r="F4">
        <v>20</v>
      </c>
      <c r="G4" s="9">
        <v>7</v>
      </c>
      <c r="H4">
        <v>6.5</v>
      </c>
      <c r="I4" t="s">
        <v>85</v>
      </c>
      <c r="J4" s="9"/>
      <c r="K4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0,41520--OK7</v>
      </c>
    </row>
    <row r="5" spans="1:20" x14ac:dyDescent="0.25">
      <c r="A5" s="106">
        <v>0.4</v>
      </c>
      <c r="B5" s="116">
        <f>Förutsättningar!$M$18</f>
        <v>15</v>
      </c>
      <c r="C5" s="116">
        <f>Förutsättningar!N$18</f>
        <v>20</v>
      </c>
      <c r="D5" s="2" t="s">
        <v>9</v>
      </c>
      <c r="E5" s="21" t="s">
        <v>9</v>
      </c>
      <c r="F5">
        <v>20</v>
      </c>
      <c r="G5" s="9">
        <v>12</v>
      </c>
      <c r="H5">
        <v>6.5</v>
      </c>
      <c r="I5" t="s">
        <v>85</v>
      </c>
      <c r="J5" s="9"/>
      <c r="K5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0,41520--OK7</v>
      </c>
    </row>
    <row r="6" spans="1:20" ht="15.75" thickBot="1" x14ac:dyDescent="0.3">
      <c r="A6" s="107">
        <v>0.4</v>
      </c>
      <c r="B6" s="109">
        <f>Förutsättningar!$M$18</f>
        <v>15</v>
      </c>
      <c r="C6" s="109">
        <f>Förutsättningar!N$18</f>
        <v>20</v>
      </c>
      <c r="D6" s="22" t="s">
        <v>9</v>
      </c>
      <c r="E6" s="23" t="s">
        <v>9</v>
      </c>
      <c r="F6" s="11">
        <v>20</v>
      </c>
      <c r="G6" s="12">
        <v>20</v>
      </c>
      <c r="H6" s="11">
        <v>6.6</v>
      </c>
      <c r="I6" s="11" t="s">
        <v>85</v>
      </c>
      <c r="J6" s="12"/>
      <c r="K6" s="17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0,41520--OK7</v>
      </c>
    </row>
    <row r="7" spans="1:20" x14ac:dyDescent="0.25">
      <c r="A7" s="106">
        <v>0.3</v>
      </c>
      <c r="B7" s="116">
        <f>Förutsättningar!M$19</f>
        <v>15</v>
      </c>
      <c r="C7" s="116">
        <f>Förutsättningar!N$19</f>
        <v>15</v>
      </c>
      <c r="D7" s="2" t="s">
        <v>9</v>
      </c>
      <c r="E7" s="21" t="s">
        <v>9</v>
      </c>
      <c r="F7" s="5">
        <v>15</v>
      </c>
      <c r="G7" s="7">
        <v>0</v>
      </c>
      <c r="H7" s="6">
        <v>6.1</v>
      </c>
      <c r="I7" s="6" t="s">
        <v>85</v>
      </c>
      <c r="J7" s="7"/>
      <c r="K7" s="15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0,31515--OK7</v>
      </c>
    </row>
    <row r="8" spans="1:20" x14ac:dyDescent="0.25">
      <c r="A8" s="106">
        <v>0.3</v>
      </c>
      <c r="B8" s="116">
        <f>Förutsättningar!M$19</f>
        <v>15</v>
      </c>
      <c r="C8" s="116">
        <f>Förutsättningar!N$19</f>
        <v>15</v>
      </c>
      <c r="D8" s="2" t="s">
        <v>9</v>
      </c>
      <c r="E8" s="21" t="s">
        <v>9</v>
      </c>
      <c r="F8" s="8">
        <v>15</v>
      </c>
      <c r="G8" s="9">
        <v>2</v>
      </c>
      <c r="H8">
        <v>7</v>
      </c>
      <c r="I8" t="s">
        <v>85</v>
      </c>
      <c r="J8" s="9"/>
      <c r="K8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0,31515--OK7</v>
      </c>
    </row>
    <row r="9" spans="1:20" x14ac:dyDescent="0.25">
      <c r="A9" s="106">
        <v>0.3</v>
      </c>
      <c r="B9" s="116">
        <f>Förutsättningar!M$19</f>
        <v>15</v>
      </c>
      <c r="C9" s="116">
        <f>Förutsättningar!N$19</f>
        <v>15</v>
      </c>
      <c r="D9" s="2">
        <v>0</v>
      </c>
      <c r="E9" s="21" t="s">
        <v>11</v>
      </c>
      <c r="F9" s="8">
        <v>15</v>
      </c>
      <c r="G9" s="9">
        <v>7</v>
      </c>
      <c r="H9">
        <v>6.8</v>
      </c>
      <c r="I9" t="s">
        <v>85</v>
      </c>
      <c r="J9" s="9"/>
      <c r="K9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0,315150PresenningOK7</v>
      </c>
    </row>
    <row r="10" spans="1:20" x14ac:dyDescent="0.25">
      <c r="A10" s="106">
        <v>0.3</v>
      </c>
      <c r="B10" s="116">
        <f>Förutsättningar!M$19</f>
        <v>15</v>
      </c>
      <c r="C10" s="116">
        <f>Förutsättningar!N$19</f>
        <v>15</v>
      </c>
      <c r="D10" s="2">
        <v>0</v>
      </c>
      <c r="E10" s="21" t="s">
        <v>11</v>
      </c>
      <c r="F10" s="8">
        <v>15</v>
      </c>
      <c r="G10" s="9">
        <v>12</v>
      </c>
      <c r="H10">
        <v>6.9</v>
      </c>
      <c r="I10" t="s">
        <v>85</v>
      </c>
      <c r="J10" s="9"/>
      <c r="K10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0,315150PresenningOK7</v>
      </c>
    </row>
    <row r="11" spans="1:20" ht="15.75" thickBot="1" x14ac:dyDescent="0.3">
      <c r="A11" s="107">
        <v>0.3</v>
      </c>
      <c r="B11" s="109">
        <f>Förutsättningar!M$19</f>
        <v>15</v>
      </c>
      <c r="C11" s="109">
        <f>Förutsättningar!N$19</f>
        <v>15</v>
      </c>
      <c r="D11" s="22">
        <v>0</v>
      </c>
      <c r="E11" s="23" t="s">
        <v>11</v>
      </c>
      <c r="F11" s="10">
        <v>15</v>
      </c>
      <c r="G11" s="12">
        <v>20</v>
      </c>
      <c r="H11" s="11">
        <v>7</v>
      </c>
      <c r="I11" s="11" t="s">
        <v>85</v>
      </c>
      <c r="J11" s="12"/>
      <c r="K11" s="17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0,315150PresenningOK7</v>
      </c>
    </row>
    <row r="12" spans="1:20" x14ac:dyDescent="0.25">
      <c r="A12" s="105">
        <v>0.2</v>
      </c>
      <c r="B12" s="108">
        <f>Förutsättningar!M$20</f>
        <v>15</v>
      </c>
      <c r="C12" s="108">
        <f>Förutsättningar!N$20</f>
        <v>10</v>
      </c>
      <c r="D12" s="18" t="s">
        <v>9</v>
      </c>
      <c r="E12" s="20" t="s">
        <v>9</v>
      </c>
      <c r="F12" s="5">
        <v>10</v>
      </c>
      <c r="G12" s="7">
        <v>0</v>
      </c>
      <c r="H12" s="6">
        <v>7</v>
      </c>
      <c r="I12" s="6" t="s">
        <v>85</v>
      </c>
      <c r="J12" s="7"/>
      <c r="K12" s="15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0,21510--OK7</v>
      </c>
    </row>
    <row r="13" spans="1:20" x14ac:dyDescent="0.25">
      <c r="A13" s="106">
        <v>0.1</v>
      </c>
      <c r="B13" s="116">
        <f>Förutsättningar!M$20</f>
        <v>15</v>
      </c>
      <c r="C13" s="116">
        <f>Förutsättningar!N$20</f>
        <v>10</v>
      </c>
      <c r="D13" s="2" t="s">
        <v>9</v>
      </c>
      <c r="E13" s="21" t="s">
        <v>9</v>
      </c>
      <c r="F13" s="8">
        <v>10</v>
      </c>
      <c r="G13" s="9">
        <v>2</v>
      </c>
      <c r="H13">
        <v>6.2</v>
      </c>
      <c r="I13" t="s">
        <v>85</v>
      </c>
      <c r="J13" s="9"/>
      <c r="K13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0,11510--OK7</v>
      </c>
    </row>
    <row r="14" spans="1:20" x14ac:dyDescent="0.25">
      <c r="A14" s="106">
        <v>0.1</v>
      </c>
      <c r="B14" s="116">
        <f>Förutsättningar!M$20</f>
        <v>15</v>
      </c>
      <c r="C14" s="116">
        <f>Förutsättningar!N$20</f>
        <v>10</v>
      </c>
      <c r="D14" s="2" t="s">
        <v>9</v>
      </c>
      <c r="E14" s="21" t="s">
        <v>9</v>
      </c>
      <c r="F14" s="8">
        <v>10</v>
      </c>
      <c r="G14" s="9">
        <v>7</v>
      </c>
      <c r="H14">
        <v>6.7</v>
      </c>
      <c r="I14" t="s">
        <v>85</v>
      </c>
      <c r="J14" s="9"/>
      <c r="K14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0,11510--OK7</v>
      </c>
    </row>
    <row r="15" spans="1:20" x14ac:dyDescent="0.25">
      <c r="A15" s="106">
        <v>0.1</v>
      </c>
      <c r="B15" s="116">
        <f>Förutsättningar!M$20</f>
        <v>15</v>
      </c>
      <c r="C15" s="116">
        <f>Förutsättningar!N$20</f>
        <v>10</v>
      </c>
      <c r="D15" s="2" t="s">
        <v>9</v>
      </c>
      <c r="E15" s="21" t="s">
        <v>9</v>
      </c>
      <c r="F15" s="8">
        <v>10</v>
      </c>
      <c r="G15" s="9">
        <v>12</v>
      </c>
      <c r="H15">
        <v>6.8</v>
      </c>
      <c r="I15" t="s">
        <v>85</v>
      </c>
      <c r="J15" s="9"/>
      <c r="K15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0,11510--OK7</v>
      </c>
    </row>
    <row r="16" spans="1:20" ht="15.75" thickBot="1" x14ac:dyDescent="0.3">
      <c r="A16" s="107">
        <v>0.1</v>
      </c>
      <c r="B16" s="109">
        <f>Förutsättningar!M$20</f>
        <v>15</v>
      </c>
      <c r="C16" s="109">
        <f>Förutsättningar!N$20</f>
        <v>10</v>
      </c>
      <c r="D16" s="22" t="s">
        <v>9</v>
      </c>
      <c r="E16" s="23" t="s">
        <v>9</v>
      </c>
      <c r="F16" s="10">
        <v>10</v>
      </c>
      <c r="G16" s="12">
        <v>20</v>
      </c>
      <c r="H16" s="11">
        <v>6.9</v>
      </c>
      <c r="I16" s="11" t="s">
        <v>85</v>
      </c>
      <c r="J16" s="12"/>
      <c r="K16" s="17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0,11510--OK7</v>
      </c>
    </row>
    <row r="17" spans="1:11" x14ac:dyDescent="0.25">
      <c r="A17" s="105">
        <v>0.4</v>
      </c>
      <c r="B17" s="108">
        <f>Förutsättningar!M$21</f>
        <v>20</v>
      </c>
      <c r="C17" s="108">
        <f>Förutsättningar!N$21</f>
        <v>5</v>
      </c>
      <c r="D17" s="18">
        <v>20</v>
      </c>
      <c r="E17" s="20">
        <v>10</v>
      </c>
      <c r="F17" s="5">
        <v>5</v>
      </c>
      <c r="G17" s="7">
        <v>0</v>
      </c>
      <c r="H17" s="6">
        <v>5.6</v>
      </c>
      <c r="I17" s="6" t="s">
        <v>85</v>
      </c>
      <c r="J17" s="7"/>
      <c r="K17" s="15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0,42052010OK7</v>
      </c>
    </row>
    <row r="18" spans="1:11" x14ac:dyDescent="0.25">
      <c r="A18" s="106">
        <v>0.4</v>
      </c>
      <c r="B18" s="116">
        <f>Förutsättningar!M$21</f>
        <v>20</v>
      </c>
      <c r="C18" s="116">
        <f>Förutsättningar!N$21</f>
        <v>5</v>
      </c>
      <c r="D18" s="2">
        <v>20</v>
      </c>
      <c r="E18" s="21">
        <v>10</v>
      </c>
      <c r="F18" s="8">
        <v>5</v>
      </c>
      <c r="G18" s="9">
        <v>2</v>
      </c>
      <c r="H18">
        <v>6.3</v>
      </c>
      <c r="I18" t="s">
        <v>85</v>
      </c>
      <c r="J18" s="9"/>
      <c r="K18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0,42052010OK7</v>
      </c>
    </row>
    <row r="19" spans="1:11" x14ac:dyDescent="0.25">
      <c r="A19" s="106">
        <v>0.4</v>
      </c>
      <c r="B19" s="116">
        <f>Förutsättningar!M$21</f>
        <v>20</v>
      </c>
      <c r="C19" s="116">
        <f>Förutsättningar!N$21</f>
        <v>5</v>
      </c>
      <c r="D19" s="2">
        <v>20</v>
      </c>
      <c r="E19" s="21">
        <v>10</v>
      </c>
      <c r="F19" s="8">
        <v>5</v>
      </c>
      <c r="G19" s="9">
        <v>7</v>
      </c>
      <c r="H19">
        <v>6.7</v>
      </c>
      <c r="I19" t="s">
        <v>85</v>
      </c>
      <c r="J19" s="9"/>
      <c r="K19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0,42052010OK7</v>
      </c>
    </row>
    <row r="20" spans="1:11" x14ac:dyDescent="0.25">
      <c r="A20" s="106">
        <v>0.4</v>
      </c>
      <c r="B20" s="116">
        <f>Förutsättningar!M$21</f>
        <v>20</v>
      </c>
      <c r="C20" s="116">
        <f>Förutsättningar!N$21</f>
        <v>5</v>
      </c>
      <c r="D20" s="2">
        <v>20</v>
      </c>
      <c r="E20" s="21">
        <v>10</v>
      </c>
      <c r="F20" s="8">
        <v>5</v>
      </c>
      <c r="G20" s="9">
        <v>12</v>
      </c>
      <c r="H20">
        <v>6.8</v>
      </c>
      <c r="I20" t="s">
        <v>85</v>
      </c>
      <c r="J20" s="9"/>
      <c r="K20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0,42052010OK7</v>
      </c>
    </row>
    <row r="21" spans="1:11" ht="15.75" thickBot="1" x14ac:dyDescent="0.3">
      <c r="A21" s="107">
        <v>0.4</v>
      </c>
      <c r="B21" s="109">
        <f>Förutsättningar!M$21</f>
        <v>20</v>
      </c>
      <c r="C21" s="109">
        <f>Förutsättningar!N$21</f>
        <v>5</v>
      </c>
      <c r="D21" s="22">
        <v>20</v>
      </c>
      <c r="E21" s="23">
        <v>10</v>
      </c>
      <c r="F21" s="10">
        <v>5</v>
      </c>
      <c r="G21" s="12">
        <v>20</v>
      </c>
      <c r="H21" s="11">
        <v>6.9</v>
      </c>
      <c r="I21" s="11" t="s">
        <v>85</v>
      </c>
      <c r="J21" s="12"/>
      <c r="K21" s="17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0,42052010OK7</v>
      </c>
    </row>
    <row r="22" spans="1:11" x14ac:dyDescent="0.25">
      <c r="A22" s="105">
        <v>0.4</v>
      </c>
      <c r="B22" s="108">
        <f>Förutsättningar!M$22</f>
        <v>20</v>
      </c>
      <c r="C22" s="108">
        <f>Förutsättningar!N$22</f>
        <v>5</v>
      </c>
      <c r="D22" s="18">
        <v>20</v>
      </c>
      <c r="E22" s="20">
        <v>20</v>
      </c>
      <c r="F22" s="5">
        <v>0</v>
      </c>
      <c r="G22" s="7">
        <v>0</v>
      </c>
      <c r="H22" s="6">
        <v>6.3</v>
      </c>
      <c r="I22" s="6" t="s">
        <v>85</v>
      </c>
      <c r="J22" s="7"/>
      <c r="K22" s="15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0,42052020OK7</v>
      </c>
    </row>
    <row r="23" spans="1:11" x14ac:dyDescent="0.25">
      <c r="A23" s="106">
        <v>0.4</v>
      </c>
      <c r="B23" s="116">
        <f>Förutsättningar!M$22</f>
        <v>20</v>
      </c>
      <c r="C23" s="116">
        <f>Förutsättningar!N$22</f>
        <v>5</v>
      </c>
      <c r="D23" s="2">
        <v>20</v>
      </c>
      <c r="E23" s="21">
        <v>20</v>
      </c>
      <c r="F23" s="8">
        <v>0</v>
      </c>
      <c r="G23" s="9">
        <v>2</v>
      </c>
      <c r="H23">
        <v>6.8</v>
      </c>
      <c r="I23" t="s">
        <v>85</v>
      </c>
      <c r="J23" s="9"/>
      <c r="K23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0,42052020OK7</v>
      </c>
    </row>
    <row r="24" spans="1:11" x14ac:dyDescent="0.25">
      <c r="A24" s="106">
        <v>0.4</v>
      </c>
      <c r="B24" s="116">
        <f>Förutsättningar!M$22</f>
        <v>20</v>
      </c>
      <c r="C24" s="116">
        <f>Förutsättningar!N$22</f>
        <v>5</v>
      </c>
      <c r="D24" s="2">
        <v>20</v>
      </c>
      <c r="E24" s="21">
        <v>30</v>
      </c>
      <c r="F24" s="8">
        <v>0</v>
      </c>
      <c r="G24" s="9">
        <v>7</v>
      </c>
      <c r="H24">
        <v>6.3</v>
      </c>
      <c r="I24" t="s">
        <v>85</v>
      </c>
      <c r="J24" s="9"/>
      <c r="K24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0,42052030OK7</v>
      </c>
    </row>
    <row r="25" spans="1:11" x14ac:dyDescent="0.25">
      <c r="A25" s="106">
        <v>0.4</v>
      </c>
      <c r="B25" s="116">
        <f>Förutsättningar!M$22</f>
        <v>20</v>
      </c>
      <c r="C25" s="116">
        <f>Förutsättningar!N$22</f>
        <v>5</v>
      </c>
      <c r="D25" s="2">
        <v>20</v>
      </c>
      <c r="E25" s="21">
        <v>30</v>
      </c>
      <c r="F25" s="8">
        <v>0</v>
      </c>
      <c r="G25" s="9">
        <v>12</v>
      </c>
      <c r="H25">
        <v>6.4</v>
      </c>
      <c r="I25" t="s">
        <v>85</v>
      </c>
      <c r="J25" s="9"/>
      <c r="K25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0,42052030OK7</v>
      </c>
    </row>
    <row r="26" spans="1:11" ht="15.75" thickBot="1" x14ac:dyDescent="0.3">
      <c r="A26" s="107">
        <v>0.4</v>
      </c>
      <c r="B26" s="109">
        <f>Förutsättningar!M$22</f>
        <v>20</v>
      </c>
      <c r="C26" s="109">
        <f>Förutsättningar!N$22</f>
        <v>5</v>
      </c>
      <c r="D26" s="22">
        <v>20</v>
      </c>
      <c r="E26" s="23">
        <v>30</v>
      </c>
      <c r="F26" s="10">
        <v>0</v>
      </c>
      <c r="G26" s="12">
        <v>20</v>
      </c>
      <c r="H26" s="11">
        <v>6.4</v>
      </c>
      <c r="I26" s="11" t="s">
        <v>85</v>
      </c>
      <c r="J26" s="12"/>
      <c r="K26" s="17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0,42052030OK7</v>
      </c>
    </row>
    <row r="27" spans="1:11" x14ac:dyDescent="0.25">
      <c r="A27" s="105">
        <v>0.4</v>
      </c>
      <c r="B27" s="108">
        <f>Förutsättningar!M$23</f>
        <v>20</v>
      </c>
      <c r="C27" s="108">
        <f>Förutsättningar!N$23</f>
        <v>5</v>
      </c>
      <c r="D27" s="18">
        <v>20</v>
      </c>
      <c r="E27" s="20">
        <v>50</v>
      </c>
      <c r="F27" s="5">
        <v>-5</v>
      </c>
      <c r="G27" s="7">
        <v>0</v>
      </c>
      <c r="H27" s="6">
        <v>6.7</v>
      </c>
      <c r="I27" s="6" t="s">
        <v>85</v>
      </c>
      <c r="J27" s="7"/>
      <c r="K27" s="15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0,42052050OK7</v>
      </c>
    </row>
    <row r="28" spans="1:11" x14ac:dyDescent="0.25">
      <c r="A28" s="106">
        <v>0.4</v>
      </c>
      <c r="B28" s="116">
        <f>Förutsättningar!M$23</f>
        <v>20</v>
      </c>
      <c r="C28" s="116">
        <f>Förutsättningar!N$23</f>
        <v>5</v>
      </c>
      <c r="D28" s="2">
        <v>20</v>
      </c>
      <c r="E28" s="21">
        <v>50</v>
      </c>
      <c r="F28" s="8">
        <v>-5</v>
      </c>
      <c r="G28" s="9">
        <v>2</v>
      </c>
      <c r="H28">
        <v>6.8</v>
      </c>
      <c r="I28" t="s">
        <v>85</v>
      </c>
      <c r="J28" s="9"/>
      <c r="K28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0,42052050OK7</v>
      </c>
    </row>
    <row r="29" spans="1:11" x14ac:dyDescent="0.25">
      <c r="A29" s="106">
        <v>0.3</v>
      </c>
      <c r="B29" s="116">
        <f>Förutsättningar!M$23</f>
        <v>20</v>
      </c>
      <c r="C29" s="116">
        <f>Förutsättningar!N$23</f>
        <v>5</v>
      </c>
      <c r="D29" s="2">
        <v>20</v>
      </c>
      <c r="E29" s="21">
        <v>30</v>
      </c>
      <c r="F29" s="8">
        <v>-5</v>
      </c>
      <c r="G29" s="9">
        <v>7</v>
      </c>
      <c r="H29">
        <v>6.8</v>
      </c>
      <c r="I29" t="s">
        <v>85</v>
      </c>
      <c r="J29" s="9"/>
      <c r="K29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0,32052030OK7</v>
      </c>
    </row>
    <row r="30" spans="1:11" x14ac:dyDescent="0.25">
      <c r="A30" s="106">
        <v>0.3</v>
      </c>
      <c r="B30" s="116">
        <f>Förutsättningar!M$23</f>
        <v>20</v>
      </c>
      <c r="C30" s="116">
        <f>Förutsättningar!N$23</f>
        <v>5</v>
      </c>
      <c r="D30" s="2">
        <v>20</v>
      </c>
      <c r="E30" s="21">
        <v>30</v>
      </c>
      <c r="F30" s="8">
        <v>-5</v>
      </c>
      <c r="G30" s="9">
        <v>12</v>
      </c>
      <c r="H30">
        <v>7</v>
      </c>
      <c r="I30" t="s">
        <v>85</v>
      </c>
      <c r="J30" s="9"/>
      <c r="K30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0,32052030OK7</v>
      </c>
    </row>
    <row r="31" spans="1:11" ht="15.75" thickBot="1" x14ac:dyDescent="0.3">
      <c r="A31" s="107">
        <v>0.2</v>
      </c>
      <c r="B31" s="109">
        <f>Förutsättningar!M$23</f>
        <v>20</v>
      </c>
      <c r="C31" s="109">
        <f>Förutsättningar!N$23</f>
        <v>5</v>
      </c>
      <c r="D31" s="22">
        <v>20</v>
      </c>
      <c r="E31" s="23">
        <v>30</v>
      </c>
      <c r="F31" s="10">
        <v>-5</v>
      </c>
      <c r="G31" s="12">
        <v>20</v>
      </c>
      <c r="H31" s="11">
        <v>6.5</v>
      </c>
      <c r="I31" s="11" t="s">
        <v>85</v>
      </c>
      <c r="J31" s="12"/>
      <c r="K31" s="17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0,22052030OK7</v>
      </c>
    </row>
    <row r="32" spans="1:11" x14ac:dyDescent="0.25">
      <c r="A32" s="105">
        <v>0.2</v>
      </c>
      <c r="B32" s="108">
        <f>Förutsättningar!M$24</f>
        <v>20</v>
      </c>
      <c r="C32" s="108">
        <f>Förutsättningar!N$24</f>
        <v>5</v>
      </c>
      <c r="D32" s="18">
        <v>20</v>
      </c>
      <c r="E32" s="20">
        <v>20</v>
      </c>
      <c r="F32" s="5">
        <v>-10</v>
      </c>
      <c r="G32" s="7">
        <v>0</v>
      </c>
      <c r="H32" s="6">
        <v>6.4</v>
      </c>
      <c r="I32" s="6" t="s">
        <v>85</v>
      </c>
      <c r="J32" s="7"/>
      <c r="K32" s="15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0,22052020OK7</v>
      </c>
    </row>
    <row r="33" spans="1:11" x14ac:dyDescent="0.25">
      <c r="A33" s="106">
        <v>0.2</v>
      </c>
      <c r="B33" s="116">
        <f>Förutsättningar!M$24</f>
        <v>20</v>
      </c>
      <c r="C33" s="116">
        <f>Förutsättningar!N$24</f>
        <v>5</v>
      </c>
      <c r="D33" s="2">
        <v>20</v>
      </c>
      <c r="E33" s="21">
        <v>30</v>
      </c>
      <c r="F33" s="8">
        <v>-10</v>
      </c>
      <c r="G33" s="9">
        <v>2</v>
      </c>
      <c r="H33">
        <v>7</v>
      </c>
      <c r="I33" t="s">
        <v>85</v>
      </c>
      <c r="J33" s="9"/>
      <c r="K33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0,22052030OK7</v>
      </c>
    </row>
    <row r="34" spans="1:11" x14ac:dyDescent="0.25">
      <c r="A34" s="106">
        <v>0.2</v>
      </c>
      <c r="B34" s="116">
        <f>Förutsättningar!M$24</f>
        <v>20</v>
      </c>
      <c r="C34" s="116">
        <f>Förutsättningar!N$24</f>
        <v>5</v>
      </c>
      <c r="D34" s="2">
        <v>20</v>
      </c>
      <c r="E34" s="21">
        <v>50</v>
      </c>
      <c r="F34" s="8">
        <v>-10</v>
      </c>
      <c r="G34" s="9">
        <v>7</v>
      </c>
      <c r="H34">
        <v>5.7</v>
      </c>
      <c r="I34" t="s">
        <v>85</v>
      </c>
      <c r="J34" s="9"/>
      <c r="K34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0,22052050OK7</v>
      </c>
    </row>
    <row r="35" spans="1:11" x14ac:dyDescent="0.25">
      <c r="A35" s="106" t="s">
        <v>9</v>
      </c>
      <c r="B35" s="116" t="s">
        <v>9</v>
      </c>
      <c r="C35" s="116" t="s">
        <v>9</v>
      </c>
      <c r="D35" s="2" t="s">
        <v>9</v>
      </c>
      <c r="E35" s="21" t="s">
        <v>9</v>
      </c>
      <c r="F35" s="8">
        <v>-10</v>
      </c>
      <c r="G35" s="9">
        <v>12</v>
      </c>
      <c r="J35" s="9" t="s">
        <v>12</v>
      </c>
      <c r="K35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-----Frys innan täck</v>
      </c>
    </row>
    <row r="36" spans="1:11" ht="15.75" thickBot="1" x14ac:dyDescent="0.3">
      <c r="A36" s="107" t="s">
        <v>9</v>
      </c>
      <c r="B36" s="109" t="s">
        <v>9</v>
      </c>
      <c r="C36" s="109" t="s">
        <v>9</v>
      </c>
      <c r="D36" s="22" t="s">
        <v>9</v>
      </c>
      <c r="E36" s="23" t="s">
        <v>9</v>
      </c>
      <c r="F36" s="10">
        <v>-10</v>
      </c>
      <c r="G36" s="12">
        <v>20</v>
      </c>
      <c r="H36" s="11"/>
      <c r="I36" s="11"/>
      <c r="J36" s="12" t="s">
        <v>12</v>
      </c>
      <c r="K36" s="17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-----Frys innan täck</v>
      </c>
    </row>
    <row r="37" spans="1:11" x14ac:dyDescent="0.25">
      <c r="A37" s="105">
        <v>0.1</v>
      </c>
      <c r="B37" s="108">
        <f>Förutsättningar!M$25</f>
        <v>15</v>
      </c>
      <c r="C37" s="108">
        <f>Förutsättningar!N$25</f>
        <v>5</v>
      </c>
      <c r="D37" s="18">
        <v>20</v>
      </c>
      <c r="E37" s="20">
        <v>50</v>
      </c>
      <c r="F37" s="5">
        <v>-15</v>
      </c>
      <c r="G37" s="7">
        <v>0</v>
      </c>
      <c r="H37" s="6">
        <v>5.4</v>
      </c>
      <c r="I37" s="6" t="s">
        <v>85</v>
      </c>
      <c r="J37" s="7"/>
      <c r="K37" s="15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0,11552050OK7</v>
      </c>
    </row>
    <row r="38" spans="1:11" x14ac:dyDescent="0.25">
      <c r="A38" s="106">
        <v>0.1</v>
      </c>
      <c r="B38" s="116">
        <f>Förutsättningar!M$25</f>
        <v>15</v>
      </c>
      <c r="C38" s="116">
        <f>Förutsättningar!N$25</f>
        <v>5</v>
      </c>
      <c r="D38" s="2">
        <v>20</v>
      </c>
      <c r="E38" s="21">
        <v>50</v>
      </c>
      <c r="F38" s="8">
        <v>-15</v>
      </c>
      <c r="G38" s="9">
        <v>2</v>
      </c>
      <c r="H38">
        <v>5.8</v>
      </c>
      <c r="I38" t="s">
        <v>85</v>
      </c>
      <c r="J38" s="9"/>
      <c r="K38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0,11552050OK7</v>
      </c>
    </row>
    <row r="39" spans="1:11" x14ac:dyDescent="0.25">
      <c r="A39" s="106" t="s">
        <v>9</v>
      </c>
      <c r="B39" s="116" t="s">
        <v>9</v>
      </c>
      <c r="C39" s="116" t="s">
        <v>9</v>
      </c>
      <c r="D39" s="2" t="s">
        <v>9</v>
      </c>
      <c r="E39" s="21" t="s">
        <v>9</v>
      </c>
      <c r="F39" s="8">
        <v>-15</v>
      </c>
      <c r="G39" s="9">
        <v>7</v>
      </c>
      <c r="J39" s="9" t="s">
        <v>12</v>
      </c>
      <c r="K39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-----Frys innan täck</v>
      </c>
    </row>
    <row r="40" spans="1:11" x14ac:dyDescent="0.25">
      <c r="A40" s="106" t="s">
        <v>9</v>
      </c>
      <c r="B40" s="116" t="s">
        <v>9</v>
      </c>
      <c r="C40" s="116" t="s">
        <v>9</v>
      </c>
      <c r="D40" s="2" t="s">
        <v>9</v>
      </c>
      <c r="E40" s="21" t="s">
        <v>9</v>
      </c>
      <c r="F40" s="8">
        <v>-15</v>
      </c>
      <c r="G40" s="9">
        <v>12</v>
      </c>
      <c r="J40" s="9" t="s">
        <v>12</v>
      </c>
      <c r="K40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-----Frys innan täck</v>
      </c>
    </row>
    <row r="41" spans="1:11" ht="15.75" thickBot="1" x14ac:dyDescent="0.3">
      <c r="A41" s="107" t="s">
        <v>9</v>
      </c>
      <c r="B41" s="109" t="s">
        <v>9</v>
      </c>
      <c r="C41" s="109" t="s">
        <v>9</v>
      </c>
      <c r="D41" s="22" t="s">
        <v>9</v>
      </c>
      <c r="E41" s="23" t="s">
        <v>9</v>
      </c>
      <c r="F41" s="10">
        <v>-15</v>
      </c>
      <c r="G41" s="12">
        <v>20</v>
      </c>
      <c r="H41" s="11"/>
      <c r="I41" s="11"/>
      <c r="J41" s="12" t="s">
        <v>12</v>
      </c>
      <c r="K41" s="17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-----Frys innan täck</v>
      </c>
    </row>
    <row r="42" spans="1:11" x14ac:dyDescent="0.25">
      <c r="A42" s="106">
        <v>0.1</v>
      </c>
      <c r="B42" s="108">
        <v>10</v>
      </c>
      <c r="C42" s="108">
        <v>5</v>
      </c>
      <c r="D42" s="2">
        <v>20</v>
      </c>
      <c r="E42" s="21">
        <v>50</v>
      </c>
      <c r="F42" s="8">
        <v>-20</v>
      </c>
      <c r="G42" s="9">
        <v>0</v>
      </c>
      <c r="H42">
        <v>6.5</v>
      </c>
      <c r="I42" t="s">
        <v>85</v>
      </c>
      <c r="J42" s="9"/>
      <c r="K42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0,11052050OK7</v>
      </c>
    </row>
    <row r="43" spans="1:11" x14ac:dyDescent="0.25">
      <c r="A43" s="106" t="s">
        <v>9</v>
      </c>
      <c r="B43" s="116" t="s">
        <v>9</v>
      </c>
      <c r="C43" s="116" t="s">
        <v>9</v>
      </c>
      <c r="D43" s="2" t="s">
        <v>9</v>
      </c>
      <c r="E43" s="21" t="s">
        <v>9</v>
      </c>
      <c r="F43" s="8">
        <v>-20</v>
      </c>
      <c r="G43" s="9">
        <v>2</v>
      </c>
      <c r="J43" s="9" t="s">
        <v>18</v>
      </c>
      <c r="K43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-----Når ej 70%</v>
      </c>
    </row>
    <row r="44" spans="1:11" x14ac:dyDescent="0.25">
      <c r="A44" s="106" t="s">
        <v>9</v>
      </c>
      <c r="B44" s="116" t="s">
        <v>9</v>
      </c>
      <c r="C44" s="116" t="s">
        <v>9</v>
      </c>
      <c r="D44" s="2" t="s">
        <v>9</v>
      </c>
      <c r="E44" s="21" t="s">
        <v>9</v>
      </c>
      <c r="F44" s="8">
        <v>-20</v>
      </c>
      <c r="G44" s="9">
        <v>7</v>
      </c>
      <c r="J44" s="9" t="s">
        <v>12</v>
      </c>
      <c r="K44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-----Frys innan täck</v>
      </c>
    </row>
    <row r="45" spans="1:11" x14ac:dyDescent="0.25">
      <c r="A45" s="106" t="s">
        <v>9</v>
      </c>
      <c r="B45" s="116" t="s">
        <v>9</v>
      </c>
      <c r="C45" s="116" t="s">
        <v>9</v>
      </c>
      <c r="D45" s="2" t="s">
        <v>9</v>
      </c>
      <c r="E45" s="21" t="s">
        <v>9</v>
      </c>
      <c r="F45" s="8">
        <v>-20</v>
      </c>
      <c r="G45" s="9">
        <v>12</v>
      </c>
      <c r="J45" s="9" t="s">
        <v>12</v>
      </c>
      <c r="K45" s="16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-----Frys innan täck</v>
      </c>
    </row>
    <row r="46" spans="1:11" ht="15.75" thickBot="1" x14ac:dyDescent="0.3">
      <c r="A46" s="107" t="s">
        <v>9</v>
      </c>
      <c r="B46" s="109" t="s">
        <v>9</v>
      </c>
      <c r="C46" s="109" t="s">
        <v>9</v>
      </c>
      <c r="D46" s="22" t="s">
        <v>9</v>
      </c>
      <c r="E46" s="23" t="s">
        <v>9</v>
      </c>
      <c r="F46" s="10">
        <v>-20</v>
      </c>
      <c r="G46" s="12">
        <v>20</v>
      </c>
      <c r="H46" s="11"/>
      <c r="I46" s="11"/>
      <c r="J46" s="12" t="s">
        <v>12</v>
      </c>
      <c r="K46" s="17" t="str">
        <f>Table1423[[#This Row],[Slagg mängd]]&amp;Table1423[[#This Row],[Gjuttemperatur]]&amp;Table1423[[#This Row],[Temperatur motgjutningsyta]]&amp;Table1423[[#This Row],[Väderskydd, uppvärmning (ingen vind)]]&amp;Table1423[[#This Row],[Täckning '[mm']]]&amp;Table1423[[#This Row],[OK&lt;7 dagar]]&amp;Table1423[[#This Row],[Kommentar]]</f>
        <v>-----Frys innan täck</v>
      </c>
    </row>
  </sheetData>
  <phoneticPr fontId="3" type="noConversion"/>
  <dataValidations count="1">
    <dataValidation type="list" allowBlank="1" showInputMessage="1" showErrorMessage="1" sqref="L2:L46" xr:uid="{4C3F61B5-BA77-4203-B225-C5AF4A20B408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E1097A4-C776-47E1-AF97-2A1FF540E7E8}">
          <x14:formula1>
            <xm:f>Förutsättningar!$J$2:$J$3</xm:f>
          </x14:formula1>
          <xm:sqref>J2:J46</xm:sqref>
        </x14:dataValidation>
        <x14:dataValidation type="list" allowBlank="1" showInputMessage="1" showErrorMessage="1" xr:uid="{CFB25B09-4E27-4C20-A626-076A4793D165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DFCCD4CF-7703-4BD6-AA4E-4D2B8E7C36D0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2C047A39-8318-4AA5-BC6C-BCAF68BE557C}">
          <x14:formula1>
            <xm:f>Förutsättningar!$I$2:$I$7</xm:f>
          </x14:formula1>
          <xm:sqref>A2:A46</xm:sqref>
        </x14:dataValidation>
        <x14:dataValidation type="list" allowBlank="1" showInputMessage="1" showErrorMessage="1" xr:uid="{D0EC395B-229A-4314-BD52-D6F95C4D9D9C}">
          <x14:formula1>
            <xm:f>Förutsättningar!$F$2</xm:f>
          </x14:formula1>
          <xm:sqref>I2:I46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A564-89DD-421A-A239-A1F7CB34BEA3}">
  <sheetPr codeName="Sheet2"/>
  <dimension ref="A1:T46"/>
  <sheetViews>
    <sheetView zoomScale="115" zoomScaleNormal="115" workbookViewId="0">
      <selection activeCell="B13" sqref="B13:E13"/>
    </sheetView>
  </sheetViews>
  <sheetFormatPr defaultRowHeight="15" x14ac:dyDescent="0.25"/>
  <cols>
    <col min="1" max="1" width="12.5703125" style="103" customWidth="1"/>
    <col min="2" max="2" width="16.28515625" style="2" customWidth="1"/>
    <col min="3" max="3" width="19.42578125" style="2" customWidth="1"/>
    <col min="4" max="4" width="24.28515625" style="2" customWidth="1"/>
    <col min="5" max="5" width="16.5703125" style="2" bestFit="1" customWidth="1"/>
    <col min="6" max="6" width="12.28515625" customWidth="1"/>
    <col min="7" max="7" width="10.140625" customWidth="1"/>
    <col min="8" max="8" width="17.140625" customWidth="1"/>
    <col min="9" max="9" width="14.42578125" bestFit="1" customWidth="1"/>
    <col min="10" max="10" width="11.28515625" customWidth="1"/>
    <col min="11" max="11" width="24.140625" bestFit="1" customWidth="1"/>
    <col min="12" max="17" width="11.28515625" customWidth="1"/>
    <col min="18" max="18" width="12.28515625" customWidth="1"/>
  </cols>
  <sheetData>
    <row r="1" spans="1:20" ht="30.75" thickBot="1" x14ac:dyDescent="0.3">
      <c r="A1" s="117" t="s">
        <v>52</v>
      </c>
      <c r="B1" s="115" t="s">
        <v>0</v>
      </c>
      <c r="C1" s="115" t="s">
        <v>1</v>
      </c>
      <c r="D1" s="115" t="s">
        <v>2</v>
      </c>
      <c r="E1" s="115" t="s">
        <v>3</v>
      </c>
      <c r="F1" s="13" t="s">
        <v>4</v>
      </c>
      <c r="G1" s="13" t="s">
        <v>5</v>
      </c>
      <c r="H1" s="13" t="s">
        <v>77</v>
      </c>
      <c r="I1" s="13" t="s">
        <v>78</v>
      </c>
      <c r="J1" s="13" t="s">
        <v>6</v>
      </c>
      <c r="K1" s="14" t="s">
        <v>7</v>
      </c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05">
        <v>0.4</v>
      </c>
      <c r="B2" s="108">
        <f>Förutsättningar!M$18</f>
        <v>15</v>
      </c>
      <c r="C2" s="108">
        <f>Förutsättningar!N$18</f>
        <v>20</v>
      </c>
      <c r="D2" s="19" t="s">
        <v>9</v>
      </c>
      <c r="E2" s="20" t="s">
        <v>9</v>
      </c>
      <c r="F2" s="6">
        <v>20</v>
      </c>
      <c r="G2" s="7">
        <v>0</v>
      </c>
      <c r="H2" s="6">
        <v>5.4</v>
      </c>
      <c r="I2" s="6" t="s">
        <v>85</v>
      </c>
      <c r="J2" s="7"/>
      <c r="K2" s="15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0,41520--OK7</v>
      </c>
      <c r="O2" s="1"/>
    </row>
    <row r="3" spans="1:20" x14ac:dyDescent="0.25">
      <c r="A3" s="106">
        <v>0.4</v>
      </c>
      <c r="B3" s="116">
        <f>Förutsättningar!$M$18</f>
        <v>15</v>
      </c>
      <c r="C3" s="116">
        <f>Förutsättningar!N$18</f>
        <v>20</v>
      </c>
      <c r="D3" s="2" t="s">
        <v>9</v>
      </c>
      <c r="E3" s="21" t="s">
        <v>9</v>
      </c>
      <c r="F3">
        <v>20</v>
      </c>
      <c r="G3" s="9">
        <v>2</v>
      </c>
      <c r="H3">
        <v>6</v>
      </c>
      <c r="I3" t="s">
        <v>85</v>
      </c>
      <c r="J3" s="9"/>
      <c r="K3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0,41520--OK7</v>
      </c>
    </row>
    <row r="4" spans="1:20" x14ac:dyDescent="0.25">
      <c r="A4" s="106">
        <v>0.4</v>
      </c>
      <c r="B4" s="116">
        <f>Förutsättningar!$M$18</f>
        <v>15</v>
      </c>
      <c r="C4" s="116">
        <f>Förutsättningar!N$18</f>
        <v>20</v>
      </c>
      <c r="D4" s="2" t="s">
        <v>9</v>
      </c>
      <c r="E4" s="21" t="s">
        <v>9</v>
      </c>
      <c r="F4">
        <v>20</v>
      </c>
      <c r="G4" s="9">
        <v>7</v>
      </c>
      <c r="H4">
        <v>6.3</v>
      </c>
      <c r="I4" t="s">
        <v>85</v>
      </c>
      <c r="J4" s="9"/>
      <c r="K4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0,41520--OK7</v>
      </c>
    </row>
    <row r="5" spans="1:20" x14ac:dyDescent="0.25">
      <c r="A5" s="106">
        <v>0.4</v>
      </c>
      <c r="B5" s="116">
        <f>Förutsättningar!$M$18</f>
        <v>15</v>
      </c>
      <c r="C5" s="116">
        <f>Förutsättningar!N$18</f>
        <v>20</v>
      </c>
      <c r="D5" s="2" t="s">
        <v>9</v>
      </c>
      <c r="E5" s="21" t="s">
        <v>9</v>
      </c>
      <c r="F5">
        <v>20</v>
      </c>
      <c r="G5" s="9">
        <v>12</v>
      </c>
      <c r="H5">
        <v>6.4</v>
      </c>
      <c r="I5" t="s">
        <v>85</v>
      </c>
      <c r="J5" s="9"/>
      <c r="K5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0,41520--OK7</v>
      </c>
    </row>
    <row r="6" spans="1:20" ht="15.75" thickBot="1" x14ac:dyDescent="0.3">
      <c r="A6" s="107">
        <v>0.4</v>
      </c>
      <c r="B6" s="109">
        <f>Förutsättningar!$M$18</f>
        <v>15</v>
      </c>
      <c r="C6" s="109">
        <f>Förutsättningar!N$18</f>
        <v>20</v>
      </c>
      <c r="D6" s="22" t="s">
        <v>9</v>
      </c>
      <c r="E6" s="23" t="s">
        <v>9</v>
      </c>
      <c r="F6" s="11">
        <v>20</v>
      </c>
      <c r="G6" s="12">
        <v>20</v>
      </c>
      <c r="H6" s="11">
        <v>6.4</v>
      </c>
      <c r="I6" s="11" t="s">
        <v>85</v>
      </c>
      <c r="J6" s="12"/>
      <c r="K6" s="17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0,41520--OK7</v>
      </c>
    </row>
    <row r="7" spans="1:20" x14ac:dyDescent="0.25">
      <c r="A7" s="106">
        <v>0.4</v>
      </c>
      <c r="B7" s="116">
        <f>Förutsättningar!M$19</f>
        <v>15</v>
      </c>
      <c r="C7" s="116">
        <f>Förutsättningar!N$19</f>
        <v>15</v>
      </c>
      <c r="D7" s="2">
        <v>0</v>
      </c>
      <c r="E7" s="21" t="s">
        <v>11</v>
      </c>
      <c r="F7" s="5">
        <v>15</v>
      </c>
      <c r="G7" s="7">
        <v>0</v>
      </c>
      <c r="H7" s="6">
        <v>7</v>
      </c>
      <c r="I7" s="6" t="s">
        <v>85</v>
      </c>
      <c r="J7" s="7"/>
      <c r="K7" s="15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0,415150PresenningOK7</v>
      </c>
    </row>
    <row r="8" spans="1:20" x14ac:dyDescent="0.25">
      <c r="A8" s="106">
        <v>0.3</v>
      </c>
      <c r="B8" s="116">
        <f>Förutsättningar!M$19</f>
        <v>15</v>
      </c>
      <c r="C8" s="116">
        <f>Förutsättningar!N$19</f>
        <v>15</v>
      </c>
      <c r="D8" s="2" t="s">
        <v>9</v>
      </c>
      <c r="E8" s="21" t="s">
        <v>9</v>
      </c>
      <c r="F8" s="8">
        <v>15</v>
      </c>
      <c r="G8" s="9">
        <v>2</v>
      </c>
      <c r="H8">
        <v>6.6</v>
      </c>
      <c r="I8" t="s">
        <v>85</v>
      </c>
      <c r="J8" s="9"/>
      <c r="K8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0,31515--OK7</v>
      </c>
    </row>
    <row r="9" spans="1:20" x14ac:dyDescent="0.25">
      <c r="A9" s="106">
        <v>0.3</v>
      </c>
      <c r="B9" s="116">
        <f>Förutsättningar!M$19</f>
        <v>15</v>
      </c>
      <c r="C9" s="116">
        <f>Förutsättningar!N$19</f>
        <v>15</v>
      </c>
      <c r="D9" s="2" t="s">
        <v>9</v>
      </c>
      <c r="E9" s="21" t="s">
        <v>9</v>
      </c>
      <c r="F9" s="8">
        <v>15</v>
      </c>
      <c r="G9" s="9">
        <v>7</v>
      </c>
      <c r="H9">
        <v>7</v>
      </c>
      <c r="I9" t="s">
        <v>85</v>
      </c>
      <c r="J9" s="9"/>
      <c r="K9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0,31515--OK7</v>
      </c>
    </row>
    <row r="10" spans="1:20" x14ac:dyDescent="0.25">
      <c r="A10" s="106">
        <v>0.3</v>
      </c>
      <c r="B10" s="116">
        <f>Förutsättningar!M$19</f>
        <v>15</v>
      </c>
      <c r="C10" s="116">
        <f>Förutsättningar!N$19</f>
        <v>15</v>
      </c>
      <c r="D10" s="2" t="s">
        <v>9</v>
      </c>
      <c r="E10" s="21" t="s">
        <v>9</v>
      </c>
      <c r="F10" s="8">
        <v>15</v>
      </c>
      <c r="G10" s="9">
        <v>12</v>
      </c>
      <c r="H10">
        <v>7</v>
      </c>
      <c r="I10" t="s">
        <v>85</v>
      </c>
      <c r="J10" s="9"/>
      <c r="K10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0,31515--OK7</v>
      </c>
    </row>
    <row r="11" spans="1:20" ht="15.75" thickBot="1" x14ac:dyDescent="0.3">
      <c r="A11" s="107">
        <v>0.3</v>
      </c>
      <c r="B11" s="109">
        <f>Förutsättningar!M$19</f>
        <v>15</v>
      </c>
      <c r="C11" s="109">
        <f>Förutsättningar!N$19</f>
        <v>15</v>
      </c>
      <c r="D11" s="22">
        <v>0</v>
      </c>
      <c r="E11" s="23" t="s">
        <v>9</v>
      </c>
      <c r="F11" s="10">
        <v>15</v>
      </c>
      <c r="G11" s="12">
        <v>20</v>
      </c>
      <c r="H11" s="11">
        <v>6.9</v>
      </c>
      <c r="I11" s="11" t="s">
        <v>85</v>
      </c>
      <c r="J11" s="12"/>
      <c r="K11" s="17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0,315150-OK7</v>
      </c>
    </row>
    <row r="12" spans="1:20" x14ac:dyDescent="0.25">
      <c r="A12" s="105">
        <v>0.2</v>
      </c>
      <c r="B12" s="108">
        <f>Förutsättningar!M$20</f>
        <v>15</v>
      </c>
      <c r="C12" s="108">
        <f>Förutsättningar!N$20</f>
        <v>10</v>
      </c>
      <c r="D12" s="18" t="s">
        <v>9</v>
      </c>
      <c r="E12" s="20" t="s">
        <v>9</v>
      </c>
      <c r="F12" s="5">
        <v>10</v>
      </c>
      <c r="G12" s="7">
        <v>0</v>
      </c>
      <c r="H12" s="6">
        <v>6.2</v>
      </c>
      <c r="I12" s="6" t="s">
        <v>85</v>
      </c>
      <c r="J12" s="7"/>
      <c r="K12" s="15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0,21510--OK7</v>
      </c>
    </row>
    <row r="13" spans="1:20" x14ac:dyDescent="0.25">
      <c r="A13" s="106">
        <v>0.2</v>
      </c>
      <c r="B13" s="116">
        <f>Förutsättningar!M$20</f>
        <v>15</v>
      </c>
      <c r="C13" s="116">
        <f>Förutsättningar!N$20</f>
        <v>10</v>
      </c>
      <c r="D13" s="2">
        <v>0</v>
      </c>
      <c r="E13" s="21" t="s">
        <v>11</v>
      </c>
      <c r="F13" s="8">
        <v>10</v>
      </c>
      <c r="G13" s="9">
        <v>2</v>
      </c>
      <c r="H13">
        <v>6.8</v>
      </c>
      <c r="I13" t="s">
        <v>85</v>
      </c>
      <c r="J13" s="9"/>
      <c r="K13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0,215100PresenningOK7</v>
      </c>
    </row>
    <row r="14" spans="1:20" x14ac:dyDescent="0.25">
      <c r="A14" s="106">
        <v>0.1</v>
      </c>
      <c r="B14" s="116">
        <f>Förutsättningar!M$20</f>
        <v>15</v>
      </c>
      <c r="C14" s="116">
        <f>Förutsättningar!N$20</f>
        <v>10</v>
      </c>
      <c r="D14" s="2" t="s">
        <v>9</v>
      </c>
      <c r="E14" s="21" t="s">
        <v>9</v>
      </c>
      <c r="F14" s="8">
        <v>10</v>
      </c>
      <c r="G14" s="9">
        <v>7</v>
      </c>
      <c r="H14">
        <v>6</v>
      </c>
      <c r="I14" t="s">
        <v>85</v>
      </c>
      <c r="J14" s="9"/>
      <c r="K14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0,11510--OK7</v>
      </c>
    </row>
    <row r="15" spans="1:20" x14ac:dyDescent="0.25">
      <c r="A15" s="106">
        <v>0.1</v>
      </c>
      <c r="B15" s="116">
        <f>Förutsättningar!M$20</f>
        <v>15</v>
      </c>
      <c r="C15" s="116">
        <f>Förutsättningar!N$20</f>
        <v>10</v>
      </c>
      <c r="D15" s="2" t="s">
        <v>9</v>
      </c>
      <c r="E15" s="21" t="s">
        <v>9</v>
      </c>
      <c r="F15" s="8">
        <v>10</v>
      </c>
      <c r="G15" s="9">
        <v>12</v>
      </c>
      <c r="H15">
        <v>6.1</v>
      </c>
      <c r="I15" t="s">
        <v>85</v>
      </c>
      <c r="J15" s="9"/>
      <c r="K15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0,11510--OK7</v>
      </c>
    </row>
    <row r="16" spans="1:20" ht="15.75" thickBot="1" x14ac:dyDescent="0.3">
      <c r="A16" s="107">
        <v>0.1</v>
      </c>
      <c r="B16" s="109">
        <f>Förutsättningar!M$20</f>
        <v>15</v>
      </c>
      <c r="C16" s="109">
        <f>Förutsättningar!N$20</f>
        <v>10</v>
      </c>
      <c r="D16" s="22" t="s">
        <v>9</v>
      </c>
      <c r="E16" s="23" t="s">
        <v>9</v>
      </c>
      <c r="F16" s="10">
        <v>10</v>
      </c>
      <c r="G16" s="12">
        <v>20</v>
      </c>
      <c r="H16" s="11">
        <v>6.2</v>
      </c>
      <c r="I16" s="11" t="s">
        <v>85</v>
      </c>
      <c r="J16" s="12"/>
      <c r="K16" s="17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0,11510--OK7</v>
      </c>
    </row>
    <row r="17" spans="1:11" x14ac:dyDescent="0.25">
      <c r="A17" s="105">
        <v>0.4</v>
      </c>
      <c r="B17" s="108">
        <f>Förutsättningar!M$21</f>
        <v>20</v>
      </c>
      <c r="C17" s="108">
        <f>Förutsättningar!N$21</f>
        <v>5</v>
      </c>
      <c r="D17" s="18">
        <v>0</v>
      </c>
      <c r="E17" s="20">
        <v>50</v>
      </c>
      <c r="F17" s="5">
        <v>5</v>
      </c>
      <c r="G17" s="7">
        <v>0</v>
      </c>
      <c r="H17" s="6">
        <v>7</v>
      </c>
      <c r="I17" s="6" t="s">
        <v>85</v>
      </c>
      <c r="J17" s="7"/>
      <c r="K17" s="15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0,4205050OK7</v>
      </c>
    </row>
    <row r="18" spans="1:11" x14ac:dyDescent="0.25">
      <c r="A18" s="106">
        <v>0.4</v>
      </c>
      <c r="B18" s="116">
        <f>Förutsättningar!M$21</f>
        <v>20</v>
      </c>
      <c r="C18" s="116">
        <f>Förutsättningar!N$21</f>
        <v>5</v>
      </c>
      <c r="D18" s="2">
        <v>20</v>
      </c>
      <c r="E18" s="21">
        <v>10</v>
      </c>
      <c r="F18" s="8">
        <v>5</v>
      </c>
      <c r="G18" s="9">
        <v>2</v>
      </c>
      <c r="H18">
        <v>6</v>
      </c>
      <c r="I18" t="s">
        <v>85</v>
      </c>
      <c r="J18" s="9"/>
      <c r="K18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0,42052010OK7</v>
      </c>
    </row>
    <row r="19" spans="1:11" x14ac:dyDescent="0.25">
      <c r="A19" s="106">
        <v>0.4</v>
      </c>
      <c r="B19" s="116">
        <f>Förutsättningar!M$21</f>
        <v>20</v>
      </c>
      <c r="C19" s="116">
        <f>Förutsättningar!N$21</f>
        <v>5</v>
      </c>
      <c r="D19" s="2">
        <v>20</v>
      </c>
      <c r="E19" s="21">
        <v>10</v>
      </c>
      <c r="F19" s="8">
        <v>5</v>
      </c>
      <c r="G19" s="9">
        <v>7</v>
      </c>
      <c r="H19">
        <v>6.3</v>
      </c>
      <c r="I19" t="s">
        <v>85</v>
      </c>
      <c r="J19" s="9"/>
      <c r="K19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0,42052010OK7</v>
      </c>
    </row>
    <row r="20" spans="1:11" x14ac:dyDescent="0.25">
      <c r="A20" s="106">
        <v>0.4</v>
      </c>
      <c r="B20" s="116">
        <f>Förutsättningar!M$21</f>
        <v>20</v>
      </c>
      <c r="C20" s="116">
        <f>Förutsättningar!N$21</f>
        <v>5</v>
      </c>
      <c r="D20" s="2">
        <v>20</v>
      </c>
      <c r="E20" s="21">
        <v>10</v>
      </c>
      <c r="F20" s="8">
        <v>5</v>
      </c>
      <c r="G20" s="9">
        <v>12</v>
      </c>
      <c r="H20">
        <v>6.5</v>
      </c>
      <c r="I20" t="s">
        <v>85</v>
      </c>
      <c r="J20" s="9"/>
      <c r="K20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0,42052010OK7</v>
      </c>
    </row>
    <row r="21" spans="1:11" ht="15.75" thickBot="1" x14ac:dyDescent="0.3">
      <c r="A21" s="107">
        <v>0.4</v>
      </c>
      <c r="B21" s="109">
        <f>Förutsättningar!M$21</f>
        <v>20</v>
      </c>
      <c r="C21" s="109">
        <f>Förutsättningar!N$21</f>
        <v>5</v>
      </c>
      <c r="D21" s="22">
        <v>20</v>
      </c>
      <c r="E21" s="23">
        <v>10</v>
      </c>
      <c r="F21" s="10">
        <v>5</v>
      </c>
      <c r="G21" s="12">
        <v>20</v>
      </c>
      <c r="H21" s="11">
        <v>6.6</v>
      </c>
      <c r="I21" s="11" t="s">
        <v>85</v>
      </c>
      <c r="J21" s="12"/>
      <c r="K21" s="17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0,42052010OK7</v>
      </c>
    </row>
    <row r="22" spans="1:11" x14ac:dyDescent="0.25">
      <c r="A22" s="105">
        <v>0.4</v>
      </c>
      <c r="B22" s="108">
        <f>Förutsättningar!M$22</f>
        <v>20</v>
      </c>
      <c r="C22" s="108">
        <f>Förutsättningar!N$22</f>
        <v>5</v>
      </c>
      <c r="D22" s="18">
        <v>20</v>
      </c>
      <c r="E22" s="20">
        <v>20</v>
      </c>
      <c r="F22" s="5">
        <v>0</v>
      </c>
      <c r="G22" s="7">
        <v>0</v>
      </c>
      <c r="H22" s="6">
        <v>6</v>
      </c>
      <c r="I22" s="6" t="s">
        <v>85</v>
      </c>
      <c r="J22" s="7"/>
      <c r="K22" s="15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0,42052020OK7</v>
      </c>
    </row>
    <row r="23" spans="1:11" x14ac:dyDescent="0.25">
      <c r="A23" s="106">
        <v>0.4</v>
      </c>
      <c r="B23" s="116">
        <f>Förutsättningar!M$22</f>
        <v>20</v>
      </c>
      <c r="C23" s="116">
        <f>Förutsättningar!N$22</f>
        <v>5</v>
      </c>
      <c r="D23" s="2">
        <v>20</v>
      </c>
      <c r="E23" s="21">
        <v>20</v>
      </c>
      <c r="F23" s="8">
        <v>0</v>
      </c>
      <c r="G23" s="9">
        <v>2</v>
      </c>
      <c r="H23">
        <v>6.4</v>
      </c>
      <c r="I23" t="s">
        <v>85</v>
      </c>
      <c r="J23" s="9"/>
      <c r="K23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0,42052020OK7</v>
      </c>
    </row>
    <row r="24" spans="1:11" x14ac:dyDescent="0.25">
      <c r="A24" s="106">
        <v>0.4</v>
      </c>
      <c r="B24" s="116">
        <f>Förutsättningar!M$22</f>
        <v>20</v>
      </c>
      <c r="C24" s="116">
        <f>Förutsättningar!N$22</f>
        <v>5</v>
      </c>
      <c r="D24" s="2">
        <v>20</v>
      </c>
      <c r="E24" s="21">
        <v>20</v>
      </c>
      <c r="F24" s="8">
        <v>0</v>
      </c>
      <c r="G24" s="9">
        <v>7</v>
      </c>
      <c r="H24">
        <v>6.8</v>
      </c>
      <c r="I24" t="s">
        <v>85</v>
      </c>
      <c r="J24" s="9"/>
      <c r="K24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0,42052020OK7</v>
      </c>
    </row>
    <row r="25" spans="1:11" x14ac:dyDescent="0.25">
      <c r="A25" s="106">
        <v>0.4</v>
      </c>
      <c r="B25" s="116">
        <f>Förutsättningar!M$22</f>
        <v>20</v>
      </c>
      <c r="C25" s="116">
        <f>Förutsättningar!N$22</f>
        <v>5</v>
      </c>
      <c r="D25" s="2">
        <v>20</v>
      </c>
      <c r="E25" s="21">
        <v>20</v>
      </c>
      <c r="F25" s="8">
        <v>0</v>
      </c>
      <c r="G25" s="9">
        <v>12</v>
      </c>
      <c r="H25">
        <v>6.9</v>
      </c>
      <c r="I25" t="s">
        <v>85</v>
      </c>
      <c r="J25" s="9"/>
      <c r="K25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0,42052020OK7</v>
      </c>
    </row>
    <row r="26" spans="1:11" ht="15.75" thickBot="1" x14ac:dyDescent="0.3">
      <c r="A26" s="107">
        <v>0.4</v>
      </c>
      <c r="B26" s="109">
        <f>Förutsättningar!M$22</f>
        <v>20</v>
      </c>
      <c r="C26" s="109">
        <f>Förutsättningar!N$22</f>
        <v>5</v>
      </c>
      <c r="D26" s="22">
        <v>20</v>
      </c>
      <c r="E26" s="23">
        <v>20</v>
      </c>
      <c r="F26" s="10">
        <v>0</v>
      </c>
      <c r="G26" s="12">
        <v>20</v>
      </c>
      <c r="H26" s="11">
        <v>6.9</v>
      </c>
      <c r="I26" s="11" t="s">
        <v>85</v>
      </c>
      <c r="J26" s="12"/>
      <c r="K26" s="17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0,42052020OK7</v>
      </c>
    </row>
    <row r="27" spans="1:11" x14ac:dyDescent="0.25">
      <c r="A27" s="105">
        <v>0.4</v>
      </c>
      <c r="B27" s="108">
        <f>Förutsättningar!M$23</f>
        <v>20</v>
      </c>
      <c r="C27" s="108">
        <f>Förutsättningar!N$23</f>
        <v>5</v>
      </c>
      <c r="D27" s="18">
        <v>20</v>
      </c>
      <c r="E27" s="20">
        <v>50</v>
      </c>
      <c r="F27" s="5">
        <v>-5</v>
      </c>
      <c r="G27" s="7">
        <v>0</v>
      </c>
      <c r="H27" s="6">
        <v>6.2</v>
      </c>
      <c r="I27" s="6" t="s">
        <v>85</v>
      </c>
      <c r="J27" s="7"/>
      <c r="K27" s="15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0,42052050OK7</v>
      </c>
    </row>
    <row r="28" spans="1:11" x14ac:dyDescent="0.25">
      <c r="A28" s="106">
        <v>0.4</v>
      </c>
      <c r="B28" s="116">
        <f>Förutsättningar!M$23</f>
        <v>20</v>
      </c>
      <c r="C28" s="116">
        <f>Förutsättningar!N$23</f>
        <v>5</v>
      </c>
      <c r="D28" s="2">
        <v>20</v>
      </c>
      <c r="E28" s="21">
        <v>50</v>
      </c>
      <c r="F28" s="8">
        <v>-5</v>
      </c>
      <c r="G28" s="9">
        <v>2</v>
      </c>
      <c r="H28">
        <v>6.4</v>
      </c>
      <c r="I28" t="s">
        <v>85</v>
      </c>
      <c r="J28" s="9"/>
      <c r="K28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0,42052050OK7</v>
      </c>
    </row>
    <row r="29" spans="1:11" x14ac:dyDescent="0.25">
      <c r="A29" s="106">
        <v>0.4</v>
      </c>
      <c r="B29" s="116">
        <f>Förutsättningar!M$23</f>
        <v>20</v>
      </c>
      <c r="C29" s="116">
        <f>Förutsättningar!N$23</f>
        <v>5</v>
      </c>
      <c r="D29" s="2">
        <v>20</v>
      </c>
      <c r="E29" s="21">
        <v>50</v>
      </c>
      <c r="F29" s="8">
        <v>-5</v>
      </c>
      <c r="G29" s="9">
        <v>7</v>
      </c>
      <c r="H29">
        <v>6.6</v>
      </c>
      <c r="I29" t="s">
        <v>85</v>
      </c>
      <c r="J29" s="9"/>
      <c r="K29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0,42052050OK7</v>
      </c>
    </row>
    <row r="30" spans="1:11" x14ac:dyDescent="0.25">
      <c r="A30" s="106">
        <v>0.4</v>
      </c>
      <c r="B30" s="116">
        <f>Förutsättningar!M$23</f>
        <v>20</v>
      </c>
      <c r="C30" s="116">
        <f>Förutsättningar!N$23</f>
        <v>5</v>
      </c>
      <c r="D30" s="2">
        <v>20</v>
      </c>
      <c r="E30" s="21">
        <v>50</v>
      </c>
      <c r="F30" s="8">
        <v>-5</v>
      </c>
      <c r="G30" s="9">
        <v>12</v>
      </c>
      <c r="H30">
        <v>6.8</v>
      </c>
      <c r="I30" t="s">
        <v>85</v>
      </c>
      <c r="J30" s="9"/>
      <c r="K30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0,42052050OK7</v>
      </c>
    </row>
    <row r="31" spans="1:11" ht="15.75" thickBot="1" x14ac:dyDescent="0.3">
      <c r="A31" s="107">
        <v>0.4</v>
      </c>
      <c r="B31" s="109">
        <f>Förutsättningar!M$23</f>
        <v>20</v>
      </c>
      <c r="C31" s="109">
        <f>Förutsättningar!N$23</f>
        <v>5</v>
      </c>
      <c r="D31" s="22">
        <v>20</v>
      </c>
      <c r="E31" s="23">
        <v>50</v>
      </c>
      <c r="F31" s="10">
        <v>-5</v>
      </c>
      <c r="G31" s="12">
        <v>20</v>
      </c>
      <c r="H31" s="11">
        <v>6.8</v>
      </c>
      <c r="I31" s="11" t="s">
        <v>85</v>
      </c>
      <c r="J31" s="12"/>
      <c r="K31" s="17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0,42052050OK7</v>
      </c>
    </row>
    <row r="32" spans="1:11" x14ac:dyDescent="0.25">
      <c r="A32" s="105">
        <v>0.3</v>
      </c>
      <c r="B32" s="108">
        <f>Förutsättningar!M$24</f>
        <v>20</v>
      </c>
      <c r="C32" s="108">
        <f>Förutsättningar!N$24</f>
        <v>5</v>
      </c>
      <c r="D32" s="18">
        <v>20</v>
      </c>
      <c r="E32" s="20">
        <v>50</v>
      </c>
      <c r="F32" s="5">
        <v>-10</v>
      </c>
      <c r="G32" s="7">
        <v>0</v>
      </c>
      <c r="H32" s="6">
        <v>6.3</v>
      </c>
      <c r="I32" s="6" t="s">
        <v>85</v>
      </c>
      <c r="J32" s="7"/>
      <c r="K32" s="15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0,32052050OK7</v>
      </c>
    </row>
    <row r="33" spans="1:11" x14ac:dyDescent="0.25">
      <c r="A33" s="106">
        <v>0.3</v>
      </c>
      <c r="B33" s="116">
        <f>Förutsättningar!M$24</f>
        <v>20</v>
      </c>
      <c r="C33" s="116">
        <f>Förutsättningar!N$24</f>
        <v>5</v>
      </c>
      <c r="D33" s="2">
        <v>20</v>
      </c>
      <c r="E33" s="21">
        <v>50</v>
      </c>
      <c r="F33" s="8">
        <v>-10</v>
      </c>
      <c r="G33" s="9">
        <v>2</v>
      </c>
      <c r="H33">
        <v>6.6</v>
      </c>
      <c r="I33" t="s">
        <v>85</v>
      </c>
      <c r="J33" s="9"/>
      <c r="K33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0,32052050OK7</v>
      </c>
    </row>
    <row r="34" spans="1:11" x14ac:dyDescent="0.25">
      <c r="A34" s="106">
        <v>0.3</v>
      </c>
      <c r="B34" s="116">
        <f>Förutsättningar!M$24</f>
        <v>20</v>
      </c>
      <c r="C34" s="116">
        <f>Förutsättningar!N$24</f>
        <v>5</v>
      </c>
      <c r="D34" s="2">
        <v>20</v>
      </c>
      <c r="E34" s="21">
        <v>50</v>
      </c>
      <c r="F34" s="8">
        <v>-10</v>
      </c>
      <c r="G34" s="9">
        <v>7</v>
      </c>
      <c r="H34">
        <v>7</v>
      </c>
      <c r="I34" t="s">
        <v>85</v>
      </c>
      <c r="J34" s="9"/>
      <c r="K34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0,32052050OK7</v>
      </c>
    </row>
    <row r="35" spans="1:11" x14ac:dyDescent="0.25">
      <c r="A35" s="106" t="s">
        <v>9</v>
      </c>
      <c r="B35" s="116" t="s">
        <v>9</v>
      </c>
      <c r="C35" s="116" t="s">
        <v>9</v>
      </c>
      <c r="D35" s="2" t="s">
        <v>9</v>
      </c>
      <c r="E35" s="21" t="s">
        <v>9</v>
      </c>
      <c r="F35" s="8">
        <v>-10</v>
      </c>
      <c r="G35" s="9">
        <v>12</v>
      </c>
      <c r="J35" s="9" t="s">
        <v>12</v>
      </c>
      <c r="K35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-----Frys innan täck</v>
      </c>
    </row>
    <row r="36" spans="1:11" ht="15.75" thickBot="1" x14ac:dyDescent="0.3">
      <c r="A36" s="107" t="s">
        <v>9</v>
      </c>
      <c r="B36" s="109" t="s">
        <v>9</v>
      </c>
      <c r="C36" s="109" t="s">
        <v>9</v>
      </c>
      <c r="D36" s="22" t="s">
        <v>9</v>
      </c>
      <c r="E36" s="23" t="s">
        <v>9</v>
      </c>
      <c r="F36" s="10">
        <v>-10</v>
      </c>
      <c r="G36" s="12">
        <v>20</v>
      </c>
      <c r="H36" s="11"/>
      <c r="I36" s="11"/>
      <c r="J36" s="12" t="s">
        <v>12</v>
      </c>
      <c r="K36" s="17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-----Frys innan täck</v>
      </c>
    </row>
    <row r="37" spans="1:11" x14ac:dyDescent="0.25">
      <c r="A37" s="105">
        <v>0.1</v>
      </c>
      <c r="B37" s="108">
        <f>Förutsättningar!M$25</f>
        <v>15</v>
      </c>
      <c r="C37" s="108">
        <f>Förutsättningar!N$25</f>
        <v>5</v>
      </c>
      <c r="D37" s="18">
        <v>20</v>
      </c>
      <c r="E37" s="20">
        <v>30</v>
      </c>
      <c r="F37" s="5">
        <v>-15</v>
      </c>
      <c r="G37" s="7">
        <v>0</v>
      </c>
      <c r="H37" s="6">
        <v>5.8</v>
      </c>
      <c r="I37" s="6" t="s">
        <v>85</v>
      </c>
      <c r="J37" s="7"/>
      <c r="K37" s="15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0,11552030OK7</v>
      </c>
    </row>
    <row r="38" spans="1:11" x14ac:dyDescent="0.25">
      <c r="A38" s="106">
        <v>0.1</v>
      </c>
      <c r="B38" s="116">
        <f>Förutsättningar!M$25</f>
        <v>15</v>
      </c>
      <c r="C38" s="116">
        <f>Förutsättningar!N$25</f>
        <v>5</v>
      </c>
      <c r="D38" s="2">
        <v>20</v>
      </c>
      <c r="E38" s="21">
        <v>30</v>
      </c>
      <c r="F38" s="8">
        <v>-15</v>
      </c>
      <c r="G38" s="9">
        <v>2</v>
      </c>
      <c r="H38">
        <v>6.7</v>
      </c>
      <c r="I38" t="s">
        <v>85</v>
      </c>
      <c r="J38" s="9"/>
      <c r="K38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0,11552030OK7</v>
      </c>
    </row>
    <row r="39" spans="1:11" x14ac:dyDescent="0.25">
      <c r="A39" s="106" t="s">
        <v>9</v>
      </c>
      <c r="B39" s="116" t="s">
        <v>9</v>
      </c>
      <c r="C39" s="116" t="s">
        <v>9</v>
      </c>
      <c r="D39" s="2" t="s">
        <v>9</v>
      </c>
      <c r="E39" s="21" t="s">
        <v>9</v>
      </c>
      <c r="F39" s="8">
        <v>-15</v>
      </c>
      <c r="G39" s="9">
        <v>7</v>
      </c>
      <c r="J39" s="9" t="s">
        <v>12</v>
      </c>
      <c r="K39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-----Frys innan täck</v>
      </c>
    </row>
    <row r="40" spans="1:11" x14ac:dyDescent="0.25">
      <c r="A40" s="106" t="s">
        <v>9</v>
      </c>
      <c r="B40" s="116" t="s">
        <v>9</v>
      </c>
      <c r="C40" s="116" t="s">
        <v>9</v>
      </c>
      <c r="D40" s="2" t="s">
        <v>9</v>
      </c>
      <c r="E40" s="21" t="s">
        <v>9</v>
      </c>
      <c r="F40" s="8">
        <v>-15</v>
      </c>
      <c r="G40" s="9">
        <v>12</v>
      </c>
      <c r="J40" s="9" t="s">
        <v>12</v>
      </c>
      <c r="K40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-----Frys innan täck</v>
      </c>
    </row>
    <row r="41" spans="1:11" ht="15.75" thickBot="1" x14ac:dyDescent="0.3">
      <c r="A41" s="107" t="s">
        <v>9</v>
      </c>
      <c r="B41" s="109" t="s">
        <v>9</v>
      </c>
      <c r="C41" s="109" t="s">
        <v>9</v>
      </c>
      <c r="D41" s="22" t="s">
        <v>9</v>
      </c>
      <c r="E41" s="23" t="s">
        <v>9</v>
      </c>
      <c r="F41" s="10">
        <v>-15</v>
      </c>
      <c r="G41" s="12">
        <v>20</v>
      </c>
      <c r="H41" s="11"/>
      <c r="I41" s="11"/>
      <c r="J41" s="12" t="s">
        <v>12</v>
      </c>
      <c r="K41" s="17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-----Frys innan täck</v>
      </c>
    </row>
    <row r="42" spans="1:11" x14ac:dyDescent="0.25">
      <c r="A42" s="106" t="s">
        <v>83</v>
      </c>
      <c r="B42" s="108">
        <f>Förutsättningar!M$26</f>
        <v>10</v>
      </c>
      <c r="C42" s="108">
        <f>Förutsättningar!N$26</f>
        <v>5</v>
      </c>
      <c r="D42" s="2">
        <v>20</v>
      </c>
      <c r="E42" s="21">
        <v>50</v>
      </c>
      <c r="F42" s="8">
        <v>-20</v>
      </c>
      <c r="G42" s="9">
        <v>0</v>
      </c>
      <c r="H42">
        <v>4.2</v>
      </c>
      <c r="I42" t="s">
        <v>85</v>
      </c>
      <c r="J42" s="9"/>
      <c r="K42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Bas+0%1052050OK7</v>
      </c>
    </row>
    <row r="43" spans="1:11" x14ac:dyDescent="0.25">
      <c r="A43" s="106" t="s">
        <v>83</v>
      </c>
      <c r="B43" s="116">
        <f>Förutsättningar!M$26</f>
        <v>10</v>
      </c>
      <c r="C43" s="116">
        <f>Förutsättningar!N$26</f>
        <v>5</v>
      </c>
      <c r="D43" s="2">
        <v>20</v>
      </c>
      <c r="E43" s="21">
        <v>50</v>
      </c>
      <c r="F43" s="8">
        <v>-20</v>
      </c>
      <c r="G43" s="9">
        <v>2</v>
      </c>
      <c r="H43">
        <v>4.8</v>
      </c>
      <c r="I43" t="s">
        <v>85</v>
      </c>
      <c r="J43" s="9"/>
      <c r="K43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Bas+0%1052050OK7</v>
      </c>
    </row>
    <row r="44" spans="1:11" x14ac:dyDescent="0.25">
      <c r="A44" s="106" t="s">
        <v>9</v>
      </c>
      <c r="B44" s="116" t="s">
        <v>9</v>
      </c>
      <c r="C44" s="116" t="s">
        <v>9</v>
      </c>
      <c r="D44" s="2" t="s">
        <v>9</v>
      </c>
      <c r="E44" s="21" t="s">
        <v>9</v>
      </c>
      <c r="F44" s="8">
        <v>-20</v>
      </c>
      <c r="G44" s="9">
        <v>7</v>
      </c>
      <c r="J44" s="9" t="s">
        <v>12</v>
      </c>
      <c r="K44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-----Frys innan täck</v>
      </c>
    </row>
    <row r="45" spans="1:11" x14ac:dyDescent="0.25">
      <c r="A45" s="106" t="s">
        <v>9</v>
      </c>
      <c r="B45" s="116" t="s">
        <v>9</v>
      </c>
      <c r="C45" s="116" t="s">
        <v>9</v>
      </c>
      <c r="D45" s="2" t="s">
        <v>9</v>
      </c>
      <c r="E45" s="21" t="s">
        <v>9</v>
      </c>
      <c r="F45" s="8">
        <v>-20</v>
      </c>
      <c r="G45" s="9">
        <v>12</v>
      </c>
      <c r="J45" s="9" t="s">
        <v>12</v>
      </c>
      <c r="K45" s="16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-----Frys innan täck</v>
      </c>
    </row>
    <row r="46" spans="1:11" ht="15.75" thickBot="1" x14ac:dyDescent="0.3">
      <c r="A46" s="107" t="s">
        <v>9</v>
      </c>
      <c r="B46" s="109" t="s">
        <v>9</v>
      </c>
      <c r="C46" s="109" t="s">
        <v>9</v>
      </c>
      <c r="D46" s="22" t="s">
        <v>9</v>
      </c>
      <c r="E46" s="23" t="s">
        <v>9</v>
      </c>
      <c r="F46" s="10">
        <v>-20</v>
      </c>
      <c r="G46" s="12">
        <v>20</v>
      </c>
      <c r="H46" s="11"/>
      <c r="I46" s="11"/>
      <c r="J46" s="12" t="s">
        <v>12</v>
      </c>
      <c r="K46" s="17" t="str">
        <f>Table14[[#This Row],[Slagg mängd]]&amp;Table14[[#This Row],[Gjuttemperatur]]&amp;Table14[[#This Row],[Temperatur motgjutningsyta]]&amp;Table14[[#This Row],[Väderskydd, uppvärmning (ingen vind)]]&amp;Table14[[#This Row],[Täckning '[mm']]]&amp;Table14[[#This Row],[OK&lt;7 dagar]]&amp;Table14[[#This Row],[Kommentar]]</f>
        <v>-----Frys innan täck</v>
      </c>
    </row>
  </sheetData>
  <phoneticPr fontId="3" type="noConversion"/>
  <dataValidations count="1">
    <dataValidation type="list" allowBlank="1" showInputMessage="1" showErrorMessage="1" sqref="L2:L46" xr:uid="{8857E8CD-2ADE-4F66-B265-939C3D9290C6}">
      <formula1>"C20/25,C25/28,C28/35,C35/40,C40/50"</formula1>
    </dataValidation>
  </dataValidations>
  <pageMargins left="0.7" right="0.7" top="0.75" bottom="0.75" header="0.3" footer="0.3"/>
  <pageSetup paperSize="9" orientation="portrait" r:id="rId1"/>
  <ignoredErrors>
    <ignoredError sqref="C3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0BCCBEB-2550-4FBD-9C18-700D7091C441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E420BE8F-1741-4520-ADA4-DC7FCDA8320B}">
          <x14:formula1>
            <xm:f>Förutsättningar!$D$2:$D$4</xm:f>
          </x14:formula1>
          <xm:sqref>D2:D46</xm:sqref>
        </x14:dataValidation>
        <x14:dataValidation type="list" allowBlank="1" showInputMessage="1" showErrorMessage="1" xr:uid="{CB99C8D1-B7A4-4AC9-B88A-0D96F6FFBDE6}">
          <x14:formula1>
            <xm:f>Förutsättningar!$J$2:$J$3</xm:f>
          </x14:formula1>
          <xm:sqref>J2:J46</xm:sqref>
        </x14:dataValidation>
        <x14:dataValidation type="list" allowBlank="1" showInputMessage="1" showErrorMessage="1" xr:uid="{9EEAAB34-5CFA-4D35-8076-9FE0C6ABCD56}">
          <x14:formula1>
            <xm:f>Förutsättningar!$I$2:$I$7</xm:f>
          </x14:formula1>
          <xm:sqref>A2:A46</xm:sqref>
        </x14:dataValidation>
        <x14:dataValidation type="list" allowBlank="1" showInputMessage="1" showErrorMessage="1" xr:uid="{C641C0AF-DFF5-417D-B3FA-31DCCD811639}">
          <x14:formula1>
            <xm:f>Förutsättningar!$F$2</xm:f>
          </x14:formula1>
          <xm:sqref>I2:I46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4FC3-E46C-4518-8416-9EDDE0FE7650}">
  <sheetPr codeName="Sheet3"/>
  <dimension ref="A1:S362"/>
  <sheetViews>
    <sheetView topLeftCell="G1" zoomScaleNormal="100" workbookViewId="0">
      <selection activeCell="Q23" sqref="Q23"/>
    </sheetView>
  </sheetViews>
  <sheetFormatPr defaultRowHeight="15" x14ac:dyDescent="0.25"/>
  <cols>
    <col min="1" max="1" width="13.7109375" bestFit="1" customWidth="1"/>
    <col min="2" max="2" width="7.28515625" bestFit="1" customWidth="1"/>
    <col min="3" max="4" width="22.140625" bestFit="1" customWidth="1"/>
    <col min="5" max="5" width="22.140625" customWidth="1"/>
    <col min="6" max="6" width="22.140625" bestFit="1" customWidth="1"/>
    <col min="7" max="9" width="26.5703125" customWidth="1"/>
    <col min="10" max="11" width="22.140625" bestFit="1" customWidth="1"/>
    <col min="12" max="12" width="12.5703125" bestFit="1" customWidth="1"/>
    <col min="13" max="13" width="12.5703125" customWidth="1"/>
    <col min="14" max="14" width="26.85546875" bestFit="1" customWidth="1"/>
    <col min="15" max="15" width="22.140625" customWidth="1"/>
    <col min="16" max="16" width="11.28515625" style="38" customWidth="1"/>
  </cols>
  <sheetData>
    <row r="1" spans="1:19" ht="15.75" thickBot="1" x14ac:dyDescent="0.3">
      <c r="A1" s="5" t="s">
        <v>4</v>
      </c>
      <c r="B1" s="6" t="s">
        <v>5</v>
      </c>
      <c r="C1" s="118" t="s">
        <v>8</v>
      </c>
      <c r="D1" s="118" t="s">
        <v>17</v>
      </c>
      <c r="E1" s="118" t="s">
        <v>66</v>
      </c>
      <c r="F1" s="118" t="s">
        <v>44</v>
      </c>
      <c r="G1" s="119" t="s">
        <v>47</v>
      </c>
      <c r="H1" s="103" t="s">
        <v>14</v>
      </c>
      <c r="I1" s="103" t="s">
        <v>15</v>
      </c>
      <c r="K1" s="24" t="s">
        <v>4</v>
      </c>
      <c r="L1" s="25" t="s">
        <v>5</v>
      </c>
      <c r="M1" s="36" t="s">
        <v>19</v>
      </c>
      <c r="N1" t="s">
        <v>7</v>
      </c>
      <c r="O1" t="s">
        <v>20</v>
      </c>
      <c r="P1" s="38" t="s">
        <v>21</v>
      </c>
    </row>
    <row r="2" spans="1:19" x14ac:dyDescent="0.25">
      <c r="A2" s="5">
        <v>20</v>
      </c>
      <c r="B2" s="7">
        <v>0</v>
      </c>
      <c r="C2" s="120" t="str">
        <f>Table141719202122[[#This Row],[Åtgärdskåd]]</f>
        <v>0,315 °C20 °CVindskyddPresenningOK7</v>
      </c>
      <c r="D2" s="6" t="str">
        <f>Table1417192021[[#This Row],[Åtgärdskåd]]</f>
        <v>0,415200PresenningOK7</v>
      </c>
      <c r="E2" s="123" t="str">
        <f>Table14171920[[#This Row],[Åtgärdskåd]]</f>
        <v>0,41520--OK7</v>
      </c>
      <c r="F2" s="6" t="str">
        <f>Table141719[[#This Row],[Åtgärdskåd]]</f>
        <v>0,41520--OK7</v>
      </c>
      <c r="G2" s="123" t="str">
        <f>Table1417[[#This Row],[Åtgärdskåd]]</f>
        <v>0,41520--OK7</v>
      </c>
      <c r="H2" s="6" t="str">
        <f>Table1423[[#This Row],[Åtgärdskåd]]</f>
        <v>0,41520--OK7</v>
      </c>
      <c r="I2" s="126" t="str">
        <f>Table14[[#This Row],[Åtgärdskåd]]</f>
        <v>0,41520--OK7</v>
      </c>
      <c r="N2" t="str">
        <f>Table8[[#This Row],[Column1]]</f>
        <v>0,41520--OK7</v>
      </c>
      <c r="O2">
        <f>Table8[[#This Row],[Jobbighetsnivå]]</f>
        <v>1</v>
      </c>
      <c r="P2" s="38">
        <f t="shared" ref="P2:P65" si="0">MATCH(N2, _xlfn.UNIQUE($N$2:$N$361), 0)</f>
        <v>1</v>
      </c>
      <c r="R2">
        <v>1</v>
      </c>
      <c r="S2" t="s">
        <v>86</v>
      </c>
    </row>
    <row r="3" spans="1:19" x14ac:dyDescent="0.25">
      <c r="A3" s="8">
        <v>20</v>
      </c>
      <c r="B3" s="9">
        <v>2</v>
      </c>
      <c r="C3" s="121" t="str">
        <f>Table141719202122[[#This Row],[Åtgärdskåd]]</f>
        <v>0,215 °C20 °C--OK7</v>
      </c>
      <c r="D3" t="str">
        <f>Table1417192021[[#This Row],[Åtgärdskåd]]</f>
        <v>0,31520--OK7</v>
      </c>
      <c r="E3" s="124" t="str">
        <f>Table14171920[[#This Row],[Åtgärdskåd]]</f>
        <v>0,41520--OK7</v>
      </c>
      <c r="F3" t="str">
        <f>Table141719[[#This Row],[Åtgärdskåd]]</f>
        <v>0,41520--OK7</v>
      </c>
      <c r="G3" s="124" t="str">
        <f>Table1417[[#This Row],[Åtgärdskåd]]</f>
        <v>0,41520--OK7</v>
      </c>
      <c r="H3" t="str">
        <f>Table1423[[#This Row],[Åtgärdskåd]]</f>
        <v>0,41520--OK7</v>
      </c>
      <c r="I3" s="127" t="str">
        <f>Table14[[#This Row],[Åtgärdskåd]]</f>
        <v>0,41520--OK7</v>
      </c>
      <c r="N3" t="str">
        <f>Table8[[#This Row],[Column1]]</f>
        <v>0,415200-OK7</v>
      </c>
      <c r="O3">
        <f>Table8[[#This Row],[Jobbighetsnivå]]</f>
        <v>2</v>
      </c>
      <c r="P3" s="38">
        <f t="shared" si="0"/>
        <v>2</v>
      </c>
      <c r="R3">
        <v>2</v>
      </c>
      <c r="S3" t="s">
        <v>133</v>
      </c>
    </row>
    <row r="4" spans="1:19" x14ac:dyDescent="0.25">
      <c r="A4" s="8">
        <v>20</v>
      </c>
      <c r="B4" s="9">
        <v>7</v>
      </c>
      <c r="C4" s="121" t="str">
        <f>Table141719202122[[#This Row],[Åtgärdskåd]]</f>
        <v>0,215 °C20 °C--OK7</v>
      </c>
      <c r="D4" t="str">
        <f>Table1417192021[[#This Row],[Åtgärdskåd]]</f>
        <v>0,31520--OK7</v>
      </c>
      <c r="E4" s="124" t="str">
        <f>Table14171920[[#This Row],[Åtgärdskåd]]</f>
        <v>0,415200PresenningOK7</v>
      </c>
      <c r="F4" t="str">
        <f>Table141719[[#This Row],[Åtgärdskåd]]</f>
        <v>0,41520--OK7</v>
      </c>
      <c r="G4" s="124" t="str">
        <f>Table1417[[#This Row],[Åtgärdskåd]]</f>
        <v>0,41520--OK7</v>
      </c>
      <c r="H4" t="str">
        <f>Table1423[[#This Row],[Åtgärdskåd]]</f>
        <v>0,41520--OK7</v>
      </c>
      <c r="I4" s="127" t="str">
        <f>Table14[[#This Row],[Åtgärdskåd]]</f>
        <v>0,41520--OK7</v>
      </c>
      <c r="N4" t="str">
        <f>Table8[[#This Row],[Column1]]</f>
        <v>0,415150PresenningOK7</v>
      </c>
      <c r="O4">
        <f>Table8[[#This Row],[Jobbighetsnivå]]</f>
        <v>3</v>
      </c>
      <c r="P4" s="38">
        <f t="shared" si="0"/>
        <v>3</v>
      </c>
      <c r="R4">
        <v>3</v>
      </c>
      <c r="S4" t="s">
        <v>88</v>
      </c>
    </row>
    <row r="5" spans="1:19" x14ac:dyDescent="0.25">
      <c r="A5" s="8">
        <v>20</v>
      </c>
      <c r="B5" s="9">
        <v>12</v>
      </c>
      <c r="C5" s="121" t="str">
        <f>Table141719202122[[#This Row],[Åtgärdskåd]]</f>
        <v>0,215 °C20 °C--OK7</v>
      </c>
      <c r="D5" t="str">
        <f>Table1417192021[[#This Row],[Åtgärdskåd]]</f>
        <v>0,31520--OK7</v>
      </c>
      <c r="E5" s="124" t="str">
        <f>Table14171920[[#This Row],[Åtgärdskåd]]</f>
        <v>0,415200PresenningOK7</v>
      </c>
      <c r="F5" t="str">
        <f>Table141719[[#This Row],[Åtgärdskåd]]</f>
        <v>0,41520--OK7</v>
      </c>
      <c r="G5" s="124" t="str">
        <f>Table1417[[#This Row],[Åtgärdskåd]]</f>
        <v>0,41520--OK7</v>
      </c>
      <c r="H5" t="str">
        <f>Table1423[[#This Row],[Åtgärdskåd]]</f>
        <v>0,41520--OK7</v>
      </c>
      <c r="I5" s="127" t="str">
        <f>Table14[[#This Row],[Åtgärdskåd]]</f>
        <v>0,41520--OK7</v>
      </c>
      <c r="N5" t="str">
        <f>Table8[[#This Row],[Column1]]</f>
        <v>0,415200PresenningOK7</v>
      </c>
      <c r="O5">
        <f>Table8[[#This Row],[Jobbighetsnivå]]</f>
        <v>4</v>
      </c>
      <c r="P5" s="38">
        <f t="shared" si="0"/>
        <v>4</v>
      </c>
      <c r="R5">
        <v>4</v>
      </c>
      <c r="S5" t="s">
        <v>89</v>
      </c>
    </row>
    <row r="6" spans="1:19" ht="15.75" thickBot="1" x14ac:dyDescent="0.3">
      <c r="A6" s="10">
        <v>20</v>
      </c>
      <c r="B6" s="12">
        <v>20</v>
      </c>
      <c r="C6" s="122" t="str">
        <f>Table141719202122[[#This Row],[Åtgärdskåd]]</f>
        <v>0,215 °C20 °C--OK7</v>
      </c>
      <c r="D6" s="11" t="str">
        <f>Table1417192021[[#This Row],[Åtgärdskåd]]</f>
        <v>0,31520--OK7</v>
      </c>
      <c r="E6" s="125" t="str">
        <f>Table14171920[[#This Row],[Åtgärdskåd]]</f>
        <v>0,415200PresenningOK7</v>
      </c>
      <c r="F6" s="11" t="str">
        <f>Table141719[[#This Row],[Åtgärdskåd]]</f>
        <v>0,415200-OK7</v>
      </c>
      <c r="G6" s="125" t="str">
        <f>Table1417[[#This Row],[Åtgärdskåd]]</f>
        <v>0,41520--OK7</v>
      </c>
      <c r="H6" s="11" t="str">
        <f>Table1423[[#This Row],[Åtgärdskåd]]</f>
        <v>0,41520--OK7</v>
      </c>
      <c r="I6" s="128" t="str">
        <f>Table14[[#This Row],[Åtgärdskåd]]</f>
        <v>0,41520--OK7</v>
      </c>
      <c r="N6" t="str">
        <f>Table8[[#This Row],[Column1]]</f>
        <v>0,4205050OK7</v>
      </c>
      <c r="O6">
        <f>Table8[[#This Row],[Jobbighetsnivå]]</f>
        <v>5</v>
      </c>
      <c r="P6" s="38">
        <f t="shared" si="0"/>
        <v>5</v>
      </c>
      <c r="R6">
        <v>5</v>
      </c>
      <c r="S6" t="s">
        <v>90</v>
      </c>
    </row>
    <row r="7" spans="1:19" x14ac:dyDescent="0.25">
      <c r="A7" s="5">
        <v>15</v>
      </c>
      <c r="B7" s="7">
        <v>0</v>
      </c>
      <c r="C7" s="120" t="str">
        <f>Table141719202122[[#This Row],[Åtgärdskåd]]</f>
        <v>0,115 °C20 °C--OK7</v>
      </c>
      <c r="D7" s="6" t="str">
        <f>Table1417192021[[#This Row],[Åtgärdskåd]]</f>
        <v>0,11515--OK7</v>
      </c>
      <c r="E7" s="123" t="str">
        <f>Table14171920[[#This Row],[Åtgärdskåd]]</f>
        <v>0,21515--OK7</v>
      </c>
      <c r="F7" s="6" t="str">
        <f>Table141719[[#This Row],[Åtgärdskåd]]</f>
        <v>0,21515--OK7</v>
      </c>
      <c r="G7" s="123" t="str">
        <f>Table1417[[#This Row],[Åtgärdskåd]]</f>
        <v>0,315150PresenningOK7</v>
      </c>
      <c r="H7" s="6" t="str">
        <f>Table1423[[#This Row],[Åtgärdskåd]]</f>
        <v>0,31515--OK7</v>
      </c>
      <c r="I7" s="126" t="str">
        <f>Table14[[#This Row],[Åtgärdskåd]]</f>
        <v>0,415150PresenningOK7</v>
      </c>
      <c r="N7" t="str">
        <f>Table8[[#This Row],[Column1]]</f>
        <v>0,42052010OK7</v>
      </c>
      <c r="O7">
        <f>Table8[[#This Row],[Jobbighetsnivå]]</f>
        <v>6</v>
      </c>
      <c r="P7" s="38">
        <f t="shared" si="0"/>
        <v>6</v>
      </c>
      <c r="R7">
        <v>6</v>
      </c>
      <c r="S7" t="s">
        <v>91</v>
      </c>
    </row>
    <row r="8" spans="1:19" x14ac:dyDescent="0.25">
      <c r="A8" s="8">
        <v>15</v>
      </c>
      <c r="B8" s="9">
        <v>2</v>
      </c>
      <c r="C8" s="121" t="str">
        <f>Table141719202122[[#This Row],[Åtgärdskåd]]</f>
        <v>0,115 °C20 °CVindskydd-OK7</v>
      </c>
      <c r="D8" t="str">
        <f>Table1417192021[[#This Row],[Åtgärdskåd]]</f>
        <v>0,11515--OK7</v>
      </c>
      <c r="E8" s="124" t="str">
        <f>Table14171920[[#This Row],[Åtgärdskåd]]</f>
        <v>0,215150-OK7</v>
      </c>
      <c r="F8" t="str">
        <f>Table141719[[#This Row],[Åtgärdskåd]]</f>
        <v>0,21515--OK7</v>
      </c>
      <c r="G8" s="124" t="str">
        <f>Table1417[[#This Row],[Åtgärdskåd]]</f>
        <v>0,21515--OK7</v>
      </c>
      <c r="H8" t="str">
        <f>Table1423[[#This Row],[Åtgärdskåd]]</f>
        <v>0,31515--OK7</v>
      </c>
      <c r="I8" s="127" t="str">
        <f>Table14[[#This Row],[Åtgärdskåd]]</f>
        <v>0,31515--OK7</v>
      </c>
      <c r="N8" t="str">
        <f>Table8[[#This Row],[Column1]]</f>
        <v>0,42052020OK7</v>
      </c>
      <c r="O8">
        <f>Table8[[#This Row],[Jobbighetsnivå]]</f>
        <v>7</v>
      </c>
      <c r="P8" s="38">
        <f t="shared" si="0"/>
        <v>7</v>
      </c>
      <c r="R8">
        <v>7</v>
      </c>
      <c r="S8" t="s">
        <v>92</v>
      </c>
    </row>
    <row r="9" spans="1:19" x14ac:dyDescent="0.25">
      <c r="A9" s="8">
        <v>15</v>
      </c>
      <c r="B9" s="9">
        <v>7</v>
      </c>
      <c r="C9" s="121" t="str">
        <f>Table141719202122[[#This Row],[Åtgärdskåd]]</f>
        <v>0,115 °C20 °CVindskydd-OK7</v>
      </c>
      <c r="D9" t="str">
        <f>Table1417192021[[#This Row],[Åtgärdskåd]]</f>
        <v>0,11515--OK7</v>
      </c>
      <c r="E9" s="124" t="str">
        <f>Table14171920[[#This Row],[Åtgärdskåd]]</f>
        <v>0,11515--OK7</v>
      </c>
      <c r="F9" t="str">
        <f>Table141719[[#This Row],[Åtgärdskåd]]</f>
        <v>0,215150PresenningOK7</v>
      </c>
      <c r="G9" s="124" t="str">
        <f>Table1417[[#This Row],[Åtgärdskåd]]</f>
        <v>0,21515--OK7</v>
      </c>
      <c r="H9" t="str">
        <f>Table1423[[#This Row],[Åtgärdskåd]]</f>
        <v>0,315150PresenningOK7</v>
      </c>
      <c r="I9" s="127" t="str">
        <f>Table14[[#This Row],[Åtgärdskåd]]</f>
        <v>0,31515--OK7</v>
      </c>
      <c r="N9" t="str">
        <f>Table8[[#This Row],[Column1]]</f>
        <v>0,42052030OK7</v>
      </c>
      <c r="O9">
        <f>Table8[[#This Row],[Jobbighetsnivå]]</f>
        <v>8</v>
      </c>
      <c r="P9" s="38">
        <f t="shared" si="0"/>
        <v>8</v>
      </c>
      <c r="R9">
        <v>8</v>
      </c>
      <c r="S9" t="s">
        <v>68</v>
      </c>
    </row>
    <row r="10" spans="1:19" x14ac:dyDescent="0.25">
      <c r="A10" s="8">
        <v>15</v>
      </c>
      <c r="B10" s="9">
        <v>12</v>
      </c>
      <c r="C10" s="121" t="str">
        <f>Table141719202122[[#This Row],[Åtgärdskåd]]</f>
        <v>0,115 °C20 °CVindskyddPresenningOK7</v>
      </c>
      <c r="D10" t="str">
        <f>Table1417192021[[#This Row],[Åtgärdskåd]]</f>
        <v>0,11515--OK7</v>
      </c>
      <c r="E10" s="124" t="str">
        <f>Table14171920[[#This Row],[Åtgärdskåd]]</f>
        <v>0,11515--OK7</v>
      </c>
      <c r="F10" t="str">
        <f>Table141719[[#This Row],[Åtgärdskåd]]</f>
        <v>0,215150PresenningOK7</v>
      </c>
      <c r="G10" s="124" t="str">
        <f>Table1417[[#This Row],[Åtgärdskåd]]</f>
        <v>0,21515--OK7</v>
      </c>
      <c r="H10" t="str">
        <f>Table1423[[#This Row],[Åtgärdskåd]]</f>
        <v>0,315150PresenningOK7</v>
      </c>
      <c r="I10" s="127" t="str">
        <f>Table14[[#This Row],[Åtgärdskåd]]</f>
        <v>0,31515--OK7</v>
      </c>
      <c r="N10" t="str">
        <f>Table8[[#This Row],[Column1]]</f>
        <v>0,42052050OK7</v>
      </c>
      <c r="O10">
        <f>Table8[[#This Row],[Jobbighetsnivå]]</f>
        <v>9</v>
      </c>
      <c r="P10" s="38">
        <f t="shared" si="0"/>
        <v>9</v>
      </c>
      <c r="R10">
        <v>9</v>
      </c>
      <c r="S10" t="s">
        <v>93</v>
      </c>
    </row>
    <row r="11" spans="1:19" ht="15.75" thickBot="1" x14ac:dyDescent="0.3">
      <c r="A11" s="10">
        <v>15</v>
      </c>
      <c r="B11" s="12">
        <v>20</v>
      </c>
      <c r="C11" s="122" t="str">
        <f>Table141719202122[[#This Row],[Åtgärdskåd]]</f>
        <v>0,115 °C20 °CVindskyddPresenningOK7</v>
      </c>
      <c r="D11" s="11" t="str">
        <f>Table1417192021[[#This Row],[Åtgärdskåd]]</f>
        <v>0,11515--OK7</v>
      </c>
      <c r="E11" s="125" t="str">
        <f>Table14171920[[#This Row],[Åtgärdskåd]]</f>
        <v>0,11515--OK7</v>
      </c>
      <c r="F11" s="11" t="str">
        <f>Table141719[[#This Row],[Åtgärdskåd]]</f>
        <v>0,215150PresenningOK7</v>
      </c>
      <c r="G11" s="125" t="str">
        <f>Table1417[[#This Row],[Åtgärdskåd]]</f>
        <v>0,21515--OK7</v>
      </c>
      <c r="H11" s="11" t="str">
        <f>Table1423[[#This Row],[Åtgärdskåd]]</f>
        <v>0,315150PresenningOK7</v>
      </c>
      <c r="I11" s="128" t="str">
        <f>Table14[[#This Row],[Åtgärdskåd]]</f>
        <v>0,315150-OK7</v>
      </c>
      <c r="N11" t="str">
        <f>Table8[[#This Row],[Column1]]</f>
        <v>0,31515--OK7</v>
      </c>
      <c r="O11">
        <f>Table8[[#This Row],[Jobbighetsnivå]]</f>
        <v>10</v>
      </c>
      <c r="P11" s="38">
        <f t="shared" si="0"/>
        <v>10</v>
      </c>
      <c r="R11">
        <v>10</v>
      </c>
      <c r="S11" t="s">
        <v>94</v>
      </c>
    </row>
    <row r="12" spans="1:19" x14ac:dyDescent="0.25">
      <c r="A12" s="5">
        <v>10</v>
      </c>
      <c r="B12" s="7">
        <v>0</v>
      </c>
      <c r="C12" s="120" t="str">
        <f>Table141719202122[[#This Row],[Åtgärdskåd]]</f>
        <v>Bas+0%15 °C20 °C--OK7</v>
      </c>
      <c r="D12" s="6" t="str">
        <f>Table1417192021[[#This Row],[Åtgärdskåd]]</f>
        <v>Bas+0%1510--OK7</v>
      </c>
      <c r="E12" s="123" t="str">
        <f>Table14171920[[#This Row],[Åtgärdskåd]]</f>
        <v>0,11510--OK7</v>
      </c>
      <c r="F12" s="6" t="str">
        <f>Table141719[[#This Row],[Åtgärdskåd]]</f>
        <v>0,11510--OK7</v>
      </c>
      <c r="G12" s="123" t="str">
        <f>Table1417[[#This Row],[Åtgärdskåd]]</f>
        <v>0,11510--OK7</v>
      </c>
      <c r="H12" s="6" t="str">
        <f>Table1423[[#This Row],[Åtgärdskåd]]</f>
        <v>0,21510--OK7</v>
      </c>
      <c r="I12" s="126" t="str">
        <f>Table14[[#This Row],[Åtgärdskåd]]</f>
        <v>0,21510--OK7</v>
      </c>
      <c r="N12" t="str">
        <f>Table8[[#This Row],[Column1]]</f>
        <v>0,31520--OK7</v>
      </c>
      <c r="O12">
        <f>Table8[[#This Row],[Jobbighetsnivå]]</f>
        <v>11</v>
      </c>
      <c r="P12" s="38">
        <f t="shared" si="0"/>
        <v>11</v>
      </c>
      <c r="R12">
        <v>11</v>
      </c>
      <c r="S12" t="s">
        <v>95</v>
      </c>
    </row>
    <row r="13" spans="1:19" x14ac:dyDescent="0.25">
      <c r="A13" s="8">
        <v>10</v>
      </c>
      <c r="B13" s="9">
        <v>2</v>
      </c>
      <c r="C13" s="121" t="str">
        <f>Table141719202122[[#This Row],[Åtgärdskåd]]</f>
        <v>Bas+0%15 °C20 °CVindskydd-OK7</v>
      </c>
      <c r="D13" t="str">
        <f>Table1417192021[[#This Row],[Åtgärdskåd]]</f>
        <v>Bas+0%1510--OK7</v>
      </c>
      <c r="E13" s="124" t="str">
        <f>Table14171920[[#This Row],[Åtgärdskåd]]</f>
        <v>Bas+0%1510--OK7</v>
      </c>
      <c r="F13" t="str">
        <f>Table141719[[#This Row],[Åtgärdskåd]]</f>
        <v>0,115100PresenningOK7</v>
      </c>
      <c r="G13" s="124" t="str">
        <f>Table1417[[#This Row],[Åtgärdskåd]]</f>
        <v>0,11510--OK7</v>
      </c>
      <c r="H13" t="str">
        <f>Table1423[[#This Row],[Åtgärdskåd]]</f>
        <v>0,11510--OK7</v>
      </c>
      <c r="I13" s="127" t="str">
        <f>Table14[[#This Row],[Åtgärdskåd]]</f>
        <v>0,215100PresenningOK7</v>
      </c>
      <c r="N13" t="str">
        <f>Table8[[#This Row],[Column1]]</f>
        <v>0,315150-OK7</v>
      </c>
      <c r="O13">
        <f>Table8[[#This Row],[Jobbighetsnivå]]</f>
        <v>12</v>
      </c>
      <c r="P13" s="38">
        <f t="shared" si="0"/>
        <v>12</v>
      </c>
      <c r="R13">
        <v>12</v>
      </c>
      <c r="S13" t="s">
        <v>96</v>
      </c>
    </row>
    <row r="14" spans="1:19" x14ac:dyDescent="0.25">
      <c r="A14" s="8">
        <v>10</v>
      </c>
      <c r="B14" s="9">
        <v>7</v>
      </c>
      <c r="C14" s="121" t="str">
        <f>Table141719202122[[#This Row],[Åtgärdskåd]]</f>
        <v>-----Når ej 70%</v>
      </c>
      <c r="D14" t="str">
        <f>Table1417192021[[#This Row],[Åtgärdskåd]]</f>
        <v>Bas+0%1510--OK7</v>
      </c>
      <c r="E14" s="124" t="str">
        <f>Table14171920[[#This Row],[Åtgärdskåd]]</f>
        <v>Bas+0%1510--OK7</v>
      </c>
      <c r="F14" t="str">
        <f>Table141719[[#This Row],[Åtgärdskåd]]</f>
        <v>Bas+0%1510--OK7</v>
      </c>
      <c r="G14" s="124" t="str">
        <f>Table1417[[#This Row],[Åtgärdskåd]]</f>
        <v>0,115100PresenningOK7</v>
      </c>
      <c r="H14" t="str">
        <f>Table1423[[#This Row],[Åtgärdskåd]]</f>
        <v>0,11510--OK7</v>
      </c>
      <c r="I14" s="127" t="str">
        <f>Table14[[#This Row],[Åtgärdskåd]]</f>
        <v>0,11510--OK7</v>
      </c>
      <c r="N14" t="str">
        <f>Table8[[#This Row],[Column1]]</f>
        <v>0,315150PresenningOK7</v>
      </c>
      <c r="O14">
        <f>Table8[[#This Row],[Jobbighetsnivå]]</f>
        <v>13</v>
      </c>
      <c r="P14" s="38">
        <f t="shared" si="0"/>
        <v>13</v>
      </c>
      <c r="R14">
        <v>13</v>
      </c>
      <c r="S14" t="s">
        <v>97</v>
      </c>
    </row>
    <row r="15" spans="1:19" x14ac:dyDescent="0.25">
      <c r="A15" s="8">
        <v>10</v>
      </c>
      <c r="B15" s="9">
        <v>12</v>
      </c>
      <c r="C15" s="121" t="str">
        <f>Table141719202122[[#This Row],[Åtgärdskåd]]</f>
        <v>-----Når ej 70%</v>
      </c>
      <c r="D15" t="str">
        <f>Table1417192021[[#This Row],[Åtgärdskåd]]</f>
        <v>Bas+0%15100-OK7</v>
      </c>
      <c r="E15" s="124" t="str">
        <f>Table14171920[[#This Row],[Åtgärdskåd]]</f>
        <v>Bas+0%1510--OK7</v>
      </c>
      <c r="F15" t="str">
        <f>Table141719[[#This Row],[Åtgärdskåd]]</f>
        <v>Bas+0%1510--OK7</v>
      </c>
      <c r="G15" s="124" t="str">
        <f>Table1417[[#This Row],[Åtgärdskåd]]</f>
        <v>0,115100PresenningOK7</v>
      </c>
      <c r="H15" t="str">
        <f>Table1423[[#This Row],[Åtgärdskåd]]</f>
        <v>0,11510--OK7</v>
      </c>
      <c r="I15" s="127" t="str">
        <f>Table14[[#This Row],[Åtgärdskåd]]</f>
        <v>0,11510--OK7</v>
      </c>
      <c r="N15" t="str">
        <f>Table8[[#This Row],[Column1]]</f>
        <v>0,315200PresenningOK7</v>
      </c>
      <c r="O15">
        <f>Table8[[#This Row],[Jobbighetsnivå]]</f>
        <v>14</v>
      </c>
      <c r="P15" s="38">
        <f t="shared" si="0"/>
        <v>14</v>
      </c>
      <c r="R15">
        <v>14</v>
      </c>
      <c r="S15" t="s">
        <v>98</v>
      </c>
    </row>
    <row r="16" spans="1:19" ht="15.75" thickBot="1" x14ac:dyDescent="0.3">
      <c r="A16" s="10">
        <v>10</v>
      </c>
      <c r="B16" s="12">
        <v>20</v>
      </c>
      <c r="C16" s="122" t="str">
        <f>Table141719202122[[#This Row],[Åtgärdskåd]]</f>
        <v>-----Når ej 70%</v>
      </c>
      <c r="D16" s="11" t="str">
        <f>Table1417192021[[#This Row],[Åtgärdskåd]]</f>
        <v>Bas+0%15100-OK7</v>
      </c>
      <c r="E16" s="125" t="str">
        <f>Table14171920[[#This Row],[Åtgärdskåd]]</f>
        <v>Bas+0%1510--OK7</v>
      </c>
      <c r="F16" s="11" t="str">
        <f>Table141719[[#This Row],[Åtgärdskåd]]</f>
        <v>Bas+0%1510--OK7</v>
      </c>
      <c r="G16" s="125" t="str">
        <f>Table1417[[#This Row],[Åtgärdskåd]]</f>
        <v>0,115100PresenningOK7</v>
      </c>
      <c r="H16" s="11" t="str">
        <f>Table1423[[#This Row],[Åtgärdskåd]]</f>
        <v>0,11510--OK7</v>
      </c>
      <c r="I16" s="128" t="str">
        <f>Table14[[#This Row],[Åtgärdskåd]]</f>
        <v>0,11510--OK7</v>
      </c>
      <c r="N16" t="str">
        <f>Table8[[#This Row],[Column1]]</f>
        <v>0,32052010OK7</v>
      </c>
      <c r="O16">
        <f>Table8[[#This Row],[Jobbighetsnivå]]</f>
        <v>15</v>
      </c>
      <c r="P16" s="38">
        <f t="shared" si="0"/>
        <v>15</v>
      </c>
      <c r="R16">
        <v>15</v>
      </c>
      <c r="S16" t="s">
        <v>99</v>
      </c>
    </row>
    <row r="17" spans="1:19" x14ac:dyDescent="0.25">
      <c r="A17" s="5">
        <v>5</v>
      </c>
      <c r="B17" s="7">
        <v>0</v>
      </c>
      <c r="C17" s="120" t="str">
        <f>Table141719202122[[#This Row],[Åtgärdskåd]]</f>
        <v>0,4205Vindskydd och 20 °C uppvärmning30 mmOK7</v>
      </c>
      <c r="D17" s="6" t="str">
        <f>Table1417192021[[#This Row],[Åtgärdskåd]]</f>
        <v>0,42052020OK7</v>
      </c>
      <c r="E17" s="123" t="str">
        <f>Table14171920[[#This Row],[Åtgärdskåd]]</f>
        <v>0,42052010OK7</v>
      </c>
      <c r="F17" s="6" t="str">
        <f>Table141719[[#This Row],[Åtgärdskåd]]</f>
        <v>0,42052010OK7</v>
      </c>
      <c r="G17" s="123" t="str">
        <f>Table1417[[#This Row],[Åtgärdskåd]]</f>
        <v>0,42052010OK7</v>
      </c>
      <c r="H17" s="6" t="str">
        <f>Table1423[[#This Row],[Åtgärdskåd]]</f>
        <v>0,42052010OK7</v>
      </c>
      <c r="I17" s="126" t="str">
        <f>Table14[[#This Row],[Åtgärdskåd]]</f>
        <v>0,4205050OK7</v>
      </c>
      <c r="N17" t="str">
        <f>Table8[[#This Row],[Column1]]</f>
        <v>0,32052030OK7</v>
      </c>
      <c r="O17">
        <f>Table8[[#This Row],[Jobbighetsnivå]]</f>
        <v>16</v>
      </c>
      <c r="P17" s="38">
        <f t="shared" si="0"/>
        <v>16</v>
      </c>
      <c r="R17">
        <v>16</v>
      </c>
      <c r="S17" t="s">
        <v>100</v>
      </c>
    </row>
    <row r="18" spans="1:19" x14ac:dyDescent="0.25">
      <c r="A18" s="8">
        <v>5</v>
      </c>
      <c r="B18" s="9">
        <v>2</v>
      </c>
      <c r="C18" s="121" t="str">
        <f>Table141719202122[[#This Row],[Åtgärdskåd]]</f>
        <v>0,4205Vindskydd och 20 °C uppvärmning30 mmOK7</v>
      </c>
      <c r="D18" t="str">
        <f>Table1417192021[[#This Row],[Åtgärdskåd]]</f>
        <v>0,42052020OK7</v>
      </c>
      <c r="E18" s="124" t="str">
        <f>Table14171920[[#This Row],[Åtgärdskåd]]</f>
        <v>0,42052020OK7</v>
      </c>
      <c r="F18" t="str">
        <f>Table141719[[#This Row],[Åtgärdskåd]]</f>
        <v>0,42052010OK7</v>
      </c>
      <c r="G18" s="124" t="str">
        <f>Table1417[[#This Row],[Åtgärdskåd]]</f>
        <v>0,42052010OK7</v>
      </c>
      <c r="H18" t="str">
        <f>Table1423[[#This Row],[Åtgärdskåd]]</f>
        <v>0,42052010OK7</v>
      </c>
      <c r="I18" s="127" t="str">
        <f>Table14[[#This Row],[Åtgärdskåd]]</f>
        <v>0,42052010OK7</v>
      </c>
      <c r="N18" t="str">
        <f>Table8[[#This Row],[Column1]]</f>
        <v>0,32052050OK7</v>
      </c>
      <c r="O18">
        <f>Table8[[#This Row],[Jobbighetsnivå]]</f>
        <v>17</v>
      </c>
      <c r="P18" s="38">
        <f t="shared" si="0"/>
        <v>17</v>
      </c>
      <c r="R18">
        <v>17</v>
      </c>
      <c r="S18" t="s">
        <v>67</v>
      </c>
    </row>
    <row r="19" spans="1:19" x14ac:dyDescent="0.25">
      <c r="A19" s="8">
        <v>5</v>
      </c>
      <c r="B19" s="9">
        <v>7</v>
      </c>
      <c r="C19" s="121" t="str">
        <f>Table141719202122[[#This Row],[Åtgärdskåd]]</f>
        <v>0,4205Vindskydd och 20 °C uppvärmning50 mmOK7</v>
      </c>
      <c r="D19" t="str">
        <f>Table1417192021[[#This Row],[Åtgärdskåd]]</f>
        <v>0,42052030OK7</v>
      </c>
      <c r="E19" s="124" t="str">
        <f>Table14171920[[#This Row],[Åtgärdskåd]]</f>
        <v>0,42052020OK7</v>
      </c>
      <c r="F19" t="str">
        <f>Table141719[[#This Row],[Åtgärdskåd]]</f>
        <v>0,42052020OK7</v>
      </c>
      <c r="G19" s="124" t="str">
        <f>Table1417[[#This Row],[Åtgärdskåd]]</f>
        <v>0,42052010OK7</v>
      </c>
      <c r="H19" t="str">
        <f>Table1423[[#This Row],[Åtgärdskåd]]</f>
        <v>0,42052010OK7</v>
      </c>
      <c r="I19" s="127" t="str">
        <f>Table14[[#This Row],[Åtgärdskåd]]</f>
        <v>0,42052010OK7</v>
      </c>
      <c r="N19" t="str">
        <f>Table8[[#This Row],[Column1]]</f>
        <v>0,21510--OK7</v>
      </c>
      <c r="O19">
        <f>Table8[[#This Row],[Jobbighetsnivå]]</f>
        <v>18</v>
      </c>
      <c r="P19" s="38">
        <f t="shared" si="0"/>
        <v>18</v>
      </c>
      <c r="R19">
        <v>18</v>
      </c>
      <c r="S19" t="s">
        <v>101</v>
      </c>
    </row>
    <row r="20" spans="1:19" x14ac:dyDescent="0.25">
      <c r="A20" s="8">
        <v>5</v>
      </c>
      <c r="B20" s="9">
        <v>12</v>
      </c>
      <c r="C20" s="121" t="str">
        <f>Table141719202122[[#This Row],[Åtgärdskåd]]</f>
        <v>0,4205Vindskydd och 20 °C uppvärmning50 mmOK7</v>
      </c>
      <c r="D20" t="str">
        <f>Table1417192021[[#This Row],[Åtgärdskåd]]</f>
        <v>0,42052030OK7</v>
      </c>
      <c r="E20" s="124" t="str">
        <f>Table14171920[[#This Row],[Åtgärdskåd]]</f>
        <v>0,42052020OK7</v>
      </c>
      <c r="F20" t="str">
        <f>Table141719[[#This Row],[Åtgärdskåd]]</f>
        <v>0,42052020OK7</v>
      </c>
      <c r="G20" s="124" t="str">
        <f>Table1417[[#This Row],[Åtgärdskåd]]</f>
        <v>0,42052020OK7</v>
      </c>
      <c r="H20" t="str">
        <f>Table1423[[#This Row],[Åtgärdskåd]]</f>
        <v>0,42052010OK7</v>
      </c>
      <c r="I20" s="127" t="str">
        <f>Table14[[#This Row],[Åtgärdskåd]]</f>
        <v>0,42052010OK7</v>
      </c>
      <c r="N20" t="str">
        <f>Table8[[#This Row],[Column1]]</f>
        <v>0,21515--OK7</v>
      </c>
      <c r="O20">
        <f>Table8[[#This Row],[Jobbighetsnivå]]</f>
        <v>19</v>
      </c>
      <c r="P20" s="38">
        <f t="shared" si="0"/>
        <v>19</v>
      </c>
      <c r="R20">
        <v>19</v>
      </c>
      <c r="S20" t="s">
        <v>102</v>
      </c>
    </row>
    <row r="21" spans="1:19" ht="15.75" thickBot="1" x14ac:dyDescent="0.3">
      <c r="A21" s="10">
        <v>5</v>
      </c>
      <c r="B21" s="12">
        <v>20</v>
      </c>
      <c r="C21" s="122" t="str">
        <f>Table141719202122[[#This Row],[Åtgärdskåd]]</f>
        <v>0,4205Vindskydd och 20 °C uppvärmning50 mmOK7</v>
      </c>
      <c r="D21" s="11" t="str">
        <f>Table1417192021[[#This Row],[Åtgärdskåd]]</f>
        <v>0,42052030OK7</v>
      </c>
      <c r="E21" s="125" t="str">
        <f>Table14171920[[#This Row],[Åtgärdskåd]]</f>
        <v>0,42052020OK7</v>
      </c>
      <c r="F21" s="11" t="str">
        <f>Table141719[[#This Row],[Åtgärdskåd]]</f>
        <v>0,42052020OK7</v>
      </c>
      <c r="G21" s="125" t="str">
        <f>Table1417[[#This Row],[Åtgärdskåd]]</f>
        <v>0,42052020OK7</v>
      </c>
      <c r="H21" s="11" t="str">
        <f>Table1423[[#This Row],[Åtgärdskåd]]</f>
        <v>0,42052010OK7</v>
      </c>
      <c r="I21" s="128" t="str">
        <f>Table14[[#This Row],[Åtgärdskåd]]</f>
        <v>0,42052010OK7</v>
      </c>
      <c r="N21" t="str">
        <f>Table8[[#This Row],[Column1]]</f>
        <v>0,21520--OK7</v>
      </c>
      <c r="O21">
        <f>Table8[[#This Row],[Jobbighetsnivå]]</f>
        <v>20</v>
      </c>
      <c r="P21" s="38">
        <f t="shared" si="0"/>
        <v>20</v>
      </c>
      <c r="R21">
        <v>20</v>
      </c>
      <c r="S21" t="s">
        <v>103</v>
      </c>
    </row>
    <row r="22" spans="1:19" x14ac:dyDescent="0.25">
      <c r="A22" s="5">
        <v>0</v>
      </c>
      <c r="B22" s="7">
        <v>0</v>
      </c>
      <c r="C22" s="120" t="str">
        <f>Table141719202122[[#This Row],[Åtgärdskåd]]</f>
        <v>0,3205Vindskydd och 20 °C uppvärmning50 mmOK7</v>
      </c>
      <c r="D22" s="6" t="str">
        <f>Table1417192021[[#This Row],[Åtgärdskåd]]</f>
        <v>0,42052050OK7</v>
      </c>
      <c r="E22" s="123" t="str">
        <f>Table14171920[[#This Row],[Åtgärdskåd]]</f>
        <v>0,42052020OK7</v>
      </c>
      <c r="F22" s="6" t="str">
        <f>Table141719[[#This Row],[Åtgärdskåd]]</f>
        <v>0,42052030OK7</v>
      </c>
      <c r="G22" s="123" t="str">
        <f>Table1417[[#This Row],[Åtgärdskåd]]</f>
        <v>0,42052020OK7</v>
      </c>
      <c r="H22" s="6" t="str">
        <f>Table1423[[#This Row],[Åtgärdskåd]]</f>
        <v>0,42052020OK7</v>
      </c>
      <c r="I22" s="126" t="str">
        <f>Table14[[#This Row],[Åtgärdskåd]]</f>
        <v>0,42052020OK7</v>
      </c>
      <c r="N22" t="str">
        <f>Table8[[#This Row],[Column1]]</f>
        <v>0,215150-OK7</v>
      </c>
      <c r="O22">
        <f>Table8[[#This Row],[Jobbighetsnivå]]</f>
        <v>21</v>
      </c>
      <c r="P22" s="38">
        <f t="shared" si="0"/>
        <v>21</v>
      </c>
      <c r="R22">
        <v>21</v>
      </c>
      <c r="S22" t="s">
        <v>104</v>
      </c>
    </row>
    <row r="23" spans="1:19" x14ac:dyDescent="0.25">
      <c r="A23" s="8">
        <v>0</v>
      </c>
      <c r="B23" s="9">
        <v>2</v>
      </c>
      <c r="C23" s="121" t="str">
        <f>Table141719202122[[#This Row],[Åtgärdskåd]]</f>
        <v>0,3205Vindskydd och 20 °C uppvärmning50 mmOK7</v>
      </c>
      <c r="D23" t="str">
        <f>Table1417192021[[#This Row],[Åtgärdskåd]]</f>
        <v>0,32052030OK7</v>
      </c>
      <c r="E23" s="124" t="str">
        <f>Table14171920[[#This Row],[Åtgärdskåd]]</f>
        <v>0,42052050OK7</v>
      </c>
      <c r="F23" t="str">
        <f>Table141719[[#This Row],[Åtgärdskåd]]</f>
        <v>0,42052030OK7</v>
      </c>
      <c r="G23" s="124" t="str">
        <f>Table1417[[#This Row],[Åtgärdskåd]]</f>
        <v>0,42052030OK7</v>
      </c>
      <c r="H23" t="str">
        <f>Table1423[[#This Row],[Åtgärdskåd]]</f>
        <v>0,42052020OK7</v>
      </c>
      <c r="I23" s="127" t="str">
        <f>Table14[[#This Row],[Åtgärdskåd]]</f>
        <v>0,42052020OK7</v>
      </c>
      <c r="N23" t="str">
        <f>Table8[[#This Row],[Column1]]</f>
        <v>0,215100PresenningOK7</v>
      </c>
      <c r="O23">
        <f>Table8[[#This Row],[Jobbighetsnivå]]</f>
        <v>22</v>
      </c>
      <c r="P23" s="38">
        <f t="shared" si="0"/>
        <v>22</v>
      </c>
      <c r="R23">
        <v>22</v>
      </c>
      <c r="S23" t="s">
        <v>105</v>
      </c>
    </row>
    <row r="24" spans="1:19" x14ac:dyDescent="0.25">
      <c r="A24" s="8">
        <v>0</v>
      </c>
      <c r="B24" s="9">
        <v>7</v>
      </c>
      <c r="C24" s="121" t="str">
        <f>Table141719202122[[#This Row],[Åtgärdskåd]]</f>
        <v>0,2205Vindskydd och 20 °C uppvärmning50 mmOK7</v>
      </c>
      <c r="D24" t="str">
        <f>Table1417192021[[#This Row],[Åtgärdskåd]]</f>
        <v>0,32052050OK7</v>
      </c>
      <c r="E24" s="124" t="str">
        <f>Table14171920[[#This Row],[Åtgärdskåd]]</f>
        <v>0,42052050OK7</v>
      </c>
      <c r="F24" t="str">
        <f>Table141719[[#This Row],[Åtgärdskåd]]</f>
        <v>0,42052050OK7</v>
      </c>
      <c r="G24" s="124" t="str">
        <f>Table1417[[#This Row],[Åtgärdskåd]]</f>
        <v>0,42052030OK7</v>
      </c>
      <c r="H24" t="str">
        <f>Table1423[[#This Row],[Åtgärdskåd]]</f>
        <v>0,42052030OK7</v>
      </c>
      <c r="I24" s="127" t="str">
        <f>Table14[[#This Row],[Åtgärdskåd]]</f>
        <v>0,42052020OK7</v>
      </c>
      <c r="N24" t="str">
        <f>Table8[[#This Row],[Column1]]</f>
        <v>0,215150PresenningOK7</v>
      </c>
      <c r="O24">
        <f>Table8[[#This Row],[Jobbighetsnivå]]</f>
        <v>23</v>
      </c>
      <c r="P24" s="38">
        <f t="shared" si="0"/>
        <v>23</v>
      </c>
      <c r="R24">
        <v>23</v>
      </c>
      <c r="S24" t="s">
        <v>106</v>
      </c>
    </row>
    <row r="25" spans="1:19" x14ac:dyDescent="0.25">
      <c r="A25" s="8">
        <v>0</v>
      </c>
      <c r="B25" s="9">
        <v>12</v>
      </c>
      <c r="C25" s="121" t="str">
        <f>Table141719202122[[#This Row],[Åtgärdskåd]]</f>
        <v>0,2205Vindskydd och 20 °C uppvärmning50 mmOK7</v>
      </c>
      <c r="D25" t="str">
        <f>Table1417192021[[#This Row],[Åtgärdskåd]]</f>
        <v>0,32052050OK7</v>
      </c>
      <c r="E25" s="124" t="str">
        <f>Table14171920[[#This Row],[Åtgärdskåd]]</f>
        <v>0,42052050OK7</v>
      </c>
      <c r="F25" t="str">
        <f>Table141719[[#This Row],[Åtgärdskåd]]</f>
        <v>0,42052050OK7</v>
      </c>
      <c r="G25" s="124" t="str">
        <f>Table1417[[#This Row],[Åtgärdskåd]]</f>
        <v>0,42052030OK7</v>
      </c>
      <c r="H25" t="str">
        <f>Table1423[[#This Row],[Åtgärdskåd]]</f>
        <v>0,42052030OK7</v>
      </c>
      <c r="I25" s="127" t="str">
        <f>Table14[[#This Row],[Åtgärdskåd]]</f>
        <v>0,42052020OK7</v>
      </c>
      <c r="N25" t="str">
        <f>Table8[[#This Row],[Column1]]</f>
        <v>0,22052020OK7</v>
      </c>
      <c r="O25">
        <f>Table8[[#This Row],[Jobbighetsnivå]]</f>
        <v>24</v>
      </c>
      <c r="P25" s="38">
        <f t="shared" si="0"/>
        <v>24</v>
      </c>
      <c r="R25">
        <v>24</v>
      </c>
      <c r="S25" t="s">
        <v>107</v>
      </c>
    </row>
    <row r="26" spans="1:19" ht="15.75" thickBot="1" x14ac:dyDescent="0.3">
      <c r="A26" s="10">
        <v>0</v>
      </c>
      <c r="B26" s="12">
        <v>20</v>
      </c>
      <c r="C26" s="122" t="str">
        <f>Table141719202122[[#This Row],[Åtgärdskåd]]</f>
        <v>0,2205Vindskydd och 20 °C uppvärmning50 mmOK7</v>
      </c>
      <c r="D26" s="11" t="str">
        <f>Table1417192021[[#This Row],[Åtgärdskåd]]</f>
        <v>0,32052010OK7</v>
      </c>
      <c r="E26" s="125" t="str">
        <f>Table14171920[[#This Row],[Åtgärdskåd]]</f>
        <v>0,42052050OK7</v>
      </c>
      <c r="F26" s="11" t="str">
        <f>Table141719[[#This Row],[Åtgärdskåd]]</f>
        <v>0,42052050OK7</v>
      </c>
      <c r="G26" s="125" t="str">
        <f>Table1417[[#This Row],[Åtgärdskåd]]</f>
        <v>0,42052030OK7</v>
      </c>
      <c r="H26" s="11" t="str">
        <f>Table1423[[#This Row],[Åtgärdskåd]]</f>
        <v>0,42052030OK7</v>
      </c>
      <c r="I26" s="128" t="str">
        <f>Table14[[#This Row],[Åtgärdskåd]]</f>
        <v>0,42052020OK7</v>
      </c>
      <c r="N26" t="str">
        <f>Table8[[#This Row],[Column1]]</f>
        <v>0,22052030OK7</v>
      </c>
      <c r="O26">
        <f>Table8[[#This Row],[Jobbighetsnivå]]</f>
        <v>25</v>
      </c>
      <c r="P26" s="38">
        <f t="shared" si="0"/>
        <v>25</v>
      </c>
      <c r="R26">
        <v>25</v>
      </c>
      <c r="S26" t="s">
        <v>108</v>
      </c>
    </row>
    <row r="27" spans="1:19" x14ac:dyDescent="0.25">
      <c r="A27" s="5">
        <v>-5</v>
      </c>
      <c r="B27" s="7">
        <v>0</v>
      </c>
      <c r="C27" s="120" t="str">
        <f>Table141719202122[[#This Row],[Åtgärdskåd]]</f>
        <v>0,1205Vindskydd och 20 °C uppvärmning30 mmOK7</v>
      </c>
      <c r="D27" s="6" t="str">
        <f>Table1417192021[[#This Row],[Åtgärdskåd]]</f>
        <v>0,22052050OK7</v>
      </c>
      <c r="E27" s="123" t="str">
        <f>Table14171920[[#This Row],[Åtgärdskåd]]</f>
        <v>0,32052050OK7</v>
      </c>
      <c r="F27" s="6" t="str">
        <f>Table141719[[#This Row],[Åtgärdskåd]]</f>
        <v>0,32052050OK7</v>
      </c>
      <c r="G27" s="123" t="str">
        <f>Table1417[[#This Row],[Åtgärdskåd]]</f>
        <v>0,32052030OK7</v>
      </c>
      <c r="H27" s="6" t="str">
        <f>Table1423[[#This Row],[Åtgärdskåd]]</f>
        <v>0,42052050OK7</v>
      </c>
      <c r="I27" s="126" t="str">
        <f>Table14[[#This Row],[Åtgärdskåd]]</f>
        <v>0,42052050OK7</v>
      </c>
      <c r="N27" t="str">
        <f>Table8[[#This Row],[Column1]]</f>
        <v>0,22052050OK7</v>
      </c>
      <c r="O27">
        <f>Table8[[#This Row],[Jobbighetsnivå]]</f>
        <v>26</v>
      </c>
      <c r="P27" s="38">
        <f t="shared" si="0"/>
        <v>26</v>
      </c>
      <c r="R27">
        <v>26</v>
      </c>
      <c r="S27" t="s">
        <v>109</v>
      </c>
    </row>
    <row r="28" spans="1:19" x14ac:dyDescent="0.25">
      <c r="A28" s="8">
        <v>-5</v>
      </c>
      <c r="B28" s="9">
        <v>2</v>
      </c>
      <c r="C28" s="121" t="str">
        <f>Table141719202122[[#This Row],[Åtgärdskåd]]</f>
        <v>0,1205Vindskydd och 20 °C uppvärmning30 mmOK7</v>
      </c>
      <c r="D28" t="str">
        <f>Table1417192021[[#This Row],[Åtgärdskåd]]</f>
        <v>0,22052050OK7</v>
      </c>
      <c r="E28" s="124" t="str">
        <f>Table14171920[[#This Row],[Åtgärdskåd]]</f>
        <v>0,32052050OK7</v>
      </c>
      <c r="F28" t="str">
        <f>Table141719[[#This Row],[Åtgärdskåd]]</f>
        <v>0,32052050OK7</v>
      </c>
      <c r="G28" s="124" t="str">
        <f>Table1417[[#This Row],[Åtgärdskåd]]</f>
        <v>0,32052050OK7</v>
      </c>
      <c r="H28" t="str">
        <f>Table1423[[#This Row],[Åtgärdskåd]]</f>
        <v>0,42052050OK7</v>
      </c>
      <c r="I28" s="127" t="str">
        <f>Table14[[#This Row],[Åtgärdskåd]]</f>
        <v>0,42052050OK7</v>
      </c>
      <c r="N28" t="str">
        <f>Table8[[#This Row],[Column1]]</f>
        <v>0,11515--OK7</v>
      </c>
      <c r="O28">
        <f>Table8[[#This Row],[Jobbighetsnivå]]</f>
        <v>27</v>
      </c>
      <c r="P28" s="38">
        <f t="shared" si="0"/>
        <v>27</v>
      </c>
      <c r="R28">
        <v>27</v>
      </c>
      <c r="S28" t="s">
        <v>110</v>
      </c>
    </row>
    <row r="29" spans="1:19" x14ac:dyDescent="0.25">
      <c r="A29" s="8">
        <v>-5</v>
      </c>
      <c r="B29" s="9">
        <v>7</v>
      </c>
      <c r="C29" s="121" t="str">
        <f>Table141719202122[[#This Row],[Åtgärdskåd]]</f>
        <v>0,1205Vindskydd och 20 °C uppvärmning50 mmOK7</v>
      </c>
      <c r="D29" t="str">
        <f>Table1417192021[[#This Row],[Åtgärdskåd]]</f>
        <v>0,12052030OK7</v>
      </c>
      <c r="E29" s="124" t="str">
        <f>Table14171920[[#This Row],[Åtgärdskåd]]</f>
        <v>0,22052050OK7</v>
      </c>
      <c r="F29" t="str">
        <f>Table141719[[#This Row],[Åtgärdskåd]]</f>
        <v>0,32052050OK7</v>
      </c>
      <c r="G29" s="124" t="str">
        <f>Table1417[[#This Row],[Åtgärdskåd]]</f>
        <v>0,32052050OK7</v>
      </c>
      <c r="H29" t="str">
        <f>Table1423[[#This Row],[Åtgärdskåd]]</f>
        <v>0,32052030OK7</v>
      </c>
      <c r="I29" s="127" t="str">
        <f>Table14[[#This Row],[Åtgärdskåd]]</f>
        <v>0,42052050OK7</v>
      </c>
      <c r="N29" t="str">
        <f>Table8[[#This Row],[Column1]]</f>
        <v>0,11510--OK7</v>
      </c>
      <c r="O29">
        <f>Table8[[#This Row],[Jobbighetsnivå]]</f>
        <v>28</v>
      </c>
      <c r="P29" s="38">
        <f t="shared" si="0"/>
        <v>28</v>
      </c>
      <c r="R29">
        <v>28</v>
      </c>
      <c r="S29" t="s">
        <v>111</v>
      </c>
    </row>
    <row r="30" spans="1:19" x14ac:dyDescent="0.25">
      <c r="A30" s="8">
        <v>-5</v>
      </c>
      <c r="B30" s="9">
        <v>12</v>
      </c>
      <c r="C30" s="121" t="str">
        <f>Table141719202122[[#This Row],[Åtgärdskåd]]</f>
        <v>0,1205Vindskydd och 20 °C uppvärmning50 mmOK7</v>
      </c>
      <c r="D30" t="str">
        <f>Table1417192021[[#This Row],[Åtgärdskåd]]</f>
        <v>0,12052030OK7</v>
      </c>
      <c r="E30" s="124" t="str">
        <f>Table14171920[[#This Row],[Åtgärdskåd]]</f>
        <v>0,22052050OK7</v>
      </c>
      <c r="F30" t="str">
        <f>Table141719[[#This Row],[Åtgärdskåd]]</f>
        <v>0,32052050OK7</v>
      </c>
      <c r="G30" s="124" t="str">
        <f>Table1417[[#This Row],[Åtgärdskåd]]</f>
        <v>0,32052050OK7</v>
      </c>
      <c r="H30" t="str">
        <f>Table1423[[#This Row],[Åtgärdskåd]]</f>
        <v>0,32052030OK7</v>
      </c>
      <c r="I30" s="127" t="str">
        <f>Table14[[#This Row],[Åtgärdskåd]]</f>
        <v>0,42052050OK7</v>
      </c>
      <c r="N30" t="str">
        <f>Table8[[#This Row],[Column1]]</f>
        <v>0,115150-OK7</v>
      </c>
      <c r="O30">
        <f>Table8[[#This Row],[Jobbighetsnivå]]</f>
        <v>29</v>
      </c>
      <c r="P30" s="38">
        <f t="shared" si="0"/>
        <v>29</v>
      </c>
      <c r="R30">
        <v>29</v>
      </c>
      <c r="S30" t="s">
        <v>112</v>
      </c>
    </row>
    <row r="31" spans="1:19" ht="15.75" thickBot="1" x14ac:dyDescent="0.3">
      <c r="A31" s="10">
        <v>-5</v>
      </c>
      <c r="B31" s="12">
        <v>20</v>
      </c>
      <c r="C31" s="122" t="str">
        <f>Table141719202122[[#This Row],[Åtgärdskåd]]</f>
        <v>0,1205Vindskydd och 20 °C uppvärmning50 mmOK7</v>
      </c>
      <c r="D31" s="11" t="str">
        <f>Table1417192021[[#This Row],[Åtgärdskåd]]</f>
        <v>0,12052030OK7</v>
      </c>
      <c r="E31" s="125" t="str">
        <f>Table14171920[[#This Row],[Åtgärdskåd]]</f>
        <v>0,22052050OK7</v>
      </c>
      <c r="F31" s="11" t="str">
        <f>Table141719[[#This Row],[Åtgärdskåd]]</f>
        <v>0,22052030OK7</v>
      </c>
      <c r="G31" s="125" t="str">
        <f>Table1417[[#This Row],[Åtgärdskåd]]</f>
        <v>0,32052050OK7</v>
      </c>
      <c r="H31" s="11" t="str">
        <f>Table1423[[#This Row],[Åtgärdskåd]]</f>
        <v>0,22052030OK7</v>
      </c>
      <c r="I31" s="128" t="str">
        <f>Table14[[#This Row],[Åtgärdskåd]]</f>
        <v>0,42052050OK7</v>
      </c>
      <c r="N31" t="str">
        <f>Table8[[#This Row],[Column1]]</f>
        <v>0,115150PresenningOK7</v>
      </c>
      <c r="O31">
        <f>Table8[[#This Row],[Jobbighetsnivå]]</f>
        <v>30</v>
      </c>
      <c r="P31" s="38">
        <f t="shared" si="0"/>
        <v>30</v>
      </c>
      <c r="R31">
        <v>30</v>
      </c>
      <c r="S31" t="s">
        <v>113</v>
      </c>
    </row>
    <row r="32" spans="1:19" x14ac:dyDescent="0.25">
      <c r="A32" s="5">
        <v>-10</v>
      </c>
      <c r="B32" s="7">
        <v>0</v>
      </c>
      <c r="C32" s="120" t="str">
        <f>Table141719202122[[#This Row],[Åtgärdskåd]]</f>
        <v>Bas+0%205Vindskydd och 20 °C uppvärmning30 mmOK7</v>
      </c>
      <c r="D32" s="6" t="str">
        <f>Table1417192021[[#This Row],[Åtgärdskåd]]</f>
        <v>0,12052050OK7</v>
      </c>
      <c r="E32" s="123" t="str">
        <f>Table14171920[[#This Row],[Åtgärdskåd]]</f>
        <v>0,12052030OK7</v>
      </c>
      <c r="F32" s="6" t="str">
        <f>Table141719[[#This Row],[Åtgärdskåd]]</f>
        <v>0,22052050OK7</v>
      </c>
      <c r="G32" s="123" t="str">
        <f>Table1417[[#This Row],[Åtgärdskåd]]</f>
        <v>0,22052050OK7</v>
      </c>
      <c r="H32" s="6" t="str">
        <f>Table1423[[#This Row],[Åtgärdskåd]]</f>
        <v>0,22052020OK7</v>
      </c>
      <c r="I32" s="126" t="str">
        <f>Table14[[#This Row],[Åtgärdskåd]]</f>
        <v>0,32052050OK7</v>
      </c>
      <c r="N32" t="str">
        <f>Table8[[#This Row],[Column1]]</f>
        <v>0,115100PresenningOK7</v>
      </c>
      <c r="O32">
        <f>Table8[[#This Row],[Jobbighetsnivå]]</f>
        <v>31</v>
      </c>
      <c r="P32" s="38">
        <f t="shared" si="0"/>
        <v>31</v>
      </c>
      <c r="R32">
        <v>31</v>
      </c>
      <c r="S32" t="s">
        <v>114</v>
      </c>
    </row>
    <row r="33" spans="1:19" x14ac:dyDescent="0.25">
      <c r="A33" s="8">
        <v>-10</v>
      </c>
      <c r="B33" s="9">
        <v>2</v>
      </c>
      <c r="C33" s="121" t="str">
        <f>Table141719202122[[#This Row],[Åtgärdskåd]]</f>
        <v>Bas+0%205Vindskydd och 20 °C uppvärmning30 mmOK7</v>
      </c>
      <c r="D33" t="str">
        <f>Table1417192021[[#This Row],[Åtgärdskåd]]</f>
        <v>0,12052050OK7</v>
      </c>
      <c r="E33" s="124" t="str">
        <f>Table14171920[[#This Row],[Åtgärdskåd]]</f>
        <v>0,12052030OK7</v>
      </c>
      <c r="F33" t="str">
        <f>Table141719[[#This Row],[Åtgärdskåd]]</f>
        <v>0,12052030OK7</v>
      </c>
      <c r="G33" s="124" t="str">
        <f>Table1417[[#This Row],[Åtgärdskåd]]</f>
        <v>0,22052050OK7</v>
      </c>
      <c r="H33" t="str">
        <f>Table1423[[#This Row],[Åtgärdskåd]]</f>
        <v>0,22052030OK7</v>
      </c>
      <c r="I33" s="127" t="str">
        <f>Table14[[#This Row],[Åtgärdskåd]]</f>
        <v>0,32052050OK7</v>
      </c>
      <c r="N33" t="str">
        <f>Table8[[#This Row],[Column1]]</f>
        <v>0,12052030OK7</v>
      </c>
      <c r="O33">
        <f>Table8[[#This Row],[Jobbighetsnivå]]</f>
        <v>32</v>
      </c>
      <c r="P33" s="38">
        <f t="shared" si="0"/>
        <v>32</v>
      </c>
      <c r="R33">
        <v>32</v>
      </c>
      <c r="S33" t="s">
        <v>115</v>
      </c>
    </row>
    <row r="34" spans="1:19" x14ac:dyDescent="0.25">
      <c r="A34" s="8">
        <v>-10</v>
      </c>
      <c r="B34" s="9">
        <v>7</v>
      </c>
      <c r="C34" s="121" t="str">
        <f>Table141719202122[[#This Row],[Åtgärdskåd]]</f>
        <v>Bas+0%205Vindskydd och 20 °C uppvärmning50 mmOK7</v>
      </c>
      <c r="D34" t="str">
        <f>Table1417192021[[#This Row],[Åtgärdskåd]]</f>
        <v>Bas+0%2052030OK7</v>
      </c>
      <c r="E34" s="124" t="str">
        <f>Table14171920[[#This Row],[Åtgärdskåd]]</f>
        <v>0,12052050OK7</v>
      </c>
      <c r="F34" t="str">
        <f>Table141719[[#This Row],[Åtgärdskåd]]</f>
        <v>0,12052030OK7</v>
      </c>
      <c r="G34" s="124" t="str">
        <f>Table1417[[#This Row],[Åtgärdskåd]]</f>
        <v>0,22052050OK7</v>
      </c>
      <c r="H34" t="str">
        <f>Table1423[[#This Row],[Åtgärdskåd]]</f>
        <v>0,22052050OK7</v>
      </c>
      <c r="I34" s="127" t="str">
        <f>Table14[[#This Row],[Åtgärdskåd]]</f>
        <v>0,32052050OK7</v>
      </c>
      <c r="N34" t="str">
        <f>Table8[[#This Row],[Column1]]</f>
        <v>0,11552030OK7</v>
      </c>
      <c r="O34">
        <f>Table8[[#This Row],[Jobbighetsnivå]]</f>
        <v>33</v>
      </c>
      <c r="P34" s="38">
        <f t="shared" si="0"/>
        <v>33</v>
      </c>
      <c r="R34">
        <v>33</v>
      </c>
      <c r="S34" t="s">
        <v>116</v>
      </c>
    </row>
    <row r="35" spans="1:19" x14ac:dyDescent="0.25">
      <c r="A35" s="8">
        <v>-10</v>
      </c>
      <c r="B35" s="9">
        <v>12</v>
      </c>
      <c r="C35" s="121" t="str">
        <f>Table141719202122[[#This Row],[Åtgärdskåd]]</f>
        <v>-----Frys innan täck</v>
      </c>
      <c r="D35" t="str">
        <f>Table1417192021[[#This Row],[Åtgärdskåd]]</f>
        <v>-----Frys innan täck</v>
      </c>
      <c r="E35" s="124" t="str">
        <f>Table14171920[[#This Row],[Åtgärdskåd]]</f>
        <v>-----Frys innan täck</v>
      </c>
      <c r="F35" t="str">
        <f>Table141719[[#This Row],[Åtgärdskåd]]</f>
        <v>-----Frys innan täck</v>
      </c>
      <c r="G35" s="124" t="str">
        <f>Table1417[[#This Row],[Åtgärdskåd]]</f>
        <v>-----Frys innan täck</v>
      </c>
      <c r="H35" t="str">
        <f>Table1423[[#This Row],[Åtgärdskåd]]</f>
        <v>-----Frys innan täck</v>
      </c>
      <c r="I35" s="127" t="str">
        <f>Table14[[#This Row],[Åtgärdskåd]]</f>
        <v>-----Frys innan täck</v>
      </c>
      <c r="N35" t="str">
        <f>Table8[[#This Row],[Column1]]</f>
        <v>0,12052050OK7</v>
      </c>
      <c r="O35">
        <f>Table8[[#This Row],[Jobbighetsnivå]]</f>
        <v>34</v>
      </c>
      <c r="P35" s="38">
        <f t="shared" si="0"/>
        <v>34</v>
      </c>
      <c r="R35">
        <v>34</v>
      </c>
      <c r="S35" t="s">
        <v>117</v>
      </c>
    </row>
    <row r="36" spans="1:19" ht="15.75" thickBot="1" x14ac:dyDescent="0.3">
      <c r="A36" s="10">
        <v>-10</v>
      </c>
      <c r="B36" s="12">
        <v>20</v>
      </c>
      <c r="C36" s="122" t="str">
        <f>Table141719202122[[#This Row],[Åtgärdskåd]]</f>
        <v>-----Frys innan täck</v>
      </c>
      <c r="D36" s="11" t="str">
        <f>Table1417192021[[#This Row],[Åtgärdskåd]]</f>
        <v>-----Frys innan täck</v>
      </c>
      <c r="E36" s="125" t="str">
        <f>Table14171920[[#This Row],[Åtgärdskåd]]</f>
        <v>-----Frys innan täck</v>
      </c>
      <c r="F36" s="11" t="str">
        <f>Table141719[[#This Row],[Åtgärdskåd]]</f>
        <v>-----Frys innan täck</v>
      </c>
      <c r="G36" s="125" t="str">
        <f>Table1417[[#This Row],[Åtgärdskåd]]</f>
        <v>-----Frys innan täck</v>
      </c>
      <c r="H36" s="11" t="str">
        <f>Table1423[[#This Row],[Åtgärdskåd]]</f>
        <v>-----Frys innan täck</v>
      </c>
      <c r="I36" s="128" t="str">
        <f>Table14[[#This Row],[Åtgärdskåd]]</f>
        <v>-----Frys innan täck</v>
      </c>
      <c r="N36" t="str">
        <f>Table8[[#This Row],[Column1]]</f>
        <v>0,11552050OK7</v>
      </c>
      <c r="O36">
        <f>Table8[[#This Row],[Jobbighetsnivå]]</f>
        <v>35</v>
      </c>
      <c r="P36" s="38">
        <f t="shared" si="0"/>
        <v>35</v>
      </c>
      <c r="R36">
        <v>35</v>
      </c>
      <c r="S36" t="s">
        <v>118</v>
      </c>
    </row>
    <row r="37" spans="1:19" x14ac:dyDescent="0.25">
      <c r="A37" s="5">
        <v>-15</v>
      </c>
      <c r="B37" s="7">
        <v>0</v>
      </c>
      <c r="C37" s="120" t="str">
        <f>Table141719202122[[#This Row],[Åtgärdskåd]]</f>
        <v>-----Når ej 70%</v>
      </c>
      <c r="D37" s="6" t="str">
        <f>Table1417192021[[#This Row],[Åtgärdskåd]]</f>
        <v>Bas+0%1552050OK7</v>
      </c>
      <c r="E37" s="123" t="str">
        <f>Table14171920[[#This Row],[Åtgärdskåd]]</f>
        <v>Bas+0%1552050OK7</v>
      </c>
      <c r="F37" s="6" t="str">
        <f>Table141719[[#This Row],[Åtgärdskåd]]</f>
        <v>Bas+0%1552030OK7</v>
      </c>
      <c r="G37" s="123" t="str">
        <f>Table1417[[#This Row],[Åtgärdskåd]]</f>
        <v>0,11552050OK7</v>
      </c>
      <c r="H37" s="6" t="str">
        <f>Table1423[[#This Row],[Åtgärdskåd]]</f>
        <v>0,11552050OK7</v>
      </c>
      <c r="I37" s="126" t="str">
        <f>Table14[[#This Row],[Åtgärdskåd]]</f>
        <v>0,11552030OK7</v>
      </c>
      <c r="N37" t="str">
        <f>Table8[[#This Row],[Column1]]</f>
        <v>0,11052050OK7</v>
      </c>
      <c r="O37">
        <f>Table8[[#This Row],[Jobbighetsnivå]]</f>
        <v>36</v>
      </c>
      <c r="P37" s="38">
        <f t="shared" si="0"/>
        <v>36</v>
      </c>
      <c r="R37">
        <v>36</v>
      </c>
      <c r="S37" t="s">
        <v>119</v>
      </c>
    </row>
    <row r="38" spans="1:19" x14ac:dyDescent="0.25">
      <c r="A38" s="8">
        <v>-15</v>
      </c>
      <c r="B38" s="9">
        <v>2</v>
      </c>
      <c r="C38" s="121" t="str">
        <f>Table141719202122[[#This Row],[Åtgärdskåd]]</f>
        <v>-----Når ej 70%</v>
      </c>
      <c r="D38" t="str">
        <f>Table1417192021[[#This Row],[Åtgärdskåd]]</f>
        <v>-----Når ej 70%</v>
      </c>
      <c r="E38" s="124" t="str">
        <f>Table14171920[[#This Row],[Åtgärdskåd]]</f>
        <v>Bas+0%1552050OK7</v>
      </c>
      <c r="F38" t="str">
        <f>Table141719[[#This Row],[Åtgärdskåd]]</f>
        <v>Bas+0%1552050OK7</v>
      </c>
      <c r="G38" s="124" t="str">
        <f>Table1417[[#This Row],[Åtgärdskåd]]</f>
        <v>Bas+0%1552030OK7</v>
      </c>
      <c r="H38" t="str">
        <f>Table1423[[#This Row],[Åtgärdskåd]]</f>
        <v>0,11552050OK7</v>
      </c>
      <c r="I38" s="127" t="str">
        <f>Table14[[#This Row],[Åtgärdskåd]]</f>
        <v>0,11552030OK7</v>
      </c>
      <c r="N38" t="str">
        <f>Table8[[#This Row],[Column1]]</f>
        <v>Bas+0%1510--OK7</v>
      </c>
      <c r="O38">
        <f>Table8[[#This Row],[Jobbighetsnivå]]</f>
        <v>37</v>
      </c>
      <c r="P38" s="38">
        <f t="shared" si="0"/>
        <v>37</v>
      </c>
      <c r="R38">
        <v>37</v>
      </c>
      <c r="S38" t="s">
        <v>120</v>
      </c>
    </row>
    <row r="39" spans="1:19" x14ac:dyDescent="0.25">
      <c r="A39" s="8">
        <v>-15</v>
      </c>
      <c r="B39" s="9">
        <v>7</v>
      </c>
      <c r="C39" s="121" t="str">
        <f>Table141719202122[[#This Row],[Åtgärdskåd]]</f>
        <v>-----Frys innan täck</v>
      </c>
      <c r="D39" t="str">
        <f>Table1417192021[[#This Row],[Åtgärdskåd]]</f>
        <v>-----Frys innan täck</v>
      </c>
      <c r="E39" s="124" t="str">
        <f>Table14171920[[#This Row],[Åtgärdskåd]]</f>
        <v>-----Frys innan täck</v>
      </c>
      <c r="F39" t="str">
        <f>Table141719[[#This Row],[Åtgärdskåd]]</f>
        <v>-----Frys innan täck</v>
      </c>
      <c r="G39" s="124" t="str">
        <f>Table1417[[#This Row],[Åtgärdskåd]]</f>
        <v>-----Frys innan täck</v>
      </c>
      <c r="H39" t="str">
        <f>Table1423[[#This Row],[Åtgärdskåd]]</f>
        <v>-----Frys innan täck</v>
      </c>
      <c r="I39" s="127" t="str">
        <f>Table14[[#This Row],[Åtgärdskåd]]</f>
        <v>-----Frys innan täck</v>
      </c>
      <c r="N39" t="str">
        <f>Table8[[#This Row],[Column1]]</f>
        <v>Bas+0%15100-OK7</v>
      </c>
      <c r="O39">
        <f>Table8[[#This Row],[Jobbighetsnivå]]</f>
        <v>38</v>
      </c>
      <c r="P39" s="38">
        <f t="shared" si="0"/>
        <v>38</v>
      </c>
      <c r="R39">
        <v>38</v>
      </c>
      <c r="S39" t="s">
        <v>121</v>
      </c>
    </row>
    <row r="40" spans="1:19" x14ac:dyDescent="0.25">
      <c r="A40" s="8">
        <v>-15</v>
      </c>
      <c r="B40" s="9">
        <v>12</v>
      </c>
      <c r="C40" s="121" t="str">
        <f>Table141719202122[[#This Row],[Åtgärdskåd]]</f>
        <v>-----Frys innan täck</v>
      </c>
      <c r="D40" t="str">
        <f>Table1417192021[[#This Row],[Åtgärdskåd]]</f>
        <v>-----Frys innan täck</v>
      </c>
      <c r="E40" s="124" t="str">
        <f>Table14171920[[#This Row],[Åtgärdskåd]]</f>
        <v>-----Frys innan täck</v>
      </c>
      <c r="F40" t="str">
        <f>Table141719[[#This Row],[Åtgärdskåd]]</f>
        <v>-----Frys innan täck</v>
      </c>
      <c r="G40" s="124" t="str">
        <f>Table1417[[#This Row],[Åtgärdskåd]]</f>
        <v>-----Frys innan täck</v>
      </c>
      <c r="H40" t="str">
        <f>Table1423[[#This Row],[Åtgärdskåd]]</f>
        <v>-----Frys innan täck</v>
      </c>
      <c r="I40" s="127" t="str">
        <f>Table14[[#This Row],[Åtgärdskåd]]</f>
        <v>-----Frys innan täck</v>
      </c>
      <c r="N40" t="str">
        <f>Table8[[#This Row],[Column1]]</f>
        <v>Bas+0%2052030OK7</v>
      </c>
      <c r="O40">
        <f>Table8[[#This Row],[Jobbighetsnivå]]</f>
        <v>39</v>
      </c>
      <c r="P40" s="38">
        <f t="shared" si="0"/>
        <v>39</v>
      </c>
      <c r="R40">
        <v>39</v>
      </c>
      <c r="S40" t="s">
        <v>122</v>
      </c>
    </row>
    <row r="41" spans="1:19" ht="15.75" thickBot="1" x14ac:dyDescent="0.3">
      <c r="A41" s="10">
        <v>-15</v>
      </c>
      <c r="B41" s="12">
        <v>20</v>
      </c>
      <c r="C41" s="122" t="str">
        <f>Table141719202122[[#This Row],[Åtgärdskåd]]</f>
        <v>-----Frys innan täck</v>
      </c>
      <c r="D41" s="11" t="str">
        <f>Table1417192021[[#This Row],[Åtgärdskåd]]</f>
        <v>-----Frys innan täck</v>
      </c>
      <c r="E41" s="125" t="str">
        <f>Table14171920[[#This Row],[Åtgärdskåd]]</f>
        <v>-----Frys innan täck</v>
      </c>
      <c r="F41" s="11" t="str">
        <f>Table141719[[#This Row],[Åtgärdskåd]]</f>
        <v>-----Frys innan täck</v>
      </c>
      <c r="G41" s="125" t="str">
        <f>Table1417[[#This Row],[Åtgärdskåd]]</f>
        <v>-----Frys innan täck</v>
      </c>
      <c r="H41" s="11" t="str">
        <f>Table1423[[#This Row],[Åtgärdskåd]]</f>
        <v>-----Frys innan täck</v>
      </c>
      <c r="I41" s="128" t="str">
        <f>Table14[[#This Row],[Åtgärdskåd]]</f>
        <v>-----Frys innan täck</v>
      </c>
      <c r="N41" t="str">
        <f>Table8[[#This Row],[Column1]]</f>
        <v>Bas+0%1552030OK7</v>
      </c>
      <c r="O41">
        <f>Table8[[#This Row],[Jobbighetsnivå]]</f>
        <v>40</v>
      </c>
      <c r="P41" s="38">
        <f t="shared" si="0"/>
        <v>40</v>
      </c>
      <c r="R41">
        <v>40</v>
      </c>
      <c r="S41" t="s">
        <v>123</v>
      </c>
    </row>
    <row r="42" spans="1:19" x14ac:dyDescent="0.25">
      <c r="A42" s="8">
        <v>-20</v>
      </c>
      <c r="B42" s="9">
        <v>0</v>
      </c>
      <c r="C42" s="121" t="str">
        <f>Table141719202122[[#This Row],[Åtgärdskåd]]</f>
        <v>-----Når ej 70%</v>
      </c>
      <c r="D42" t="str">
        <f>Table1417192021[[#This Row],[Åtgärdskåd]]</f>
        <v>-----Når ej 70%</v>
      </c>
      <c r="E42" s="124" t="str">
        <f>Table14171920[[#This Row],[Åtgärdskåd]]</f>
        <v>-----Når ej 70%</v>
      </c>
      <c r="F42" t="str">
        <f>Table141719[[#This Row],[Åtgärdskåd]]</f>
        <v>-----Når ej 70%</v>
      </c>
      <c r="G42" s="124" t="str">
        <f>Table1417[[#This Row],[Åtgärdskåd]]</f>
        <v>-----Når ej 70%</v>
      </c>
      <c r="H42" t="str">
        <f>Table1423[[#This Row],[Åtgärdskåd]]</f>
        <v>0,11052050OK7</v>
      </c>
      <c r="I42" s="127" t="str">
        <f>Table14[[#This Row],[Åtgärdskåd]]</f>
        <v>Bas+0%1052050OK7</v>
      </c>
      <c r="N42" t="str">
        <f>Table8[[#This Row],[Column1]]</f>
        <v>Bas+0%2052050OK7</v>
      </c>
      <c r="O42">
        <f>Table8[[#This Row],[Jobbighetsnivå]]</f>
        <v>41</v>
      </c>
      <c r="P42" s="38">
        <f t="shared" si="0"/>
        <v>41</v>
      </c>
      <c r="R42">
        <v>41</v>
      </c>
      <c r="S42" t="s">
        <v>124</v>
      </c>
    </row>
    <row r="43" spans="1:19" x14ac:dyDescent="0.25">
      <c r="A43" s="8">
        <v>-20</v>
      </c>
      <c r="B43" s="9">
        <v>2</v>
      </c>
      <c r="C43" s="121" t="str">
        <f>Table141719202122[[#This Row],[Åtgärdskåd]]</f>
        <v>-----Når ej 70%</v>
      </c>
      <c r="D43" t="str">
        <f>Table1417192021[[#This Row],[Åtgärdskåd]]</f>
        <v>-----Når ej 70%</v>
      </c>
      <c r="E43" s="124" t="str">
        <f>Table14171920[[#This Row],[Åtgärdskåd]]</f>
        <v>-----Når ej 70%</v>
      </c>
      <c r="F43" t="str">
        <f>Table141719[[#This Row],[Åtgärdskåd]]</f>
        <v>-----Når ej 70%</v>
      </c>
      <c r="G43" s="124" t="str">
        <f>Table1417[[#This Row],[Åtgärdskåd]]</f>
        <v>-----Når ej 70%</v>
      </c>
      <c r="H43" t="str">
        <f>Table1423[[#This Row],[Åtgärdskåd]]</f>
        <v>-----Når ej 70%</v>
      </c>
      <c r="I43" s="127" t="str">
        <f>Table14[[#This Row],[Åtgärdskåd]]</f>
        <v>Bas+0%1052050OK7</v>
      </c>
      <c r="N43" t="str">
        <f>Table8[[#This Row],[Column1]]</f>
        <v>Bas+0%1552050OK7</v>
      </c>
      <c r="O43">
        <f>Table8[[#This Row],[Jobbighetsnivå]]</f>
        <v>42</v>
      </c>
      <c r="P43" s="38">
        <f t="shared" si="0"/>
        <v>42</v>
      </c>
      <c r="R43">
        <v>42</v>
      </c>
      <c r="S43" t="s">
        <v>125</v>
      </c>
    </row>
    <row r="44" spans="1:19" x14ac:dyDescent="0.25">
      <c r="A44" s="8">
        <v>-20</v>
      </c>
      <c r="B44" s="9">
        <v>7</v>
      </c>
      <c r="C44" s="121" t="str">
        <f>Table141719202122[[#This Row],[Åtgärdskåd]]</f>
        <v>-----Frys innan täck</v>
      </c>
      <c r="D44" t="str">
        <f>Table1417192021[[#This Row],[Åtgärdskåd]]</f>
        <v>-----Frys innan täck</v>
      </c>
      <c r="E44" s="124" t="str">
        <f>Table14171920[[#This Row],[Åtgärdskåd]]</f>
        <v>-----Frys innan täck</v>
      </c>
      <c r="F44" t="str">
        <f>Table141719[[#This Row],[Åtgärdskåd]]</f>
        <v>-----Frys innan täck</v>
      </c>
      <c r="G44" s="124" t="str">
        <f>Table1417[[#This Row],[Åtgärdskåd]]</f>
        <v>-----Frys innan täck</v>
      </c>
      <c r="H44" t="str">
        <f>Table1423[[#This Row],[Åtgärdskåd]]</f>
        <v>-----Frys innan täck</v>
      </c>
      <c r="I44" s="127" t="str">
        <f>Table14[[#This Row],[Åtgärdskåd]]</f>
        <v>-----Frys innan täck</v>
      </c>
      <c r="N44" t="str">
        <f>Table8[[#This Row],[Column1]]</f>
        <v>Bas+0%1052050OK7</v>
      </c>
      <c r="O44">
        <f>Table8[[#This Row],[Jobbighetsnivå]]</f>
        <v>43</v>
      </c>
      <c r="P44" s="38">
        <f t="shared" si="0"/>
        <v>43</v>
      </c>
      <c r="R44">
        <v>43</v>
      </c>
      <c r="S44" t="s">
        <v>126</v>
      </c>
    </row>
    <row r="45" spans="1:19" x14ac:dyDescent="0.25">
      <c r="A45" s="8">
        <v>-20</v>
      </c>
      <c r="B45" s="9">
        <v>12</v>
      </c>
      <c r="C45" s="121" t="str">
        <f>Table141719202122[[#This Row],[Åtgärdskåd]]</f>
        <v>-----Frys innan täck</v>
      </c>
      <c r="D45" t="str">
        <f>Table1417192021[[#This Row],[Åtgärdskåd]]</f>
        <v>-----Frys innan täck</v>
      </c>
      <c r="E45" s="124" t="str">
        <f>Table14171920[[#This Row],[Åtgärdskåd]]</f>
        <v>-----Frys innan täck</v>
      </c>
      <c r="F45" t="str">
        <f>Table141719[[#This Row],[Åtgärdskåd]]</f>
        <v>-----Frys innan täck</v>
      </c>
      <c r="G45" s="124" t="str">
        <f>Table1417[[#This Row],[Åtgärdskåd]]</f>
        <v>-----Frys innan täck</v>
      </c>
      <c r="H45" t="str">
        <f>Table1423[[#This Row],[Åtgärdskåd]]</f>
        <v>-----Frys innan täck</v>
      </c>
      <c r="I45" s="127" t="str">
        <f>Table14[[#This Row],[Åtgärdskåd]]</f>
        <v>-----Frys innan täck</v>
      </c>
      <c r="N45" t="str">
        <f>Table8[[#This Row],[Column1]]</f>
        <v>-----Når ej 70%</v>
      </c>
      <c r="O45">
        <f>Table8[[#This Row],[Jobbighetsnivå]]</f>
        <v>44</v>
      </c>
      <c r="P45" s="38">
        <f t="shared" si="0"/>
        <v>44</v>
      </c>
      <c r="R45">
        <v>44</v>
      </c>
      <c r="S45" t="s">
        <v>127</v>
      </c>
    </row>
    <row r="46" spans="1:19" ht="15.75" thickBot="1" x14ac:dyDescent="0.3">
      <c r="A46" s="10">
        <v>-20</v>
      </c>
      <c r="B46" s="12">
        <v>20</v>
      </c>
      <c r="C46" s="122" t="str">
        <f>Table141719202122[[#This Row],[Åtgärdskåd]]</f>
        <v>-----Frys innan täck</v>
      </c>
      <c r="D46" s="11" t="str">
        <f>Table1417192021[[#This Row],[Åtgärdskåd]]</f>
        <v>-----Frys innan täck</v>
      </c>
      <c r="E46" s="125" t="str">
        <f>Table14171920[[#This Row],[Åtgärdskåd]]</f>
        <v>-----Frys innan täck</v>
      </c>
      <c r="F46" s="11" t="str">
        <f>Table141719[[#This Row],[Åtgärdskåd]]</f>
        <v>-----Frys innan täck</v>
      </c>
      <c r="G46" s="125" t="str">
        <f>Table1417[[#This Row],[Åtgärdskåd]]</f>
        <v>-----Frys innan täck</v>
      </c>
      <c r="H46" s="11" t="str">
        <f>Table1423[[#This Row],[Åtgärdskåd]]</f>
        <v>-----Frys innan täck</v>
      </c>
      <c r="I46" s="128" t="str">
        <f>Table14[[#This Row],[Åtgärdskåd]]</f>
        <v>-----Frys innan täck</v>
      </c>
      <c r="N46" t="str">
        <f>Table8[[#This Row],[Column1]]</f>
        <v>-----Frys innan täck</v>
      </c>
      <c r="O46">
        <f>Table8[[#This Row],[Jobbighetsnivå]]</f>
        <v>45</v>
      </c>
      <c r="P46" s="38">
        <f t="shared" si="0"/>
        <v>45</v>
      </c>
      <c r="R46">
        <v>45</v>
      </c>
      <c r="S46" t="s">
        <v>128</v>
      </c>
    </row>
    <row r="47" spans="1:19" x14ac:dyDescent="0.25">
      <c r="K47" s="26">
        <v>20</v>
      </c>
      <c r="L47" s="27">
        <v>0</v>
      </c>
      <c r="M47" s="103" t="str">
        <f>Table6[[#Headers],[C20/25]]</f>
        <v>C20/25</v>
      </c>
      <c r="N47" t="str">
        <f t="shared" ref="N47:N91" si="1">C2</f>
        <v>0,315 °C20 °CVindskyddPresenningOK7</v>
      </c>
      <c r="P47" s="38">
        <f t="shared" si="0"/>
        <v>46</v>
      </c>
      <c r="R47">
        <f t="shared" ref="R47:R110" si="2">MATCH(N47, _xlfn.UNIQUE($N$47:$N$361), 0)</f>
        <v>1</v>
      </c>
    </row>
    <row r="48" spans="1:19" x14ac:dyDescent="0.25">
      <c r="K48" s="28">
        <v>20</v>
      </c>
      <c r="L48" s="4">
        <v>2</v>
      </c>
      <c r="N48" t="str">
        <f t="shared" si="1"/>
        <v>0,215 °C20 °C--OK7</v>
      </c>
      <c r="P48" s="38">
        <f t="shared" si="0"/>
        <v>47</v>
      </c>
      <c r="R48">
        <f t="shared" si="2"/>
        <v>2</v>
      </c>
    </row>
    <row r="49" spans="11:18" x14ac:dyDescent="0.25">
      <c r="K49" s="29">
        <v>20</v>
      </c>
      <c r="L49" s="3">
        <v>7</v>
      </c>
      <c r="M49" s="37"/>
      <c r="N49" t="str">
        <f t="shared" si="1"/>
        <v>0,215 °C20 °C--OK7</v>
      </c>
      <c r="P49" s="38">
        <f t="shared" si="0"/>
        <v>47</v>
      </c>
      <c r="R49">
        <f t="shared" si="2"/>
        <v>2</v>
      </c>
    </row>
    <row r="50" spans="11:18" x14ac:dyDescent="0.25">
      <c r="K50" s="28">
        <v>20</v>
      </c>
      <c r="L50" s="4">
        <v>12</v>
      </c>
      <c r="N50" t="str">
        <f t="shared" si="1"/>
        <v>0,215 °C20 °C--OK7</v>
      </c>
      <c r="P50" s="38">
        <f t="shared" si="0"/>
        <v>47</v>
      </c>
      <c r="R50">
        <f t="shared" si="2"/>
        <v>2</v>
      </c>
    </row>
    <row r="51" spans="11:18" ht="15.75" thickBot="1" x14ac:dyDescent="0.3">
      <c r="K51" s="30">
        <v>20</v>
      </c>
      <c r="L51" s="31">
        <v>20</v>
      </c>
      <c r="M51" s="37"/>
      <c r="N51" t="str">
        <f t="shared" si="1"/>
        <v>0,215 °C20 °C--OK7</v>
      </c>
      <c r="P51" s="38">
        <f t="shared" si="0"/>
        <v>47</v>
      </c>
      <c r="R51">
        <f t="shared" si="2"/>
        <v>2</v>
      </c>
    </row>
    <row r="52" spans="11:18" x14ac:dyDescent="0.25">
      <c r="K52" s="32">
        <v>15</v>
      </c>
      <c r="L52" s="33">
        <v>0</v>
      </c>
      <c r="N52" t="str">
        <f t="shared" si="1"/>
        <v>0,115 °C20 °C--OK7</v>
      </c>
      <c r="P52" s="38">
        <f t="shared" si="0"/>
        <v>48</v>
      </c>
      <c r="R52">
        <f t="shared" si="2"/>
        <v>3</v>
      </c>
    </row>
    <row r="53" spans="11:18" x14ac:dyDescent="0.25">
      <c r="K53" s="29">
        <v>15</v>
      </c>
      <c r="L53" s="3">
        <v>2</v>
      </c>
      <c r="M53" s="37"/>
      <c r="N53" t="str">
        <f t="shared" si="1"/>
        <v>0,115 °C20 °CVindskydd-OK7</v>
      </c>
      <c r="P53" s="38">
        <f t="shared" si="0"/>
        <v>49</v>
      </c>
      <c r="R53">
        <f t="shared" si="2"/>
        <v>4</v>
      </c>
    </row>
    <row r="54" spans="11:18" x14ac:dyDescent="0.25">
      <c r="K54" s="28">
        <v>15</v>
      </c>
      <c r="L54" s="4">
        <v>7</v>
      </c>
      <c r="N54" t="str">
        <f t="shared" si="1"/>
        <v>0,115 °C20 °CVindskydd-OK7</v>
      </c>
      <c r="P54" s="38">
        <f t="shared" si="0"/>
        <v>49</v>
      </c>
      <c r="R54">
        <f t="shared" si="2"/>
        <v>4</v>
      </c>
    </row>
    <row r="55" spans="11:18" x14ac:dyDescent="0.25">
      <c r="K55" s="29">
        <v>15</v>
      </c>
      <c r="L55" s="3">
        <v>12</v>
      </c>
      <c r="M55" s="37"/>
      <c r="N55" t="str">
        <f t="shared" si="1"/>
        <v>0,115 °C20 °CVindskyddPresenningOK7</v>
      </c>
      <c r="P55" s="38">
        <f t="shared" si="0"/>
        <v>50</v>
      </c>
      <c r="R55">
        <f t="shared" si="2"/>
        <v>5</v>
      </c>
    </row>
    <row r="56" spans="11:18" ht="15.75" thickBot="1" x14ac:dyDescent="0.3">
      <c r="K56" s="34">
        <v>15</v>
      </c>
      <c r="L56" s="35">
        <v>20</v>
      </c>
      <c r="N56" t="str">
        <f t="shared" si="1"/>
        <v>0,115 °C20 °CVindskyddPresenningOK7</v>
      </c>
      <c r="P56" s="38">
        <f t="shared" si="0"/>
        <v>50</v>
      </c>
      <c r="R56">
        <f t="shared" si="2"/>
        <v>5</v>
      </c>
    </row>
    <row r="57" spans="11:18" x14ac:dyDescent="0.25">
      <c r="K57" s="26">
        <v>10</v>
      </c>
      <c r="L57" s="27">
        <v>0</v>
      </c>
      <c r="M57" s="37"/>
      <c r="N57" t="str">
        <f t="shared" si="1"/>
        <v>Bas+0%15 °C20 °C--OK7</v>
      </c>
      <c r="P57" s="38">
        <f t="shared" si="0"/>
        <v>51</v>
      </c>
      <c r="R57">
        <f t="shared" si="2"/>
        <v>6</v>
      </c>
    </row>
    <row r="58" spans="11:18" x14ac:dyDescent="0.25">
      <c r="K58" s="28">
        <v>10</v>
      </c>
      <c r="L58" s="4">
        <v>2</v>
      </c>
      <c r="N58" t="str">
        <f t="shared" si="1"/>
        <v>Bas+0%15 °C20 °CVindskydd-OK7</v>
      </c>
      <c r="P58" s="38">
        <f t="shared" si="0"/>
        <v>52</v>
      </c>
      <c r="R58">
        <f t="shared" si="2"/>
        <v>7</v>
      </c>
    </row>
    <row r="59" spans="11:18" x14ac:dyDescent="0.25">
      <c r="K59" s="29">
        <v>10</v>
      </c>
      <c r="L59" s="3">
        <v>7</v>
      </c>
      <c r="M59" s="37"/>
      <c r="N59" t="str">
        <f t="shared" si="1"/>
        <v>-----Når ej 70%</v>
      </c>
      <c r="P59" s="38">
        <f t="shared" si="0"/>
        <v>44</v>
      </c>
      <c r="R59">
        <f t="shared" si="2"/>
        <v>8</v>
      </c>
    </row>
    <row r="60" spans="11:18" x14ac:dyDescent="0.25">
      <c r="K60" s="28">
        <v>10</v>
      </c>
      <c r="L60" s="4">
        <v>12</v>
      </c>
      <c r="N60" t="str">
        <f t="shared" si="1"/>
        <v>-----Når ej 70%</v>
      </c>
      <c r="P60" s="38">
        <f t="shared" si="0"/>
        <v>44</v>
      </c>
      <c r="R60">
        <f t="shared" si="2"/>
        <v>8</v>
      </c>
    </row>
    <row r="61" spans="11:18" ht="15.75" thickBot="1" x14ac:dyDescent="0.3">
      <c r="K61" s="30">
        <v>10</v>
      </c>
      <c r="L61" s="31">
        <v>20</v>
      </c>
      <c r="M61" s="37"/>
      <c r="N61" t="str">
        <f t="shared" si="1"/>
        <v>-----Når ej 70%</v>
      </c>
      <c r="P61" s="38">
        <f t="shared" si="0"/>
        <v>44</v>
      </c>
      <c r="R61">
        <f t="shared" si="2"/>
        <v>8</v>
      </c>
    </row>
    <row r="62" spans="11:18" x14ac:dyDescent="0.25">
      <c r="K62" s="32">
        <v>5</v>
      </c>
      <c r="L62" s="33">
        <v>0</v>
      </c>
      <c r="N62" t="str">
        <f t="shared" si="1"/>
        <v>0,4205Vindskydd och 20 °C uppvärmning30 mmOK7</v>
      </c>
      <c r="P62" s="38">
        <f t="shared" si="0"/>
        <v>53</v>
      </c>
      <c r="R62">
        <f t="shared" si="2"/>
        <v>9</v>
      </c>
    </row>
    <row r="63" spans="11:18" x14ac:dyDescent="0.25">
      <c r="K63" s="29">
        <v>5</v>
      </c>
      <c r="L63" s="3">
        <v>2</v>
      </c>
      <c r="M63" s="37"/>
      <c r="N63" t="str">
        <f t="shared" si="1"/>
        <v>0,4205Vindskydd och 20 °C uppvärmning30 mmOK7</v>
      </c>
      <c r="P63" s="38">
        <f t="shared" si="0"/>
        <v>53</v>
      </c>
      <c r="R63">
        <f t="shared" si="2"/>
        <v>9</v>
      </c>
    </row>
    <row r="64" spans="11:18" x14ac:dyDescent="0.25">
      <c r="K64" s="28">
        <v>5</v>
      </c>
      <c r="L64" s="4">
        <v>7</v>
      </c>
      <c r="N64" t="str">
        <f t="shared" si="1"/>
        <v>0,4205Vindskydd och 20 °C uppvärmning50 mmOK7</v>
      </c>
      <c r="P64" s="38">
        <f t="shared" si="0"/>
        <v>54</v>
      </c>
      <c r="R64">
        <f t="shared" si="2"/>
        <v>10</v>
      </c>
    </row>
    <row r="65" spans="11:18" x14ac:dyDescent="0.25">
      <c r="K65" s="29">
        <v>5</v>
      </c>
      <c r="L65" s="3">
        <v>12</v>
      </c>
      <c r="M65" s="37"/>
      <c r="N65" t="str">
        <f t="shared" si="1"/>
        <v>0,4205Vindskydd och 20 °C uppvärmning50 mmOK7</v>
      </c>
      <c r="P65" s="38">
        <f t="shared" si="0"/>
        <v>54</v>
      </c>
      <c r="R65">
        <f t="shared" si="2"/>
        <v>10</v>
      </c>
    </row>
    <row r="66" spans="11:18" ht="15.75" thickBot="1" x14ac:dyDescent="0.3">
      <c r="K66" s="34">
        <v>5</v>
      </c>
      <c r="L66" s="35">
        <v>20</v>
      </c>
      <c r="N66" t="str">
        <f t="shared" si="1"/>
        <v>0,4205Vindskydd och 20 °C uppvärmning50 mmOK7</v>
      </c>
      <c r="P66" s="38">
        <f t="shared" ref="P66:P129" si="3">MATCH(N66, _xlfn.UNIQUE($N$2:$N$361), 0)</f>
        <v>54</v>
      </c>
      <c r="R66">
        <f t="shared" si="2"/>
        <v>10</v>
      </c>
    </row>
    <row r="67" spans="11:18" x14ac:dyDescent="0.25">
      <c r="K67" s="26">
        <v>0</v>
      </c>
      <c r="L67" s="27">
        <v>0</v>
      </c>
      <c r="M67" s="37"/>
      <c r="N67" t="str">
        <f t="shared" si="1"/>
        <v>0,3205Vindskydd och 20 °C uppvärmning50 mmOK7</v>
      </c>
      <c r="P67" s="38">
        <f t="shared" si="3"/>
        <v>55</v>
      </c>
      <c r="R67">
        <f t="shared" si="2"/>
        <v>11</v>
      </c>
    </row>
    <row r="68" spans="11:18" x14ac:dyDescent="0.25">
      <c r="K68" s="28">
        <v>0</v>
      </c>
      <c r="L68" s="4">
        <v>2</v>
      </c>
      <c r="N68" t="str">
        <f t="shared" si="1"/>
        <v>0,3205Vindskydd och 20 °C uppvärmning50 mmOK7</v>
      </c>
      <c r="P68" s="38">
        <f t="shared" si="3"/>
        <v>55</v>
      </c>
      <c r="R68">
        <f t="shared" si="2"/>
        <v>11</v>
      </c>
    </row>
    <row r="69" spans="11:18" x14ac:dyDescent="0.25">
      <c r="K69" s="29">
        <v>0</v>
      </c>
      <c r="L69" s="3">
        <v>7</v>
      </c>
      <c r="M69" s="37"/>
      <c r="N69" t="str">
        <f t="shared" si="1"/>
        <v>0,2205Vindskydd och 20 °C uppvärmning50 mmOK7</v>
      </c>
      <c r="P69" s="38">
        <f t="shared" si="3"/>
        <v>56</v>
      </c>
      <c r="R69">
        <f t="shared" si="2"/>
        <v>12</v>
      </c>
    </row>
    <row r="70" spans="11:18" x14ac:dyDescent="0.25">
      <c r="K70" s="28">
        <v>0</v>
      </c>
      <c r="L70" s="4">
        <v>12</v>
      </c>
      <c r="N70" t="str">
        <f t="shared" si="1"/>
        <v>0,2205Vindskydd och 20 °C uppvärmning50 mmOK7</v>
      </c>
      <c r="P70" s="38">
        <f t="shared" si="3"/>
        <v>56</v>
      </c>
      <c r="R70">
        <f t="shared" si="2"/>
        <v>12</v>
      </c>
    </row>
    <row r="71" spans="11:18" ht="15.75" thickBot="1" x14ac:dyDescent="0.3">
      <c r="K71" s="30">
        <v>0</v>
      </c>
      <c r="L71" s="31">
        <v>20</v>
      </c>
      <c r="M71" s="37"/>
      <c r="N71" t="str">
        <f t="shared" si="1"/>
        <v>0,2205Vindskydd och 20 °C uppvärmning50 mmOK7</v>
      </c>
      <c r="P71" s="38">
        <f t="shared" si="3"/>
        <v>56</v>
      </c>
      <c r="R71">
        <f t="shared" si="2"/>
        <v>12</v>
      </c>
    </row>
    <row r="72" spans="11:18" x14ac:dyDescent="0.25">
      <c r="K72" s="32">
        <v>-5</v>
      </c>
      <c r="L72" s="33">
        <v>0</v>
      </c>
      <c r="N72" t="str">
        <f t="shared" si="1"/>
        <v>0,1205Vindskydd och 20 °C uppvärmning30 mmOK7</v>
      </c>
      <c r="P72" s="38">
        <f t="shared" si="3"/>
        <v>57</v>
      </c>
      <c r="R72">
        <f t="shared" si="2"/>
        <v>13</v>
      </c>
    </row>
    <row r="73" spans="11:18" x14ac:dyDescent="0.25">
      <c r="K73" s="29">
        <v>-5</v>
      </c>
      <c r="L73" s="3">
        <v>2</v>
      </c>
      <c r="M73" s="37"/>
      <c r="N73" t="str">
        <f t="shared" si="1"/>
        <v>0,1205Vindskydd och 20 °C uppvärmning30 mmOK7</v>
      </c>
      <c r="P73" s="38">
        <f t="shared" si="3"/>
        <v>57</v>
      </c>
      <c r="R73">
        <f t="shared" si="2"/>
        <v>13</v>
      </c>
    </row>
    <row r="74" spans="11:18" x14ac:dyDescent="0.25">
      <c r="K74" s="28">
        <v>-5</v>
      </c>
      <c r="L74" s="4">
        <v>7</v>
      </c>
      <c r="N74" t="str">
        <f t="shared" si="1"/>
        <v>0,1205Vindskydd och 20 °C uppvärmning50 mmOK7</v>
      </c>
      <c r="P74" s="38">
        <f t="shared" si="3"/>
        <v>58</v>
      </c>
      <c r="R74">
        <f t="shared" si="2"/>
        <v>14</v>
      </c>
    </row>
    <row r="75" spans="11:18" x14ac:dyDescent="0.25">
      <c r="K75" s="29">
        <v>-5</v>
      </c>
      <c r="L75" s="3">
        <v>12</v>
      </c>
      <c r="M75" s="37"/>
      <c r="N75" t="str">
        <f t="shared" si="1"/>
        <v>0,1205Vindskydd och 20 °C uppvärmning50 mmOK7</v>
      </c>
      <c r="P75" s="38">
        <f t="shared" si="3"/>
        <v>58</v>
      </c>
      <c r="R75">
        <f t="shared" si="2"/>
        <v>14</v>
      </c>
    </row>
    <row r="76" spans="11:18" ht="15.75" thickBot="1" x14ac:dyDescent="0.3">
      <c r="K76" s="34">
        <v>-5</v>
      </c>
      <c r="L76" s="35">
        <v>20</v>
      </c>
      <c r="N76" t="str">
        <f t="shared" si="1"/>
        <v>0,1205Vindskydd och 20 °C uppvärmning50 mmOK7</v>
      </c>
      <c r="P76" s="38">
        <f t="shared" si="3"/>
        <v>58</v>
      </c>
      <c r="R76">
        <f t="shared" si="2"/>
        <v>14</v>
      </c>
    </row>
    <row r="77" spans="11:18" x14ac:dyDescent="0.25">
      <c r="K77" s="26">
        <v>-10</v>
      </c>
      <c r="L77" s="27">
        <v>0</v>
      </c>
      <c r="M77" s="37"/>
      <c r="N77" t="str">
        <f t="shared" si="1"/>
        <v>Bas+0%205Vindskydd och 20 °C uppvärmning30 mmOK7</v>
      </c>
      <c r="P77" s="38">
        <f t="shared" si="3"/>
        <v>59</v>
      </c>
      <c r="R77">
        <f t="shared" si="2"/>
        <v>15</v>
      </c>
    </row>
    <row r="78" spans="11:18" x14ac:dyDescent="0.25">
      <c r="K78" s="28">
        <v>-10</v>
      </c>
      <c r="L78" s="4">
        <v>2</v>
      </c>
      <c r="N78" t="str">
        <f t="shared" si="1"/>
        <v>Bas+0%205Vindskydd och 20 °C uppvärmning30 mmOK7</v>
      </c>
      <c r="P78" s="38">
        <f t="shared" si="3"/>
        <v>59</v>
      </c>
      <c r="R78">
        <f t="shared" si="2"/>
        <v>15</v>
      </c>
    </row>
    <row r="79" spans="11:18" x14ac:dyDescent="0.25">
      <c r="K79" s="29">
        <v>-10</v>
      </c>
      <c r="L79" s="3">
        <v>7</v>
      </c>
      <c r="M79" s="37"/>
      <c r="N79" t="str">
        <f t="shared" si="1"/>
        <v>Bas+0%205Vindskydd och 20 °C uppvärmning50 mmOK7</v>
      </c>
      <c r="P79" s="38">
        <f t="shared" si="3"/>
        <v>60</v>
      </c>
      <c r="R79">
        <f t="shared" si="2"/>
        <v>16</v>
      </c>
    </row>
    <row r="80" spans="11:18" x14ac:dyDescent="0.25">
      <c r="K80" s="28">
        <v>-10</v>
      </c>
      <c r="L80" s="4">
        <v>12</v>
      </c>
      <c r="N80" t="str">
        <f t="shared" si="1"/>
        <v>-----Frys innan täck</v>
      </c>
      <c r="P80" s="38">
        <f t="shared" si="3"/>
        <v>45</v>
      </c>
      <c r="R80">
        <f t="shared" si="2"/>
        <v>17</v>
      </c>
    </row>
    <row r="81" spans="11:18" ht="15.75" thickBot="1" x14ac:dyDescent="0.3">
      <c r="K81" s="30">
        <v>-10</v>
      </c>
      <c r="L81" s="31">
        <v>20</v>
      </c>
      <c r="M81" s="37"/>
      <c r="N81" t="str">
        <f t="shared" si="1"/>
        <v>-----Frys innan täck</v>
      </c>
      <c r="P81" s="38">
        <f t="shared" si="3"/>
        <v>45</v>
      </c>
      <c r="R81">
        <f t="shared" si="2"/>
        <v>17</v>
      </c>
    </row>
    <row r="82" spans="11:18" x14ac:dyDescent="0.25">
      <c r="K82" s="32">
        <v>-15</v>
      </c>
      <c r="L82" s="33">
        <v>0</v>
      </c>
      <c r="N82" t="str">
        <f t="shared" si="1"/>
        <v>-----Når ej 70%</v>
      </c>
      <c r="P82" s="38">
        <f t="shared" si="3"/>
        <v>44</v>
      </c>
      <c r="R82">
        <f t="shared" si="2"/>
        <v>8</v>
      </c>
    </row>
    <row r="83" spans="11:18" x14ac:dyDescent="0.25">
      <c r="K83" s="29">
        <v>-15</v>
      </c>
      <c r="L83" s="3">
        <v>2</v>
      </c>
      <c r="M83" s="37"/>
      <c r="N83" t="str">
        <f t="shared" si="1"/>
        <v>-----Når ej 70%</v>
      </c>
      <c r="P83" s="38">
        <f t="shared" si="3"/>
        <v>44</v>
      </c>
      <c r="R83">
        <f t="shared" si="2"/>
        <v>8</v>
      </c>
    </row>
    <row r="84" spans="11:18" x14ac:dyDescent="0.25">
      <c r="K84" s="28">
        <v>-15</v>
      </c>
      <c r="L84" s="4">
        <v>7</v>
      </c>
      <c r="N84" t="str">
        <f t="shared" si="1"/>
        <v>-----Frys innan täck</v>
      </c>
      <c r="P84" s="38">
        <f t="shared" si="3"/>
        <v>45</v>
      </c>
      <c r="R84">
        <f t="shared" si="2"/>
        <v>17</v>
      </c>
    </row>
    <row r="85" spans="11:18" x14ac:dyDescent="0.25">
      <c r="K85" s="29">
        <v>-15</v>
      </c>
      <c r="L85" s="3">
        <v>12</v>
      </c>
      <c r="M85" s="37"/>
      <c r="N85" t="str">
        <f t="shared" si="1"/>
        <v>-----Frys innan täck</v>
      </c>
      <c r="P85" s="38">
        <f t="shared" si="3"/>
        <v>45</v>
      </c>
      <c r="R85">
        <f t="shared" si="2"/>
        <v>17</v>
      </c>
    </row>
    <row r="86" spans="11:18" ht="15.75" thickBot="1" x14ac:dyDescent="0.3">
      <c r="K86" s="34">
        <v>-15</v>
      </c>
      <c r="L86" s="35">
        <v>20</v>
      </c>
      <c r="N86" t="str">
        <f t="shared" si="1"/>
        <v>-----Frys innan täck</v>
      </c>
      <c r="P86" s="38">
        <f t="shared" si="3"/>
        <v>45</v>
      </c>
      <c r="R86">
        <f t="shared" si="2"/>
        <v>17</v>
      </c>
    </row>
    <row r="87" spans="11:18" x14ac:dyDescent="0.25">
      <c r="K87" s="26">
        <v>-20</v>
      </c>
      <c r="L87" s="27">
        <v>0</v>
      </c>
      <c r="M87" s="37"/>
      <c r="N87" t="str">
        <f t="shared" si="1"/>
        <v>-----Når ej 70%</v>
      </c>
      <c r="P87" s="38">
        <f t="shared" si="3"/>
        <v>44</v>
      </c>
      <c r="R87">
        <f t="shared" si="2"/>
        <v>8</v>
      </c>
    </row>
    <row r="88" spans="11:18" x14ac:dyDescent="0.25">
      <c r="K88" s="28">
        <v>-20</v>
      </c>
      <c r="L88" s="4">
        <v>2</v>
      </c>
      <c r="N88" t="str">
        <f t="shared" si="1"/>
        <v>-----Når ej 70%</v>
      </c>
      <c r="P88" s="38">
        <f t="shared" si="3"/>
        <v>44</v>
      </c>
      <c r="R88">
        <f t="shared" si="2"/>
        <v>8</v>
      </c>
    </row>
    <row r="89" spans="11:18" x14ac:dyDescent="0.25">
      <c r="K89" s="29">
        <v>-20</v>
      </c>
      <c r="L89" s="3">
        <v>7</v>
      </c>
      <c r="M89" s="37"/>
      <c r="N89" t="str">
        <f t="shared" si="1"/>
        <v>-----Frys innan täck</v>
      </c>
      <c r="P89" s="38">
        <f t="shared" si="3"/>
        <v>45</v>
      </c>
      <c r="R89">
        <f t="shared" si="2"/>
        <v>17</v>
      </c>
    </row>
    <row r="90" spans="11:18" x14ac:dyDescent="0.25">
      <c r="K90" s="28">
        <v>-20</v>
      </c>
      <c r="L90" s="4">
        <v>12</v>
      </c>
      <c r="N90" t="str">
        <f t="shared" si="1"/>
        <v>-----Frys innan täck</v>
      </c>
      <c r="P90" s="38">
        <f t="shared" si="3"/>
        <v>45</v>
      </c>
      <c r="R90">
        <f t="shared" si="2"/>
        <v>17</v>
      </c>
    </row>
    <row r="91" spans="11:18" ht="15.75" thickBot="1" x14ac:dyDescent="0.3">
      <c r="K91" s="129">
        <v>-20</v>
      </c>
      <c r="L91" s="130">
        <v>20</v>
      </c>
      <c r="M91" s="37"/>
      <c r="N91" t="str">
        <f t="shared" si="1"/>
        <v>-----Frys innan täck</v>
      </c>
      <c r="P91" s="38">
        <f t="shared" si="3"/>
        <v>45</v>
      </c>
      <c r="R91">
        <f t="shared" si="2"/>
        <v>17</v>
      </c>
    </row>
    <row r="92" spans="11:18" x14ac:dyDescent="0.25">
      <c r="K92" s="132">
        <v>20</v>
      </c>
      <c r="L92" s="133">
        <v>0</v>
      </c>
      <c r="M92" s="6" t="s">
        <v>17</v>
      </c>
      <c r="N92" s="6" t="str">
        <f t="shared" ref="N92:N136" si="4">D2</f>
        <v>0,415200PresenningOK7</v>
      </c>
      <c r="O92" s="6"/>
      <c r="P92" s="38">
        <f t="shared" si="3"/>
        <v>4</v>
      </c>
      <c r="R92">
        <f t="shared" si="2"/>
        <v>18</v>
      </c>
    </row>
    <row r="93" spans="11:18" x14ac:dyDescent="0.25">
      <c r="K93" s="8">
        <v>20</v>
      </c>
      <c r="L93">
        <v>2</v>
      </c>
      <c r="N93" t="str">
        <f t="shared" si="4"/>
        <v>0,31520--OK7</v>
      </c>
      <c r="P93" s="38">
        <f t="shared" si="3"/>
        <v>11</v>
      </c>
      <c r="R93">
        <f t="shared" si="2"/>
        <v>19</v>
      </c>
    </row>
    <row r="94" spans="11:18" x14ac:dyDescent="0.25">
      <c r="K94" s="134">
        <v>20</v>
      </c>
      <c r="L94" s="37">
        <v>7</v>
      </c>
      <c r="M94" s="37"/>
      <c r="N94" t="str">
        <f t="shared" si="4"/>
        <v>0,31520--OK7</v>
      </c>
      <c r="P94" s="38">
        <f t="shared" si="3"/>
        <v>11</v>
      </c>
      <c r="R94">
        <f t="shared" si="2"/>
        <v>19</v>
      </c>
    </row>
    <row r="95" spans="11:18" x14ac:dyDescent="0.25">
      <c r="K95" s="8">
        <v>20</v>
      </c>
      <c r="L95">
        <v>12</v>
      </c>
      <c r="N95" t="str">
        <f t="shared" si="4"/>
        <v>0,31520--OK7</v>
      </c>
      <c r="P95" s="38">
        <f t="shared" si="3"/>
        <v>11</v>
      </c>
      <c r="R95">
        <f t="shared" si="2"/>
        <v>19</v>
      </c>
    </row>
    <row r="96" spans="11:18" x14ac:dyDescent="0.25">
      <c r="K96" s="134">
        <v>20</v>
      </c>
      <c r="L96" s="37">
        <v>20</v>
      </c>
      <c r="M96" s="37"/>
      <c r="N96" t="str">
        <f t="shared" si="4"/>
        <v>0,31520--OK7</v>
      </c>
      <c r="P96" s="38">
        <f t="shared" si="3"/>
        <v>11</v>
      </c>
      <c r="R96">
        <f t="shared" si="2"/>
        <v>19</v>
      </c>
    </row>
    <row r="97" spans="11:18" x14ac:dyDescent="0.25">
      <c r="K97" s="8">
        <v>15</v>
      </c>
      <c r="L97">
        <v>0</v>
      </c>
      <c r="N97" t="str">
        <f t="shared" si="4"/>
        <v>0,11515--OK7</v>
      </c>
      <c r="P97" s="38">
        <f t="shared" si="3"/>
        <v>27</v>
      </c>
      <c r="R97">
        <f t="shared" si="2"/>
        <v>20</v>
      </c>
    </row>
    <row r="98" spans="11:18" x14ac:dyDescent="0.25">
      <c r="K98" s="134">
        <v>15</v>
      </c>
      <c r="L98" s="37">
        <v>2</v>
      </c>
      <c r="M98" s="37"/>
      <c r="N98" t="str">
        <f t="shared" si="4"/>
        <v>0,11515--OK7</v>
      </c>
      <c r="P98" s="38">
        <f t="shared" si="3"/>
        <v>27</v>
      </c>
      <c r="R98">
        <f t="shared" si="2"/>
        <v>20</v>
      </c>
    </row>
    <row r="99" spans="11:18" x14ac:dyDescent="0.25">
      <c r="K99" s="8">
        <v>15</v>
      </c>
      <c r="L99">
        <v>7</v>
      </c>
      <c r="N99" t="str">
        <f t="shared" si="4"/>
        <v>0,11515--OK7</v>
      </c>
      <c r="P99" s="38">
        <f t="shared" si="3"/>
        <v>27</v>
      </c>
      <c r="R99">
        <f t="shared" si="2"/>
        <v>20</v>
      </c>
    </row>
    <row r="100" spans="11:18" x14ac:dyDescent="0.25">
      <c r="K100" s="134">
        <v>15</v>
      </c>
      <c r="L100" s="37">
        <v>12</v>
      </c>
      <c r="M100" s="37"/>
      <c r="N100" t="str">
        <f t="shared" si="4"/>
        <v>0,11515--OK7</v>
      </c>
      <c r="P100" s="38">
        <f t="shared" si="3"/>
        <v>27</v>
      </c>
      <c r="R100">
        <f t="shared" si="2"/>
        <v>20</v>
      </c>
    </row>
    <row r="101" spans="11:18" x14ac:dyDescent="0.25">
      <c r="K101" s="8">
        <v>15</v>
      </c>
      <c r="L101">
        <v>20</v>
      </c>
      <c r="N101" t="str">
        <f t="shared" si="4"/>
        <v>0,11515--OK7</v>
      </c>
      <c r="P101" s="38">
        <f t="shared" si="3"/>
        <v>27</v>
      </c>
      <c r="R101">
        <f t="shared" si="2"/>
        <v>20</v>
      </c>
    </row>
    <row r="102" spans="11:18" x14ac:dyDescent="0.25">
      <c r="K102" s="134">
        <v>10</v>
      </c>
      <c r="L102" s="37">
        <v>0</v>
      </c>
      <c r="M102" s="37"/>
      <c r="N102" t="str">
        <f t="shared" si="4"/>
        <v>Bas+0%1510--OK7</v>
      </c>
      <c r="P102" s="38">
        <f t="shared" si="3"/>
        <v>37</v>
      </c>
      <c r="R102">
        <f t="shared" si="2"/>
        <v>21</v>
      </c>
    </row>
    <row r="103" spans="11:18" x14ac:dyDescent="0.25">
      <c r="K103" s="8">
        <v>10</v>
      </c>
      <c r="L103">
        <v>2</v>
      </c>
      <c r="N103" t="str">
        <f t="shared" si="4"/>
        <v>Bas+0%1510--OK7</v>
      </c>
      <c r="P103" s="38">
        <f t="shared" si="3"/>
        <v>37</v>
      </c>
      <c r="R103">
        <f t="shared" si="2"/>
        <v>21</v>
      </c>
    </row>
    <row r="104" spans="11:18" x14ac:dyDescent="0.25">
      <c r="K104" s="134">
        <v>10</v>
      </c>
      <c r="L104" s="37">
        <v>7</v>
      </c>
      <c r="M104" s="37"/>
      <c r="N104" t="str">
        <f t="shared" si="4"/>
        <v>Bas+0%1510--OK7</v>
      </c>
      <c r="P104" s="38">
        <f t="shared" si="3"/>
        <v>37</v>
      </c>
      <c r="R104">
        <f t="shared" si="2"/>
        <v>21</v>
      </c>
    </row>
    <row r="105" spans="11:18" x14ac:dyDescent="0.25">
      <c r="K105" s="8">
        <v>10</v>
      </c>
      <c r="L105">
        <v>12</v>
      </c>
      <c r="N105" t="str">
        <f t="shared" si="4"/>
        <v>Bas+0%15100-OK7</v>
      </c>
      <c r="P105" s="38">
        <f t="shared" si="3"/>
        <v>38</v>
      </c>
      <c r="R105">
        <f t="shared" si="2"/>
        <v>22</v>
      </c>
    </row>
    <row r="106" spans="11:18" x14ac:dyDescent="0.25">
      <c r="K106" s="134">
        <v>10</v>
      </c>
      <c r="L106" s="37">
        <v>20</v>
      </c>
      <c r="M106" s="37"/>
      <c r="N106" t="str">
        <f t="shared" si="4"/>
        <v>Bas+0%15100-OK7</v>
      </c>
      <c r="P106" s="38">
        <f t="shared" si="3"/>
        <v>38</v>
      </c>
      <c r="R106">
        <f t="shared" si="2"/>
        <v>22</v>
      </c>
    </row>
    <row r="107" spans="11:18" x14ac:dyDescent="0.25">
      <c r="K107" s="8">
        <v>5</v>
      </c>
      <c r="L107">
        <v>0</v>
      </c>
      <c r="N107" t="str">
        <f t="shared" si="4"/>
        <v>0,42052020OK7</v>
      </c>
      <c r="P107" s="38">
        <f t="shared" si="3"/>
        <v>7</v>
      </c>
      <c r="R107">
        <f t="shared" si="2"/>
        <v>23</v>
      </c>
    </row>
    <row r="108" spans="11:18" x14ac:dyDescent="0.25">
      <c r="K108" s="134">
        <v>5</v>
      </c>
      <c r="L108" s="37">
        <v>2</v>
      </c>
      <c r="M108" s="37"/>
      <c r="N108" t="str">
        <f t="shared" si="4"/>
        <v>0,42052020OK7</v>
      </c>
      <c r="P108" s="38">
        <f t="shared" si="3"/>
        <v>7</v>
      </c>
      <c r="R108">
        <f t="shared" si="2"/>
        <v>23</v>
      </c>
    </row>
    <row r="109" spans="11:18" x14ac:dyDescent="0.25">
      <c r="K109" s="8">
        <v>5</v>
      </c>
      <c r="L109">
        <v>7</v>
      </c>
      <c r="N109" t="str">
        <f t="shared" si="4"/>
        <v>0,42052030OK7</v>
      </c>
      <c r="P109" s="38">
        <f t="shared" si="3"/>
        <v>8</v>
      </c>
      <c r="R109">
        <f t="shared" si="2"/>
        <v>24</v>
      </c>
    </row>
    <row r="110" spans="11:18" x14ac:dyDescent="0.25">
      <c r="K110" s="134">
        <v>5</v>
      </c>
      <c r="L110" s="37">
        <v>12</v>
      </c>
      <c r="M110" s="37"/>
      <c r="N110" t="str">
        <f t="shared" si="4"/>
        <v>0,42052030OK7</v>
      </c>
      <c r="P110" s="38">
        <f t="shared" si="3"/>
        <v>8</v>
      </c>
      <c r="R110">
        <f t="shared" si="2"/>
        <v>24</v>
      </c>
    </row>
    <row r="111" spans="11:18" x14ac:dyDescent="0.25">
      <c r="K111" s="8">
        <v>5</v>
      </c>
      <c r="L111">
        <v>20</v>
      </c>
      <c r="N111" t="str">
        <f t="shared" si="4"/>
        <v>0,42052030OK7</v>
      </c>
      <c r="P111" s="38">
        <f t="shared" si="3"/>
        <v>8</v>
      </c>
      <c r="R111">
        <f t="shared" ref="R111:R174" si="5">MATCH(N111, _xlfn.UNIQUE($N$47:$N$361), 0)</f>
        <v>24</v>
      </c>
    </row>
    <row r="112" spans="11:18" x14ac:dyDescent="0.25">
      <c r="K112" s="134">
        <v>0</v>
      </c>
      <c r="L112" s="37">
        <v>0</v>
      </c>
      <c r="M112" s="37"/>
      <c r="N112" t="str">
        <f t="shared" si="4"/>
        <v>0,42052050OK7</v>
      </c>
      <c r="P112" s="38">
        <f t="shared" si="3"/>
        <v>9</v>
      </c>
      <c r="R112">
        <f t="shared" si="5"/>
        <v>25</v>
      </c>
    </row>
    <row r="113" spans="11:18" x14ac:dyDescent="0.25">
      <c r="K113" s="8">
        <v>0</v>
      </c>
      <c r="L113">
        <v>2</v>
      </c>
      <c r="N113" t="str">
        <f t="shared" si="4"/>
        <v>0,32052030OK7</v>
      </c>
      <c r="P113" s="38">
        <f t="shared" si="3"/>
        <v>16</v>
      </c>
      <c r="R113">
        <f t="shared" si="5"/>
        <v>26</v>
      </c>
    </row>
    <row r="114" spans="11:18" x14ac:dyDescent="0.25">
      <c r="K114" s="134">
        <v>0</v>
      </c>
      <c r="L114" s="37">
        <v>7</v>
      </c>
      <c r="M114" s="37"/>
      <c r="N114" t="str">
        <f t="shared" si="4"/>
        <v>0,32052050OK7</v>
      </c>
      <c r="P114" s="38">
        <f t="shared" si="3"/>
        <v>17</v>
      </c>
      <c r="R114">
        <f t="shared" si="5"/>
        <v>27</v>
      </c>
    </row>
    <row r="115" spans="11:18" x14ac:dyDescent="0.25">
      <c r="K115" s="8">
        <v>0</v>
      </c>
      <c r="L115">
        <v>12</v>
      </c>
      <c r="N115" t="str">
        <f t="shared" si="4"/>
        <v>0,32052050OK7</v>
      </c>
      <c r="P115" s="38">
        <f t="shared" si="3"/>
        <v>17</v>
      </c>
      <c r="R115">
        <f t="shared" si="5"/>
        <v>27</v>
      </c>
    </row>
    <row r="116" spans="11:18" x14ac:dyDescent="0.25">
      <c r="K116" s="134">
        <v>0</v>
      </c>
      <c r="L116" s="37">
        <v>20</v>
      </c>
      <c r="M116" s="37"/>
      <c r="N116" t="str">
        <f t="shared" si="4"/>
        <v>0,32052010OK7</v>
      </c>
      <c r="P116" s="38">
        <f t="shared" si="3"/>
        <v>15</v>
      </c>
      <c r="R116">
        <f t="shared" si="5"/>
        <v>28</v>
      </c>
    </row>
    <row r="117" spans="11:18" x14ac:dyDescent="0.25">
      <c r="K117" s="8">
        <v>-5</v>
      </c>
      <c r="L117">
        <v>0</v>
      </c>
      <c r="N117" t="str">
        <f t="shared" si="4"/>
        <v>0,22052050OK7</v>
      </c>
      <c r="P117" s="38">
        <f t="shared" si="3"/>
        <v>26</v>
      </c>
      <c r="R117">
        <f t="shared" si="5"/>
        <v>29</v>
      </c>
    </row>
    <row r="118" spans="11:18" x14ac:dyDescent="0.25">
      <c r="K118" s="134">
        <v>-5</v>
      </c>
      <c r="L118" s="37">
        <v>2</v>
      </c>
      <c r="M118" s="37"/>
      <c r="N118" t="str">
        <f t="shared" si="4"/>
        <v>0,22052050OK7</v>
      </c>
      <c r="P118" s="38">
        <f t="shared" si="3"/>
        <v>26</v>
      </c>
      <c r="R118">
        <f t="shared" si="5"/>
        <v>29</v>
      </c>
    </row>
    <row r="119" spans="11:18" x14ac:dyDescent="0.25">
      <c r="K119" s="8">
        <v>-5</v>
      </c>
      <c r="L119">
        <v>7</v>
      </c>
      <c r="N119" t="str">
        <f t="shared" si="4"/>
        <v>0,12052030OK7</v>
      </c>
      <c r="P119" s="38">
        <f t="shared" si="3"/>
        <v>32</v>
      </c>
      <c r="R119">
        <f t="shared" si="5"/>
        <v>30</v>
      </c>
    </row>
    <row r="120" spans="11:18" x14ac:dyDescent="0.25">
      <c r="K120" s="134">
        <v>-5</v>
      </c>
      <c r="L120" s="37">
        <v>12</v>
      </c>
      <c r="M120" s="37"/>
      <c r="N120" t="str">
        <f t="shared" si="4"/>
        <v>0,12052030OK7</v>
      </c>
      <c r="P120" s="38">
        <f t="shared" si="3"/>
        <v>32</v>
      </c>
      <c r="R120">
        <f t="shared" si="5"/>
        <v>30</v>
      </c>
    </row>
    <row r="121" spans="11:18" x14ac:dyDescent="0.25">
      <c r="K121" s="8">
        <v>-5</v>
      </c>
      <c r="L121">
        <v>20</v>
      </c>
      <c r="N121" t="str">
        <f t="shared" si="4"/>
        <v>0,12052030OK7</v>
      </c>
      <c r="P121" s="38">
        <f t="shared" si="3"/>
        <v>32</v>
      </c>
      <c r="R121">
        <f t="shared" si="5"/>
        <v>30</v>
      </c>
    </row>
    <row r="122" spans="11:18" x14ac:dyDescent="0.25">
      <c r="K122" s="134">
        <v>-10</v>
      </c>
      <c r="L122" s="37">
        <v>0</v>
      </c>
      <c r="M122" s="37"/>
      <c r="N122" t="str">
        <f t="shared" si="4"/>
        <v>0,12052050OK7</v>
      </c>
      <c r="P122" s="38">
        <f t="shared" si="3"/>
        <v>34</v>
      </c>
      <c r="R122">
        <f t="shared" si="5"/>
        <v>31</v>
      </c>
    </row>
    <row r="123" spans="11:18" x14ac:dyDescent="0.25">
      <c r="K123" s="8">
        <v>-10</v>
      </c>
      <c r="L123">
        <v>2</v>
      </c>
      <c r="N123" t="str">
        <f t="shared" si="4"/>
        <v>0,12052050OK7</v>
      </c>
      <c r="P123" s="38">
        <f t="shared" si="3"/>
        <v>34</v>
      </c>
      <c r="R123">
        <f t="shared" si="5"/>
        <v>31</v>
      </c>
    </row>
    <row r="124" spans="11:18" x14ac:dyDescent="0.25">
      <c r="K124" s="134">
        <v>-10</v>
      </c>
      <c r="L124" s="37">
        <v>7</v>
      </c>
      <c r="M124" s="37"/>
      <c r="N124" t="str">
        <f t="shared" si="4"/>
        <v>Bas+0%2052030OK7</v>
      </c>
      <c r="P124" s="38">
        <f t="shared" si="3"/>
        <v>39</v>
      </c>
      <c r="R124">
        <f t="shared" si="5"/>
        <v>32</v>
      </c>
    </row>
    <row r="125" spans="11:18" x14ac:dyDescent="0.25">
      <c r="K125" s="8">
        <v>-10</v>
      </c>
      <c r="L125">
        <v>12</v>
      </c>
      <c r="N125" t="str">
        <f t="shared" si="4"/>
        <v>-----Frys innan täck</v>
      </c>
      <c r="P125" s="38">
        <f t="shared" si="3"/>
        <v>45</v>
      </c>
      <c r="R125">
        <f t="shared" si="5"/>
        <v>17</v>
      </c>
    </row>
    <row r="126" spans="11:18" x14ac:dyDescent="0.25">
      <c r="K126" s="134">
        <v>-10</v>
      </c>
      <c r="L126" s="37">
        <v>20</v>
      </c>
      <c r="M126" s="37"/>
      <c r="N126" t="str">
        <f t="shared" si="4"/>
        <v>-----Frys innan täck</v>
      </c>
      <c r="P126" s="38">
        <f t="shared" si="3"/>
        <v>45</v>
      </c>
      <c r="R126">
        <f t="shared" si="5"/>
        <v>17</v>
      </c>
    </row>
    <row r="127" spans="11:18" x14ac:dyDescent="0.25">
      <c r="K127" s="8">
        <v>-15</v>
      </c>
      <c r="L127">
        <v>0</v>
      </c>
      <c r="N127" t="str">
        <f t="shared" si="4"/>
        <v>Bas+0%1552050OK7</v>
      </c>
      <c r="P127" s="38">
        <f t="shared" si="3"/>
        <v>42</v>
      </c>
      <c r="R127">
        <f t="shared" si="5"/>
        <v>33</v>
      </c>
    </row>
    <row r="128" spans="11:18" x14ac:dyDescent="0.25">
      <c r="K128" s="134">
        <v>-15</v>
      </c>
      <c r="L128" s="37">
        <v>2</v>
      </c>
      <c r="M128" s="37"/>
      <c r="N128" t="str">
        <f t="shared" si="4"/>
        <v>-----Når ej 70%</v>
      </c>
      <c r="P128" s="38">
        <f t="shared" si="3"/>
        <v>44</v>
      </c>
      <c r="R128">
        <f t="shared" si="5"/>
        <v>8</v>
      </c>
    </row>
    <row r="129" spans="11:18" x14ac:dyDescent="0.25">
      <c r="K129" s="8">
        <v>-15</v>
      </c>
      <c r="L129">
        <v>7</v>
      </c>
      <c r="N129" t="str">
        <f t="shared" si="4"/>
        <v>-----Frys innan täck</v>
      </c>
      <c r="P129" s="38">
        <f t="shared" si="3"/>
        <v>45</v>
      </c>
      <c r="R129">
        <f t="shared" si="5"/>
        <v>17</v>
      </c>
    </row>
    <row r="130" spans="11:18" x14ac:dyDescent="0.25">
      <c r="K130" s="134">
        <v>-15</v>
      </c>
      <c r="L130" s="37">
        <v>12</v>
      </c>
      <c r="M130" s="37"/>
      <c r="N130" t="str">
        <f t="shared" si="4"/>
        <v>-----Frys innan täck</v>
      </c>
      <c r="P130" s="38">
        <f t="shared" ref="P130:P193" si="6">MATCH(N130, _xlfn.UNIQUE($N$2:$N$361), 0)</f>
        <v>45</v>
      </c>
      <c r="R130">
        <f t="shared" si="5"/>
        <v>17</v>
      </c>
    </row>
    <row r="131" spans="11:18" x14ac:dyDescent="0.25">
      <c r="K131" s="8">
        <v>-15</v>
      </c>
      <c r="L131">
        <v>20</v>
      </c>
      <c r="N131" t="str">
        <f t="shared" si="4"/>
        <v>-----Frys innan täck</v>
      </c>
      <c r="P131" s="38">
        <f t="shared" si="6"/>
        <v>45</v>
      </c>
      <c r="R131">
        <f t="shared" si="5"/>
        <v>17</v>
      </c>
    </row>
    <row r="132" spans="11:18" x14ac:dyDescent="0.25">
      <c r="K132" s="134">
        <v>-20</v>
      </c>
      <c r="L132" s="37">
        <v>0</v>
      </c>
      <c r="M132" s="37"/>
      <c r="N132" t="str">
        <f t="shared" si="4"/>
        <v>-----Når ej 70%</v>
      </c>
      <c r="P132" s="38">
        <f t="shared" si="6"/>
        <v>44</v>
      </c>
      <c r="R132">
        <f t="shared" si="5"/>
        <v>8</v>
      </c>
    </row>
    <row r="133" spans="11:18" x14ac:dyDescent="0.25">
      <c r="K133" s="8">
        <v>-20</v>
      </c>
      <c r="L133">
        <v>2</v>
      </c>
      <c r="N133" t="str">
        <f t="shared" si="4"/>
        <v>-----Når ej 70%</v>
      </c>
      <c r="P133" s="38">
        <f t="shared" si="6"/>
        <v>44</v>
      </c>
      <c r="R133">
        <f t="shared" si="5"/>
        <v>8</v>
      </c>
    </row>
    <row r="134" spans="11:18" x14ac:dyDescent="0.25">
      <c r="K134" s="134">
        <v>-20</v>
      </c>
      <c r="L134" s="37">
        <v>7</v>
      </c>
      <c r="M134" s="37"/>
      <c r="N134" t="str">
        <f t="shared" si="4"/>
        <v>-----Frys innan täck</v>
      </c>
      <c r="P134" s="38">
        <f t="shared" si="6"/>
        <v>45</v>
      </c>
      <c r="R134">
        <f t="shared" si="5"/>
        <v>17</v>
      </c>
    </row>
    <row r="135" spans="11:18" x14ac:dyDescent="0.25">
      <c r="K135" s="8">
        <v>-20</v>
      </c>
      <c r="L135">
        <v>12</v>
      </c>
      <c r="N135" t="str">
        <f t="shared" si="4"/>
        <v>-----Frys innan täck</v>
      </c>
      <c r="P135" s="38">
        <f t="shared" si="6"/>
        <v>45</v>
      </c>
      <c r="R135">
        <f t="shared" si="5"/>
        <v>17</v>
      </c>
    </row>
    <row r="136" spans="11:18" ht="15.75" thickBot="1" x14ac:dyDescent="0.3">
      <c r="K136" s="134">
        <v>-20</v>
      </c>
      <c r="L136" s="37">
        <v>20</v>
      </c>
      <c r="M136" s="37"/>
      <c r="N136" t="str">
        <f t="shared" si="4"/>
        <v>-----Frys innan täck</v>
      </c>
      <c r="P136" s="38">
        <f t="shared" si="6"/>
        <v>45</v>
      </c>
      <c r="R136">
        <f t="shared" si="5"/>
        <v>17</v>
      </c>
    </row>
    <row r="137" spans="11:18" x14ac:dyDescent="0.25">
      <c r="K137" s="132">
        <v>20</v>
      </c>
      <c r="L137" s="133">
        <v>0</v>
      </c>
      <c r="M137" s="6" t="s">
        <v>66</v>
      </c>
      <c r="N137" s="6" t="str">
        <f t="shared" ref="N137:N181" si="7">E2</f>
        <v>0,41520--OK7</v>
      </c>
      <c r="O137" s="6"/>
      <c r="P137" s="38">
        <f t="shared" si="6"/>
        <v>1</v>
      </c>
      <c r="R137">
        <f t="shared" si="5"/>
        <v>34</v>
      </c>
    </row>
    <row r="138" spans="11:18" x14ac:dyDescent="0.25">
      <c r="K138" s="8">
        <v>20</v>
      </c>
      <c r="L138">
        <v>2</v>
      </c>
      <c r="N138" t="str">
        <f t="shared" si="7"/>
        <v>0,41520--OK7</v>
      </c>
      <c r="P138" s="38">
        <f t="shared" si="6"/>
        <v>1</v>
      </c>
      <c r="R138">
        <f t="shared" si="5"/>
        <v>34</v>
      </c>
    </row>
    <row r="139" spans="11:18" x14ac:dyDescent="0.25">
      <c r="K139" s="134">
        <v>20</v>
      </c>
      <c r="L139" s="37">
        <v>7</v>
      </c>
      <c r="M139" s="37"/>
      <c r="N139" t="str">
        <f t="shared" si="7"/>
        <v>0,415200PresenningOK7</v>
      </c>
      <c r="P139" s="38">
        <f t="shared" si="6"/>
        <v>4</v>
      </c>
      <c r="R139">
        <f t="shared" si="5"/>
        <v>18</v>
      </c>
    </row>
    <row r="140" spans="11:18" x14ac:dyDescent="0.25">
      <c r="K140" s="8">
        <v>20</v>
      </c>
      <c r="L140">
        <v>12</v>
      </c>
      <c r="N140" t="str">
        <f t="shared" si="7"/>
        <v>0,415200PresenningOK7</v>
      </c>
      <c r="P140" s="38">
        <f t="shared" si="6"/>
        <v>4</v>
      </c>
      <c r="R140">
        <f t="shared" si="5"/>
        <v>18</v>
      </c>
    </row>
    <row r="141" spans="11:18" x14ac:dyDescent="0.25">
      <c r="K141" s="134">
        <v>20</v>
      </c>
      <c r="L141" s="37">
        <v>20</v>
      </c>
      <c r="M141" s="37"/>
      <c r="N141" t="str">
        <f t="shared" si="7"/>
        <v>0,415200PresenningOK7</v>
      </c>
      <c r="P141" s="38">
        <f t="shared" si="6"/>
        <v>4</v>
      </c>
      <c r="R141">
        <f t="shared" si="5"/>
        <v>18</v>
      </c>
    </row>
    <row r="142" spans="11:18" x14ac:dyDescent="0.25">
      <c r="K142" s="8">
        <v>15</v>
      </c>
      <c r="L142">
        <v>0</v>
      </c>
      <c r="N142" t="str">
        <f t="shared" si="7"/>
        <v>0,21515--OK7</v>
      </c>
      <c r="P142" s="38">
        <f t="shared" si="6"/>
        <v>19</v>
      </c>
      <c r="R142">
        <f t="shared" si="5"/>
        <v>35</v>
      </c>
    </row>
    <row r="143" spans="11:18" x14ac:dyDescent="0.25">
      <c r="K143" s="134">
        <v>15</v>
      </c>
      <c r="L143" s="37">
        <v>2</v>
      </c>
      <c r="M143" s="37"/>
      <c r="N143" t="str">
        <f t="shared" si="7"/>
        <v>0,215150-OK7</v>
      </c>
      <c r="P143" s="38">
        <f t="shared" si="6"/>
        <v>21</v>
      </c>
      <c r="R143">
        <f t="shared" si="5"/>
        <v>36</v>
      </c>
    </row>
    <row r="144" spans="11:18" x14ac:dyDescent="0.25">
      <c r="K144" s="8">
        <v>15</v>
      </c>
      <c r="L144">
        <v>7</v>
      </c>
      <c r="N144" t="str">
        <f t="shared" si="7"/>
        <v>0,11515--OK7</v>
      </c>
      <c r="P144" s="38">
        <f t="shared" si="6"/>
        <v>27</v>
      </c>
      <c r="R144">
        <f t="shared" si="5"/>
        <v>20</v>
      </c>
    </row>
    <row r="145" spans="11:18" x14ac:dyDescent="0.25">
      <c r="K145" s="134">
        <v>15</v>
      </c>
      <c r="L145" s="37">
        <v>12</v>
      </c>
      <c r="M145" s="37"/>
      <c r="N145" t="str">
        <f t="shared" si="7"/>
        <v>0,11515--OK7</v>
      </c>
      <c r="P145" s="38">
        <f t="shared" si="6"/>
        <v>27</v>
      </c>
      <c r="R145">
        <f t="shared" si="5"/>
        <v>20</v>
      </c>
    </row>
    <row r="146" spans="11:18" x14ac:dyDescent="0.25">
      <c r="K146" s="8">
        <v>15</v>
      </c>
      <c r="L146">
        <v>20</v>
      </c>
      <c r="N146" t="str">
        <f t="shared" si="7"/>
        <v>0,11515--OK7</v>
      </c>
      <c r="P146" s="38">
        <f t="shared" si="6"/>
        <v>27</v>
      </c>
      <c r="R146">
        <f t="shared" si="5"/>
        <v>20</v>
      </c>
    </row>
    <row r="147" spans="11:18" x14ac:dyDescent="0.25">
      <c r="K147" s="134">
        <v>10</v>
      </c>
      <c r="L147" s="37">
        <v>0</v>
      </c>
      <c r="M147" s="37"/>
      <c r="N147" t="str">
        <f t="shared" si="7"/>
        <v>0,11510--OK7</v>
      </c>
      <c r="P147" s="38">
        <f t="shared" si="6"/>
        <v>28</v>
      </c>
      <c r="R147">
        <f t="shared" si="5"/>
        <v>37</v>
      </c>
    </row>
    <row r="148" spans="11:18" x14ac:dyDescent="0.25">
      <c r="K148" s="8">
        <v>10</v>
      </c>
      <c r="L148">
        <v>2</v>
      </c>
      <c r="N148" t="str">
        <f t="shared" si="7"/>
        <v>Bas+0%1510--OK7</v>
      </c>
      <c r="P148" s="38">
        <f t="shared" si="6"/>
        <v>37</v>
      </c>
      <c r="R148">
        <f t="shared" si="5"/>
        <v>21</v>
      </c>
    </row>
    <row r="149" spans="11:18" x14ac:dyDescent="0.25">
      <c r="K149" s="134">
        <v>10</v>
      </c>
      <c r="L149" s="37">
        <v>7</v>
      </c>
      <c r="M149" s="37"/>
      <c r="N149" t="str">
        <f t="shared" si="7"/>
        <v>Bas+0%1510--OK7</v>
      </c>
      <c r="P149" s="38">
        <f t="shared" si="6"/>
        <v>37</v>
      </c>
      <c r="R149">
        <f t="shared" si="5"/>
        <v>21</v>
      </c>
    </row>
    <row r="150" spans="11:18" x14ac:dyDescent="0.25">
      <c r="K150" s="8">
        <v>10</v>
      </c>
      <c r="L150">
        <v>12</v>
      </c>
      <c r="N150" t="str">
        <f t="shared" si="7"/>
        <v>Bas+0%1510--OK7</v>
      </c>
      <c r="P150" s="38">
        <f t="shared" si="6"/>
        <v>37</v>
      </c>
      <c r="R150">
        <f t="shared" si="5"/>
        <v>21</v>
      </c>
    </row>
    <row r="151" spans="11:18" x14ac:dyDescent="0.25">
      <c r="K151" s="134">
        <v>10</v>
      </c>
      <c r="L151" s="37">
        <v>20</v>
      </c>
      <c r="M151" s="37"/>
      <c r="N151" t="str">
        <f t="shared" si="7"/>
        <v>Bas+0%1510--OK7</v>
      </c>
      <c r="P151" s="38">
        <f t="shared" si="6"/>
        <v>37</v>
      </c>
      <c r="R151">
        <f t="shared" si="5"/>
        <v>21</v>
      </c>
    </row>
    <row r="152" spans="11:18" x14ac:dyDescent="0.25">
      <c r="K152" s="8">
        <v>5</v>
      </c>
      <c r="L152">
        <v>0</v>
      </c>
      <c r="N152" t="str">
        <f t="shared" si="7"/>
        <v>0,42052010OK7</v>
      </c>
      <c r="P152" s="38">
        <f t="shared" si="6"/>
        <v>6</v>
      </c>
      <c r="R152">
        <f t="shared" si="5"/>
        <v>38</v>
      </c>
    </row>
    <row r="153" spans="11:18" x14ac:dyDescent="0.25">
      <c r="K153" s="134">
        <v>5</v>
      </c>
      <c r="L153" s="37">
        <v>2</v>
      </c>
      <c r="M153" s="37"/>
      <c r="N153" t="str">
        <f t="shared" si="7"/>
        <v>0,42052020OK7</v>
      </c>
      <c r="P153" s="38">
        <f t="shared" si="6"/>
        <v>7</v>
      </c>
      <c r="R153">
        <f t="shared" si="5"/>
        <v>23</v>
      </c>
    </row>
    <row r="154" spans="11:18" x14ac:dyDescent="0.25">
      <c r="K154" s="8">
        <v>5</v>
      </c>
      <c r="L154">
        <v>7</v>
      </c>
      <c r="N154" t="str">
        <f t="shared" si="7"/>
        <v>0,42052020OK7</v>
      </c>
      <c r="P154" s="38">
        <f t="shared" si="6"/>
        <v>7</v>
      </c>
      <c r="R154">
        <f t="shared" si="5"/>
        <v>23</v>
      </c>
    </row>
    <row r="155" spans="11:18" x14ac:dyDescent="0.25">
      <c r="K155" s="134">
        <v>5</v>
      </c>
      <c r="L155" s="37">
        <v>12</v>
      </c>
      <c r="M155" s="37"/>
      <c r="N155" t="str">
        <f t="shared" si="7"/>
        <v>0,42052020OK7</v>
      </c>
      <c r="P155" s="38">
        <f t="shared" si="6"/>
        <v>7</v>
      </c>
      <c r="R155">
        <f t="shared" si="5"/>
        <v>23</v>
      </c>
    </row>
    <row r="156" spans="11:18" x14ac:dyDescent="0.25">
      <c r="K156" s="8">
        <v>5</v>
      </c>
      <c r="L156">
        <v>20</v>
      </c>
      <c r="N156" t="str">
        <f t="shared" si="7"/>
        <v>0,42052020OK7</v>
      </c>
      <c r="P156" s="38">
        <f t="shared" si="6"/>
        <v>7</v>
      </c>
      <c r="R156">
        <f t="shared" si="5"/>
        <v>23</v>
      </c>
    </row>
    <row r="157" spans="11:18" x14ac:dyDescent="0.25">
      <c r="K157" s="134">
        <v>0</v>
      </c>
      <c r="L157" s="37">
        <v>0</v>
      </c>
      <c r="M157" s="37"/>
      <c r="N157" t="str">
        <f t="shared" si="7"/>
        <v>0,42052020OK7</v>
      </c>
      <c r="P157" s="38">
        <f t="shared" si="6"/>
        <v>7</v>
      </c>
      <c r="R157">
        <f t="shared" si="5"/>
        <v>23</v>
      </c>
    </row>
    <row r="158" spans="11:18" x14ac:dyDescent="0.25">
      <c r="K158" s="8">
        <v>0</v>
      </c>
      <c r="L158">
        <v>2</v>
      </c>
      <c r="N158" t="str">
        <f t="shared" si="7"/>
        <v>0,42052050OK7</v>
      </c>
      <c r="P158" s="38">
        <f t="shared" si="6"/>
        <v>9</v>
      </c>
      <c r="R158">
        <f t="shared" si="5"/>
        <v>25</v>
      </c>
    </row>
    <row r="159" spans="11:18" x14ac:dyDescent="0.25">
      <c r="K159" s="134">
        <v>0</v>
      </c>
      <c r="L159" s="37">
        <v>7</v>
      </c>
      <c r="M159" s="37"/>
      <c r="N159" t="str">
        <f t="shared" si="7"/>
        <v>0,42052050OK7</v>
      </c>
      <c r="P159" s="38">
        <f t="shared" si="6"/>
        <v>9</v>
      </c>
      <c r="R159">
        <f t="shared" si="5"/>
        <v>25</v>
      </c>
    </row>
    <row r="160" spans="11:18" x14ac:dyDescent="0.25">
      <c r="K160" s="8">
        <v>0</v>
      </c>
      <c r="L160">
        <v>12</v>
      </c>
      <c r="N160" t="str">
        <f t="shared" si="7"/>
        <v>0,42052050OK7</v>
      </c>
      <c r="P160" s="38">
        <f t="shared" si="6"/>
        <v>9</v>
      </c>
      <c r="R160">
        <f t="shared" si="5"/>
        <v>25</v>
      </c>
    </row>
    <row r="161" spans="11:18" x14ac:dyDescent="0.25">
      <c r="K161" s="134">
        <v>0</v>
      </c>
      <c r="L161" s="37">
        <v>20</v>
      </c>
      <c r="M161" s="37"/>
      <c r="N161" t="str">
        <f t="shared" si="7"/>
        <v>0,42052050OK7</v>
      </c>
      <c r="P161" s="38">
        <f t="shared" si="6"/>
        <v>9</v>
      </c>
      <c r="R161">
        <f t="shared" si="5"/>
        <v>25</v>
      </c>
    </row>
    <row r="162" spans="11:18" x14ac:dyDescent="0.25">
      <c r="K162" s="8">
        <v>-5</v>
      </c>
      <c r="L162">
        <v>0</v>
      </c>
      <c r="N162" t="str">
        <f t="shared" si="7"/>
        <v>0,32052050OK7</v>
      </c>
      <c r="P162" s="38">
        <f t="shared" si="6"/>
        <v>17</v>
      </c>
      <c r="R162">
        <f t="shared" si="5"/>
        <v>27</v>
      </c>
    </row>
    <row r="163" spans="11:18" x14ac:dyDescent="0.25">
      <c r="K163" s="134">
        <v>-5</v>
      </c>
      <c r="L163" s="37">
        <v>2</v>
      </c>
      <c r="M163" s="37"/>
      <c r="N163" t="str">
        <f t="shared" si="7"/>
        <v>0,32052050OK7</v>
      </c>
      <c r="P163" s="38">
        <f t="shared" si="6"/>
        <v>17</v>
      </c>
      <c r="R163">
        <f t="shared" si="5"/>
        <v>27</v>
      </c>
    </row>
    <row r="164" spans="11:18" x14ac:dyDescent="0.25">
      <c r="K164" s="8">
        <v>-5</v>
      </c>
      <c r="L164">
        <v>7</v>
      </c>
      <c r="N164" t="str">
        <f t="shared" si="7"/>
        <v>0,22052050OK7</v>
      </c>
      <c r="P164" s="38">
        <f t="shared" si="6"/>
        <v>26</v>
      </c>
      <c r="R164">
        <f t="shared" si="5"/>
        <v>29</v>
      </c>
    </row>
    <row r="165" spans="11:18" x14ac:dyDescent="0.25">
      <c r="K165" s="134">
        <v>-5</v>
      </c>
      <c r="L165" s="37">
        <v>12</v>
      </c>
      <c r="M165" s="37"/>
      <c r="N165" t="str">
        <f t="shared" si="7"/>
        <v>0,22052050OK7</v>
      </c>
      <c r="P165" s="38">
        <f t="shared" si="6"/>
        <v>26</v>
      </c>
      <c r="R165">
        <f t="shared" si="5"/>
        <v>29</v>
      </c>
    </row>
    <row r="166" spans="11:18" x14ac:dyDescent="0.25">
      <c r="K166" s="8">
        <v>-5</v>
      </c>
      <c r="L166">
        <v>20</v>
      </c>
      <c r="N166" t="str">
        <f t="shared" si="7"/>
        <v>0,22052050OK7</v>
      </c>
      <c r="P166" s="38">
        <f t="shared" si="6"/>
        <v>26</v>
      </c>
      <c r="R166">
        <f t="shared" si="5"/>
        <v>29</v>
      </c>
    </row>
    <row r="167" spans="11:18" x14ac:dyDescent="0.25">
      <c r="K167" s="134">
        <v>-10</v>
      </c>
      <c r="L167" s="37">
        <v>0</v>
      </c>
      <c r="M167" s="37"/>
      <c r="N167" t="str">
        <f t="shared" si="7"/>
        <v>0,12052030OK7</v>
      </c>
      <c r="P167" s="38">
        <f t="shared" si="6"/>
        <v>32</v>
      </c>
      <c r="R167">
        <f t="shared" si="5"/>
        <v>30</v>
      </c>
    </row>
    <row r="168" spans="11:18" x14ac:dyDescent="0.25">
      <c r="K168" s="8">
        <v>-10</v>
      </c>
      <c r="L168">
        <v>2</v>
      </c>
      <c r="N168" t="str">
        <f t="shared" si="7"/>
        <v>0,12052030OK7</v>
      </c>
      <c r="P168" s="38">
        <f t="shared" si="6"/>
        <v>32</v>
      </c>
      <c r="R168">
        <f t="shared" si="5"/>
        <v>30</v>
      </c>
    </row>
    <row r="169" spans="11:18" x14ac:dyDescent="0.25">
      <c r="K169" s="134">
        <v>-10</v>
      </c>
      <c r="L169" s="37">
        <v>7</v>
      </c>
      <c r="M169" s="37"/>
      <c r="N169" t="str">
        <f t="shared" si="7"/>
        <v>0,12052050OK7</v>
      </c>
      <c r="P169" s="38">
        <f t="shared" si="6"/>
        <v>34</v>
      </c>
      <c r="R169">
        <f t="shared" si="5"/>
        <v>31</v>
      </c>
    </row>
    <row r="170" spans="11:18" x14ac:dyDescent="0.25">
      <c r="K170" s="8">
        <v>-10</v>
      </c>
      <c r="L170">
        <v>12</v>
      </c>
      <c r="N170" t="str">
        <f t="shared" si="7"/>
        <v>-----Frys innan täck</v>
      </c>
      <c r="P170" s="38">
        <f t="shared" si="6"/>
        <v>45</v>
      </c>
      <c r="R170">
        <f t="shared" si="5"/>
        <v>17</v>
      </c>
    </row>
    <row r="171" spans="11:18" x14ac:dyDescent="0.25">
      <c r="K171" s="134">
        <v>-10</v>
      </c>
      <c r="L171" s="37">
        <v>20</v>
      </c>
      <c r="M171" s="37"/>
      <c r="N171" t="str">
        <f t="shared" si="7"/>
        <v>-----Frys innan täck</v>
      </c>
      <c r="P171" s="38">
        <f t="shared" si="6"/>
        <v>45</v>
      </c>
      <c r="R171">
        <f t="shared" si="5"/>
        <v>17</v>
      </c>
    </row>
    <row r="172" spans="11:18" x14ac:dyDescent="0.25">
      <c r="K172" s="8">
        <v>-15</v>
      </c>
      <c r="L172">
        <v>0</v>
      </c>
      <c r="N172" t="str">
        <f t="shared" si="7"/>
        <v>Bas+0%1552050OK7</v>
      </c>
      <c r="P172" s="38">
        <f t="shared" si="6"/>
        <v>42</v>
      </c>
      <c r="R172">
        <f t="shared" si="5"/>
        <v>33</v>
      </c>
    </row>
    <row r="173" spans="11:18" x14ac:dyDescent="0.25">
      <c r="K173" s="134">
        <v>-15</v>
      </c>
      <c r="L173" s="37">
        <v>2</v>
      </c>
      <c r="M173" s="37"/>
      <c r="N173" t="str">
        <f t="shared" si="7"/>
        <v>Bas+0%1552050OK7</v>
      </c>
      <c r="P173" s="38">
        <f t="shared" si="6"/>
        <v>42</v>
      </c>
      <c r="R173">
        <f t="shared" si="5"/>
        <v>33</v>
      </c>
    </row>
    <row r="174" spans="11:18" x14ac:dyDescent="0.25">
      <c r="K174" s="8">
        <v>-15</v>
      </c>
      <c r="L174">
        <v>7</v>
      </c>
      <c r="N174" t="str">
        <f t="shared" si="7"/>
        <v>-----Frys innan täck</v>
      </c>
      <c r="P174" s="38">
        <f t="shared" si="6"/>
        <v>45</v>
      </c>
      <c r="R174">
        <f t="shared" si="5"/>
        <v>17</v>
      </c>
    </row>
    <row r="175" spans="11:18" x14ac:dyDescent="0.25">
      <c r="K175" s="134">
        <v>-15</v>
      </c>
      <c r="L175" s="37">
        <v>12</v>
      </c>
      <c r="M175" s="37"/>
      <c r="N175" t="str">
        <f t="shared" si="7"/>
        <v>-----Frys innan täck</v>
      </c>
      <c r="P175" s="38">
        <f t="shared" si="6"/>
        <v>45</v>
      </c>
      <c r="R175">
        <f t="shared" ref="R175:R238" si="8">MATCH(N175, _xlfn.UNIQUE($N$47:$N$361), 0)</f>
        <v>17</v>
      </c>
    </row>
    <row r="176" spans="11:18" x14ac:dyDescent="0.25">
      <c r="K176" s="8">
        <v>-15</v>
      </c>
      <c r="L176">
        <v>20</v>
      </c>
      <c r="N176" t="str">
        <f t="shared" si="7"/>
        <v>-----Frys innan täck</v>
      </c>
      <c r="P176" s="38">
        <f t="shared" si="6"/>
        <v>45</v>
      </c>
      <c r="R176">
        <f t="shared" si="8"/>
        <v>17</v>
      </c>
    </row>
    <row r="177" spans="11:18" x14ac:dyDescent="0.25">
      <c r="K177" s="134">
        <v>-20</v>
      </c>
      <c r="L177" s="37">
        <v>0</v>
      </c>
      <c r="M177" s="37"/>
      <c r="N177" t="str">
        <f t="shared" si="7"/>
        <v>-----Når ej 70%</v>
      </c>
      <c r="P177" s="38">
        <f t="shared" si="6"/>
        <v>44</v>
      </c>
      <c r="R177">
        <f t="shared" si="8"/>
        <v>8</v>
      </c>
    </row>
    <row r="178" spans="11:18" x14ac:dyDescent="0.25">
      <c r="K178" s="8">
        <v>-20</v>
      </c>
      <c r="L178">
        <v>2</v>
      </c>
      <c r="N178" t="str">
        <f t="shared" si="7"/>
        <v>-----Når ej 70%</v>
      </c>
      <c r="P178" s="38">
        <f t="shared" si="6"/>
        <v>44</v>
      </c>
      <c r="R178">
        <f t="shared" si="8"/>
        <v>8</v>
      </c>
    </row>
    <row r="179" spans="11:18" x14ac:dyDescent="0.25">
      <c r="K179" s="134">
        <v>-20</v>
      </c>
      <c r="L179" s="37">
        <v>7</v>
      </c>
      <c r="M179" s="37"/>
      <c r="N179" t="str">
        <f t="shared" si="7"/>
        <v>-----Frys innan täck</v>
      </c>
      <c r="P179" s="38">
        <f t="shared" si="6"/>
        <v>45</v>
      </c>
      <c r="R179">
        <f t="shared" si="8"/>
        <v>17</v>
      </c>
    </row>
    <row r="180" spans="11:18" x14ac:dyDescent="0.25">
      <c r="K180" s="8">
        <v>-20</v>
      </c>
      <c r="L180">
        <v>12</v>
      </c>
      <c r="N180" t="str">
        <f t="shared" si="7"/>
        <v>-----Frys innan täck</v>
      </c>
      <c r="P180" s="38">
        <f t="shared" si="6"/>
        <v>45</v>
      </c>
      <c r="R180">
        <f t="shared" si="8"/>
        <v>17</v>
      </c>
    </row>
    <row r="181" spans="11:18" ht="15.75" thickBot="1" x14ac:dyDescent="0.3">
      <c r="K181" s="135">
        <v>-20</v>
      </c>
      <c r="L181" s="131">
        <v>20</v>
      </c>
      <c r="M181" s="131"/>
      <c r="N181" s="11" t="str">
        <f t="shared" si="7"/>
        <v>-----Frys innan täck</v>
      </c>
      <c r="O181" s="11"/>
      <c r="P181" s="38">
        <f t="shared" si="6"/>
        <v>45</v>
      </c>
      <c r="R181">
        <f t="shared" si="8"/>
        <v>17</v>
      </c>
    </row>
    <row r="182" spans="11:18" x14ac:dyDescent="0.25">
      <c r="K182" s="134">
        <v>20</v>
      </c>
      <c r="L182" s="37">
        <v>0</v>
      </c>
      <c r="M182" s="37" t="s">
        <v>44</v>
      </c>
      <c r="N182" t="str">
        <f t="shared" ref="N182:N226" si="9">F2</f>
        <v>0,41520--OK7</v>
      </c>
      <c r="P182" s="38">
        <f t="shared" si="6"/>
        <v>1</v>
      </c>
      <c r="R182">
        <f t="shared" si="8"/>
        <v>34</v>
      </c>
    </row>
    <row r="183" spans="11:18" x14ac:dyDescent="0.25">
      <c r="K183" s="8">
        <v>20</v>
      </c>
      <c r="L183">
        <v>2</v>
      </c>
      <c r="N183" t="str">
        <f t="shared" si="9"/>
        <v>0,41520--OK7</v>
      </c>
      <c r="P183" s="38">
        <f t="shared" si="6"/>
        <v>1</v>
      </c>
      <c r="R183">
        <f t="shared" si="8"/>
        <v>34</v>
      </c>
    </row>
    <row r="184" spans="11:18" x14ac:dyDescent="0.25">
      <c r="K184" s="134">
        <v>20</v>
      </c>
      <c r="L184" s="37">
        <v>7</v>
      </c>
      <c r="M184" s="37"/>
      <c r="N184" t="str">
        <f t="shared" si="9"/>
        <v>0,41520--OK7</v>
      </c>
      <c r="P184" s="38">
        <f t="shared" si="6"/>
        <v>1</v>
      </c>
      <c r="R184">
        <f t="shared" si="8"/>
        <v>34</v>
      </c>
    </row>
    <row r="185" spans="11:18" x14ac:dyDescent="0.25">
      <c r="K185" s="8">
        <v>20</v>
      </c>
      <c r="L185">
        <v>12</v>
      </c>
      <c r="N185" t="str">
        <f t="shared" si="9"/>
        <v>0,41520--OK7</v>
      </c>
      <c r="P185" s="38">
        <f t="shared" si="6"/>
        <v>1</v>
      </c>
      <c r="R185">
        <f t="shared" si="8"/>
        <v>34</v>
      </c>
    </row>
    <row r="186" spans="11:18" x14ac:dyDescent="0.25">
      <c r="K186" s="134">
        <v>20</v>
      </c>
      <c r="L186" s="37">
        <v>20</v>
      </c>
      <c r="M186" s="37"/>
      <c r="N186" t="str">
        <f t="shared" si="9"/>
        <v>0,415200-OK7</v>
      </c>
      <c r="P186" s="38">
        <f t="shared" si="6"/>
        <v>2</v>
      </c>
      <c r="R186">
        <f t="shared" si="8"/>
        <v>39</v>
      </c>
    </row>
    <row r="187" spans="11:18" x14ac:dyDescent="0.25">
      <c r="K187" s="8">
        <v>15</v>
      </c>
      <c r="L187">
        <v>0</v>
      </c>
      <c r="N187" t="str">
        <f t="shared" si="9"/>
        <v>0,21515--OK7</v>
      </c>
      <c r="P187" s="38">
        <f t="shared" si="6"/>
        <v>19</v>
      </c>
      <c r="R187">
        <f t="shared" si="8"/>
        <v>35</v>
      </c>
    </row>
    <row r="188" spans="11:18" x14ac:dyDescent="0.25">
      <c r="K188" s="134">
        <v>15</v>
      </c>
      <c r="L188" s="37">
        <v>2</v>
      </c>
      <c r="M188" s="37"/>
      <c r="N188" t="str">
        <f t="shared" si="9"/>
        <v>0,21515--OK7</v>
      </c>
      <c r="P188" s="38">
        <f t="shared" si="6"/>
        <v>19</v>
      </c>
      <c r="R188">
        <f t="shared" si="8"/>
        <v>35</v>
      </c>
    </row>
    <row r="189" spans="11:18" x14ac:dyDescent="0.25">
      <c r="K189" s="8">
        <v>15</v>
      </c>
      <c r="L189">
        <v>7</v>
      </c>
      <c r="N189" t="str">
        <f t="shared" si="9"/>
        <v>0,215150PresenningOK7</v>
      </c>
      <c r="P189" s="38">
        <f t="shared" si="6"/>
        <v>23</v>
      </c>
      <c r="R189">
        <f t="shared" si="8"/>
        <v>40</v>
      </c>
    </row>
    <row r="190" spans="11:18" x14ac:dyDescent="0.25">
      <c r="K190" s="134">
        <v>15</v>
      </c>
      <c r="L190" s="37">
        <v>12</v>
      </c>
      <c r="M190" s="37"/>
      <c r="N190" t="str">
        <f t="shared" si="9"/>
        <v>0,215150PresenningOK7</v>
      </c>
      <c r="P190" s="38">
        <f t="shared" si="6"/>
        <v>23</v>
      </c>
      <c r="R190">
        <f t="shared" si="8"/>
        <v>40</v>
      </c>
    </row>
    <row r="191" spans="11:18" x14ac:dyDescent="0.25">
      <c r="K191" s="8">
        <v>15</v>
      </c>
      <c r="L191">
        <v>20</v>
      </c>
      <c r="N191" t="str">
        <f t="shared" si="9"/>
        <v>0,215150PresenningOK7</v>
      </c>
      <c r="P191" s="38">
        <f t="shared" si="6"/>
        <v>23</v>
      </c>
      <c r="R191">
        <f t="shared" si="8"/>
        <v>40</v>
      </c>
    </row>
    <row r="192" spans="11:18" x14ac:dyDescent="0.25">
      <c r="K192" s="134">
        <v>10</v>
      </c>
      <c r="L192" s="37">
        <v>0</v>
      </c>
      <c r="M192" s="37"/>
      <c r="N192" t="str">
        <f t="shared" si="9"/>
        <v>0,11510--OK7</v>
      </c>
      <c r="P192" s="38">
        <f t="shared" si="6"/>
        <v>28</v>
      </c>
      <c r="R192">
        <f t="shared" si="8"/>
        <v>37</v>
      </c>
    </row>
    <row r="193" spans="11:18" x14ac:dyDescent="0.25">
      <c r="K193" s="8">
        <v>10</v>
      </c>
      <c r="L193">
        <v>2</v>
      </c>
      <c r="N193" t="str">
        <f t="shared" si="9"/>
        <v>0,115100PresenningOK7</v>
      </c>
      <c r="P193" s="38">
        <f t="shared" si="6"/>
        <v>31</v>
      </c>
      <c r="R193">
        <f t="shared" si="8"/>
        <v>41</v>
      </c>
    </row>
    <row r="194" spans="11:18" x14ac:dyDescent="0.25">
      <c r="K194" s="134">
        <v>10</v>
      </c>
      <c r="L194" s="37">
        <v>7</v>
      </c>
      <c r="M194" s="37"/>
      <c r="N194" t="str">
        <f t="shared" si="9"/>
        <v>Bas+0%1510--OK7</v>
      </c>
      <c r="P194" s="38">
        <f t="shared" ref="P194:P257" si="10">MATCH(N194, _xlfn.UNIQUE($N$2:$N$361), 0)</f>
        <v>37</v>
      </c>
      <c r="R194">
        <f t="shared" si="8"/>
        <v>21</v>
      </c>
    </row>
    <row r="195" spans="11:18" x14ac:dyDescent="0.25">
      <c r="K195" s="8">
        <v>10</v>
      </c>
      <c r="L195">
        <v>12</v>
      </c>
      <c r="N195" t="str">
        <f t="shared" si="9"/>
        <v>Bas+0%1510--OK7</v>
      </c>
      <c r="P195" s="38">
        <f t="shared" si="10"/>
        <v>37</v>
      </c>
      <c r="R195">
        <f t="shared" si="8"/>
        <v>21</v>
      </c>
    </row>
    <row r="196" spans="11:18" x14ac:dyDescent="0.25">
      <c r="K196" s="134">
        <v>10</v>
      </c>
      <c r="L196" s="37">
        <v>20</v>
      </c>
      <c r="M196" s="37"/>
      <c r="N196" t="str">
        <f t="shared" si="9"/>
        <v>Bas+0%1510--OK7</v>
      </c>
      <c r="P196" s="38">
        <f t="shared" si="10"/>
        <v>37</v>
      </c>
      <c r="R196">
        <f t="shared" si="8"/>
        <v>21</v>
      </c>
    </row>
    <row r="197" spans="11:18" x14ac:dyDescent="0.25">
      <c r="K197" s="8">
        <v>5</v>
      </c>
      <c r="L197">
        <v>0</v>
      </c>
      <c r="N197" t="str">
        <f t="shared" si="9"/>
        <v>0,42052010OK7</v>
      </c>
      <c r="P197" s="38">
        <f t="shared" si="10"/>
        <v>6</v>
      </c>
      <c r="R197">
        <f t="shared" si="8"/>
        <v>38</v>
      </c>
    </row>
    <row r="198" spans="11:18" x14ac:dyDescent="0.25">
      <c r="K198" s="134">
        <v>5</v>
      </c>
      <c r="L198" s="37">
        <v>2</v>
      </c>
      <c r="M198" s="37"/>
      <c r="N198" t="str">
        <f t="shared" si="9"/>
        <v>0,42052010OK7</v>
      </c>
      <c r="P198" s="38">
        <f t="shared" si="10"/>
        <v>6</v>
      </c>
      <c r="R198">
        <f t="shared" si="8"/>
        <v>38</v>
      </c>
    </row>
    <row r="199" spans="11:18" x14ac:dyDescent="0.25">
      <c r="K199" s="8">
        <v>5</v>
      </c>
      <c r="L199">
        <v>7</v>
      </c>
      <c r="N199" t="str">
        <f t="shared" si="9"/>
        <v>0,42052020OK7</v>
      </c>
      <c r="P199" s="38">
        <f t="shared" si="10"/>
        <v>7</v>
      </c>
      <c r="R199">
        <f t="shared" si="8"/>
        <v>23</v>
      </c>
    </row>
    <row r="200" spans="11:18" x14ac:dyDescent="0.25">
      <c r="K200" s="134">
        <v>5</v>
      </c>
      <c r="L200" s="37">
        <v>12</v>
      </c>
      <c r="M200" s="37"/>
      <c r="N200" t="str">
        <f t="shared" si="9"/>
        <v>0,42052020OK7</v>
      </c>
      <c r="P200" s="38">
        <f t="shared" si="10"/>
        <v>7</v>
      </c>
      <c r="R200">
        <f t="shared" si="8"/>
        <v>23</v>
      </c>
    </row>
    <row r="201" spans="11:18" x14ac:dyDescent="0.25">
      <c r="K201" s="8">
        <v>5</v>
      </c>
      <c r="L201">
        <v>20</v>
      </c>
      <c r="N201" t="str">
        <f t="shared" si="9"/>
        <v>0,42052020OK7</v>
      </c>
      <c r="P201" s="38">
        <f t="shared" si="10"/>
        <v>7</v>
      </c>
      <c r="R201">
        <f t="shared" si="8"/>
        <v>23</v>
      </c>
    </row>
    <row r="202" spans="11:18" x14ac:dyDescent="0.25">
      <c r="K202" s="134">
        <v>0</v>
      </c>
      <c r="L202" s="37">
        <v>0</v>
      </c>
      <c r="M202" s="37"/>
      <c r="N202" t="str">
        <f t="shared" si="9"/>
        <v>0,42052030OK7</v>
      </c>
      <c r="P202" s="38">
        <f t="shared" si="10"/>
        <v>8</v>
      </c>
      <c r="R202">
        <f t="shared" si="8"/>
        <v>24</v>
      </c>
    </row>
    <row r="203" spans="11:18" x14ac:dyDescent="0.25">
      <c r="K203" s="8">
        <v>0</v>
      </c>
      <c r="L203">
        <v>2</v>
      </c>
      <c r="N203" t="str">
        <f t="shared" si="9"/>
        <v>0,42052030OK7</v>
      </c>
      <c r="P203" s="38">
        <f t="shared" si="10"/>
        <v>8</v>
      </c>
      <c r="R203">
        <f t="shared" si="8"/>
        <v>24</v>
      </c>
    </row>
    <row r="204" spans="11:18" x14ac:dyDescent="0.25">
      <c r="K204" s="134">
        <v>0</v>
      </c>
      <c r="L204" s="37">
        <v>7</v>
      </c>
      <c r="M204" s="37"/>
      <c r="N204" t="str">
        <f t="shared" si="9"/>
        <v>0,42052050OK7</v>
      </c>
      <c r="P204" s="38">
        <f t="shared" si="10"/>
        <v>9</v>
      </c>
      <c r="R204">
        <f t="shared" si="8"/>
        <v>25</v>
      </c>
    </row>
    <row r="205" spans="11:18" x14ac:dyDescent="0.25">
      <c r="K205" s="8">
        <v>0</v>
      </c>
      <c r="L205">
        <v>12</v>
      </c>
      <c r="N205" t="str">
        <f t="shared" si="9"/>
        <v>0,42052050OK7</v>
      </c>
      <c r="P205" s="38">
        <f t="shared" si="10"/>
        <v>9</v>
      </c>
      <c r="R205">
        <f t="shared" si="8"/>
        <v>25</v>
      </c>
    </row>
    <row r="206" spans="11:18" x14ac:dyDescent="0.25">
      <c r="K206" s="134">
        <v>0</v>
      </c>
      <c r="L206" s="37">
        <v>20</v>
      </c>
      <c r="M206" s="37"/>
      <c r="N206" t="str">
        <f t="shared" si="9"/>
        <v>0,42052050OK7</v>
      </c>
      <c r="P206" s="38">
        <f t="shared" si="10"/>
        <v>9</v>
      </c>
      <c r="R206">
        <f t="shared" si="8"/>
        <v>25</v>
      </c>
    </row>
    <row r="207" spans="11:18" x14ac:dyDescent="0.25">
      <c r="K207" s="8">
        <v>-5</v>
      </c>
      <c r="L207">
        <v>0</v>
      </c>
      <c r="N207" t="str">
        <f t="shared" si="9"/>
        <v>0,32052050OK7</v>
      </c>
      <c r="P207" s="38">
        <f t="shared" si="10"/>
        <v>17</v>
      </c>
      <c r="R207">
        <f t="shared" si="8"/>
        <v>27</v>
      </c>
    </row>
    <row r="208" spans="11:18" x14ac:dyDescent="0.25">
      <c r="K208" s="134">
        <v>-5</v>
      </c>
      <c r="L208" s="37">
        <v>2</v>
      </c>
      <c r="M208" s="37"/>
      <c r="N208" t="str">
        <f t="shared" si="9"/>
        <v>0,32052050OK7</v>
      </c>
      <c r="P208" s="38">
        <f t="shared" si="10"/>
        <v>17</v>
      </c>
      <c r="R208">
        <f t="shared" si="8"/>
        <v>27</v>
      </c>
    </row>
    <row r="209" spans="11:18" x14ac:dyDescent="0.25">
      <c r="K209" s="8">
        <v>-5</v>
      </c>
      <c r="L209">
        <v>7</v>
      </c>
      <c r="N209" t="str">
        <f t="shared" si="9"/>
        <v>0,32052050OK7</v>
      </c>
      <c r="P209" s="38">
        <f t="shared" si="10"/>
        <v>17</v>
      </c>
      <c r="R209">
        <f t="shared" si="8"/>
        <v>27</v>
      </c>
    </row>
    <row r="210" spans="11:18" x14ac:dyDescent="0.25">
      <c r="K210" s="134">
        <v>-5</v>
      </c>
      <c r="L210" s="37">
        <v>12</v>
      </c>
      <c r="M210" s="37"/>
      <c r="N210" t="str">
        <f t="shared" si="9"/>
        <v>0,32052050OK7</v>
      </c>
      <c r="P210" s="38">
        <f t="shared" si="10"/>
        <v>17</v>
      </c>
      <c r="R210">
        <f t="shared" si="8"/>
        <v>27</v>
      </c>
    </row>
    <row r="211" spans="11:18" x14ac:dyDescent="0.25">
      <c r="K211" s="8">
        <v>-5</v>
      </c>
      <c r="L211">
        <v>20</v>
      </c>
      <c r="N211" t="str">
        <f t="shared" si="9"/>
        <v>0,22052030OK7</v>
      </c>
      <c r="P211" s="38">
        <f t="shared" si="10"/>
        <v>25</v>
      </c>
      <c r="R211">
        <f t="shared" si="8"/>
        <v>42</v>
      </c>
    </row>
    <row r="212" spans="11:18" x14ac:dyDescent="0.25">
      <c r="K212" s="134">
        <v>-10</v>
      </c>
      <c r="L212" s="37">
        <v>0</v>
      </c>
      <c r="M212" s="37"/>
      <c r="N212" t="str">
        <f t="shared" si="9"/>
        <v>0,22052050OK7</v>
      </c>
      <c r="P212" s="38">
        <f t="shared" si="10"/>
        <v>26</v>
      </c>
      <c r="R212">
        <f t="shared" si="8"/>
        <v>29</v>
      </c>
    </row>
    <row r="213" spans="11:18" x14ac:dyDescent="0.25">
      <c r="K213" s="8">
        <v>-10</v>
      </c>
      <c r="L213">
        <v>2</v>
      </c>
      <c r="N213" t="str">
        <f t="shared" si="9"/>
        <v>0,12052030OK7</v>
      </c>
      <c r="P213" s="38">
        <f t="shared" si="10"/>
        <v>32</v>
      </c>
      <c r="R213">
        <f t="shared" si="8"/>
        <v>30</v>
      </c>
    </row>
    <row r="214" spans="11:18" x14ac:dyDescent="0.25">
      <c r="K214" s="134">
        <v>-10</v>
      </c>
      <c r="L214" s="37">
        <v>7</v>
      </c>
      <c r="M214" s="37"/>
      <c r="N214" t="str">
        <f t="shared" si="9"/>
        <v>0,12052030OK7</v>
      </c>
      <c r="P214" s="38">
        <f t="shared" si="10"/>
        <v>32</v>
      </c>
      <c r="R214">
        <f t="shared" si="8"/>
        <v>30</v>
      </c>
    </row>
    <row r="215" spans="11:18" x14ac:dyDescent="0.25">
      <c r="K215" s="8">
        <v>-10</v>
      </c>
      <c r="L215">
        <v>12</v>
      </c>
      <c r="N215" t="str">
        <f t="shared" si="9"/>
        <v>-----Frys innan täck</v>
      </c>
      <c r="P215" s="38">
        <f t="shared" si="10"/>
        <v>45</v>
      </c>
      <c r="R215">
        <f t="shared" si="8"/>
        <v>17</v>
      </c>
    </row>
    <row r="216" spans="11:18" x14ac:dyDescent="0.25">
      <c r="K216" s="134">
        <v>-10</v>
      </c>
      <c r="L216" s="37">
        <v>20</v>
      </c>
      <c r="M216" s="37"/>
      <c r="N216" t="str">
        <f t="shared" si="9"/>
        <v>-----Frys innan täck</v>
      </c>
      <c r="P216" s="38">
        <f t="shared" si="10"/>
        <v>45</v>
      </c>
      <c r="R216">
        <f t="shared" si="8"/>
        <v>17</v>
      </c>
    </row>
    <row r="217" spans="11:18" x14ac:dyDescent="0.25">
      <c r="K217" s="8">
        <v>-15</v>
      </c>
      <c r="L217">
        <v>0</v>
      </c>
      <c r="N217" t="str">
        <f t="shared" si="9"/>
        <v>Bas+0%1552030OK7</v>
      </c>
      <c r="P217" s="38">
        <f t="shared" si="10"/>
        <v>40</v>
      </c>
      <c r="R217">
        <f t="shared" si="8"/>
        <v>43</v>
      </c>
    </row>
    <row r="218" spans="11:18" x14ac:dyDescent="0.25">
      <c r="K218" s="134">
        <v>-15</v>
      </c>
      <c r="L218" s="37">
        <v>2</v>
      </c>
      <c r="M218" s="37"/>
      <c r="N218" t="str">
        <f t="shared" si="9"/>
        <v>Bas+0%1552050OK7</v>
      </c>
      <c r="P218" s="38">
        <f t="shared" si="10"/>
        <v>42</v>
      </c>
      <c r="R218">
        <f t="shared" si="8"/>
        <v>33</v>
      </c>
    </row>
    <row r="219" spans="11:18" x14ac:dyDescent="0.25">
      <c r="K219" s="8">
        <v>-15</v>
      </c>
      <c r="L219">
        <v>7</v>
      </c>
      <c r="N219" t="str">
        <f t="shared" si="9"/>
        <v>-----Frys innan täck</v>
      </c>
      <c r="P219" s="38">
        <f t="shared" si="10"/>
        <v>45</v>
      </c>
      <c r="R219">
        <f t="shared" si="8"/>
        <v>17</v>
      </c>
    </row>
    <row r="220" spans="11:18" x14ac:dyDescent="0.25">
      <c r="K220" s="134">
        <v>-15</v>
      </c>
      <c r="L220" s="37">
        <v>12</v>
      </c>
      <c r="M220" s="37"/>
      <c r="N220" t="str">
        <f t="shared" si="9"/>
        <v>-----Frys innan täck</v>
      </c>
      <c r="P220" s="38">
        <f t="shared" si="10"/>
        <v>45</v>
      </c>
      <c r="R220">
        <f t="shared" si="8"/>
        <v>17</v>
      </c>
    </row>
    <row r="221" spans="11:18" x14ac:dyDescent="0.25">
      <c r="K221" s="8">
        <v>-15</v>
      </c>
      <c r="L221">
        <v>20</v>
      </c>
      <c r="N221" t="str">
        <f t="shared" si="9"/>
        <v>-----Frys innan täck</v>
      </c>
      <c r="P221" s="38">
        <f t="shared" si="10"/>
        <v>45</v>
      </c>
      <c r="R221">
        <f t="shared" si="8"/>
        <v>17</v>
      </c>
    </row>
    <row r="222" spans="11:18" x14ac:dyDescent="0.25">
      <c r="K222" s="134">
        <v>-20</v>
      </c>
      <c r="L222" s="37">
        <v>0</v>
      </c>
      <c r="M222" s="37"/>
      <c r="N222" t="str">
        <f t="shared" si="9"/>
        <v>-----Når ej 70%</v>
      </c>
      <c r="P222" s="38">
        <f t="shared" si="10"/>
        <v>44</v>
      </c>
      <c r="R222">
        <f t="shared" si="8"/>
        <v>8</v>
      </c>
    </row>
    <row r="223" spans="11:18" x14ac:dyDescent="0.25">
      <c r="K223" s="8">
        <v>-20</v>
      </c>
      <c r="L223">
        <v>2</v>
      </c>
      <c r="N223" t="str">
        <f t="shared" si="9"/>
        <v>-----Når ej 70%</v>
      </c>
      <c r="P223" s="38">
        <f t="shared" si="10"/>
        <v>44</v>
      </c>
      <c r="R223">
        <f t="shared" si="8"/>
        <v>8</v>
      </c>
    </row>
    <row r="224" spans="11:18" x14ac:dyDescent="0.25">
      <c r="K224" s="134">
        <v>-20</v>
      </c>
      <c r="L224" s="37">
        <v>7</v>
      </c>
      <c r="M224" s="37"/>
      <c r="N224" t="str">
        <f t="shared" si="9"/>
        <v>-----Frys innan täck</v>
      </c>
      <c r="P224" s="38">
        <f t="shared" si="10"/>
        <v>45</v>
      </c>
      <c r="R224">
        <f t="shared" si="8"/>
        <v>17</v>
      </c>
    </row>
    <row r="225" spans="11:18" x14ac:dyDescent="0.25">
      <c r="K225" s="8">
        <v>-20</v>
      </c>
      <c r="L225">
        <v>12</v>
      </c>
      <c r="N225" t="str">
        <f t="shared" si="9"/>
        <v>-----Frys innan täck</v>
      </c>
      <c r="P225" s="38">
        <f t="shared" si="10"/>
        <v>45</v>
      </c>
      <c r="R225">
        <f t="shared" si="8"/>
        <v>17</v>
      </c>
    </row>
    <row r="226" spans="11:18" ht="15.75" thickBot="1" x14ac:dyDescent="0.3">
      <c r="K226" s="135">
        <v>-20</v>
      </c>
      <c r="L226" s="131">
        <v>20</v>
      </c>
      <c r="M226" s="131"/>
      <c r="N226" s="11" t="str">
        <f t="shared" si="9"/>
        <v>-----Frys innan täck</v>
      </c>
      <c r="O226" s="11"/>
      <c r="P226" s="38">
        <f t="shared" si="10"/>
        <v>45</v>
      </c>
      <c r="R226">
        <f t="shared" si="8"/>
        <v>17</v>
      </c>
    </row>
    <row r="227" spans="11:18" x14ac:dyDescent="0.25">
      <c r="K227" s="134">
        <v>20</v>
      </c>
      <c r="L227" s="37">
        <v>0</v>
      </c>
      <c r="M227" t="s">
        <v>47</v>
      </c>
      <c r="N227" t="str">
        <f t="shared" ref="N227:N271" si="11">G2</f>
        <v>0,41520--OK7</v>
      </c>
      <c r="P227" s="38">
        <f t="shared" si="10"/>
        <v>1</v>
      </c>
      <c r="R227">
        <f t="shared" si="8"/>
        <v>34</v>
      </c>
    </row>
    <row r="228" spans="11:18" x14ac:dyDescent="0.25">
      <c r="K228" s="8">
        <v>20</v>
      </c>
      <c r="L228">
        <v>2</v>
      </c>
      <c r="N228" t="str">
        <f t="shared" si="11"/>
        <v>0,41520--OK7</v>
      </c>
      <c r="P228" s="38">
        <f t="shared" si="10"/>
        <v>1</v>
      </c>
      <c r="R228">
        <f t="shared" si="8"/>
        <v>34</v>
      </c>
    </row>
    <row r="229" spans="11:18" x14ac:dyDescent="0.25">
      <c r="K229" s="134">
        <v>20</v>
      </c>
      <c r="L229" s="37">
        <v>7</v>
      </c>
      <c r="N229" t="str">
        <f t="shared" si="11"/>
        <v>0,41520--OK7</v>
      </c>
      <c r="P229" s="38">
        <f t="shared" si="10"/>
        <v>1</v>
      </c>
      <c r="R229">
        <f t="shared" si="8"/>
        <v>34</v>
      </c>
    </row>
    <row r="230" spans="11:18" x14ac:dyDescent="0.25">
      <c r="K230" s="8">
        <v>20</v>
      </c>
      <c r="L230">
        <v>12</v>
      </c>
      <c r="N230" t="str">
        <f t="shared" si="11"/>
        <v>0,41520--OK7</v>
      </c>
      <c r="P230" s="38">
        <f t="shared" si="10"/>
        <v>1</v>
      </c>
      <c r="R230">
        <f t="shared" si="8"/>
        <v>34</v>
      </c>
    </row>
    <row r="231" spans="11:18" x14ac:dyDescent="0.25">
      <c r="K231" s="134">
        <v>20</v>
      </c>
      <c r="L231" s="37">
        <v>20</v>
      </c>
      <c r="N231" t="str">
        <f t="shared" si="11"/>
        <v>0,41520--OK7</v>
      </c>
      <c r="P231" s="38">
        <f t="shared" si="10"/>
        <v>1</v>
      </c>
      <c r="R231">
        <f t="shared" si="8"/>
        <v>34</v>
      </c>
    </row>
    <row r="232" spans="11:18" x14ac:dyDescent="0.25">
      <c r="K232" s="8">
        <v>15</v>
      </c>
      <c r="L232">
        <v>0</v>
      </c>
      <c r="N232" t="str">
        <f t="shared" si="11"/>
        <v>0,315150PresenningOK7</v>
      </c>
      <c r="P232" s="38">
        <f t="shared" si="10"/>
        <v>13</v>
      </c>
      <c r="R232">
        <f t="shared" si="8"/>
        <v>44</v>
      </c>
    </row>
    <row r="233" spans="11:18" x14ac:dyDescent="0.25">
      <c r="K233" s="134">
        <v>15</v>
      </c>
      <c r="L233" s="37">
        <v>2</v>
      </c>
      <c r="N233" t="str">
        <f t="shared" si="11"/>
        <v>0,21515--OK7</v>
      </c>
      <c r="P233" s="38">
        <f t="shared" si="10"/>
        <v>19</v>
      </c>
      <c r="R233">
        <f t="shared" si="8"/>
        <v>35</v>
      </c>
    </row>
    <row r="234" spans="11:18" x14ac:dyDescent="0.25">
      <c r="K234" s="8">
        <v>15</v>
      </c>
      <c r="L234">
        <v>7</v>
      </c>
      <c r="N234" t="str">
        <f t="shared" si="11"/>
        <v>0,21515--OK7</v>
      </c>
      <c r="P234" s="38">
        <f t="shared" si="10"/>
        <v>19</v>
      </c>
      <c r="R234">
        <f t="shared" si="8"/>
        <v>35</v>
      </c>
    </row>
    <row r="235" spans="11:18" x14ac:dyDescent="0.25">
      <c r="K235" s="134">
        <v>15</v>
      </c>
      <c r="L235" s="37">
        <v>12</v>
      </c>
      <c r="N235" t="str">
        <f t="shared" si="11"/>
        <v>0,21515--OK7</v>
      </c>
      <c r="P235" s="38">
        <f t="shared" si="10"/>
        <v>19</v>
      </c>
      <c r="R235">
        <f t="shared" si="8"/>
        <v>35</v>
      </c>
    </row>
    <row r="236" spans="11:18" x14ac:dyDescent="0.25">
      <c r="K236" s="8">
        <v>15</v>
      </c>
      <c r="L236">
        <v>20</v>
      </c>
      <c r="N236" t="str">
        <f t="shared" si="11"/>
        <v>0,21515--OK7</v>
      </c>
      <c r="P236" s="38">
        <f t="shared" si="10"/>
        <v>19</v>
      </c>
      <c r="R236">
        <f t="shared" si="8"/>
        <v>35</v>
      </c>
    </row>
    <row r="237" spans="11:18" x14ac:dyDescent="0.25">
      <c r="K237" s="134">
        <v>10</v>
      </c>
      <c r="L237" s="37">
        <v>0</v>
      </c>
      <c r="N237" t="str">
        <f t="shared" si="11"/>
        <v>0,11510--OK7</v>
      </c>
      <c r="P237" s="38">
        <f t="shared" si="10"/>
        <v>28</v>
      </c>
      <c r="R237">
        <f t="shared" si="8"/>
        <v>37</v>
      </c>
    </row>
    <row r="238" spans="11:18" x14ac:dyDescent="0.25">
      <c r="K238" s="8">
        <v>10</v>
      </c>
      <c r="L238">
        <v>2</v>
      </c>
      <c r="N238" t="str">
        <f t="shared" si="11"/>
        <v>0,11510--OK7</v>
      </c>
      <c r="P238" s="38">
        <f t="shared" si="10"/>
        <v>28</v>
      </c>
      <c r="R238">
        <f t="shared" si="8"/>
        <v>37</v>
      </c>
    </row>
    <row r="239" spans="11:18" x14ac:dyDescent="0.25">
      <c r="K239" s="134">
        <v>10</v>
      </c>
      <c r="L239" s="37">
        <v>7</v>
      </c>
      <c r="N239" t="str">
        <f t="shared" si="11"/>
        <v>0,115100PresenningOK7</v>
      </c>
      <c r="P239" s="38">
        <f t="shared" si="10"/>
        <v>31</v>
      </c>
      <c r="R239">
        <f t="shared" ref="R239:R302" si="12">MATCH(N239, _xlfn.UNIQUE($N$47:$N$361), 0)</f>
        <v>41</v>
      </c>
    </row>
    <row r="240" spans="11:18" x14ac:dyDescent="0.25">
      <c r="K240" s="8">
        <v>10</v>
      </c>
      <c r="L240">
        <v>12</v>
      </c>
      <c r="N240" t="str">
        <f t="shared" si="11"/>
        <v>0,115100PresenningOK7</v>
      </c>
      <c r="P240" s="38">
        <f t="shared" si="10"/>
        <v>31</v>
      </c>
      <c r="R240">
        <f t="shared" si="12"/>
        <v>41</v>
      </c>
    </row>
    <row r="241" spans="11:18" x14ac:dyDescent="0.25">
      <c r="K241" s="134">
        <v>10</v>
      </c>
      <c r="L241" s="37">
        <v>20</v>
      </c>
      <c r="N241" t="str">
        <f t="shared" si="11"/>
        <v>0,115100PresenningOK7</v>
      </c>
      <c r="P241" s="38">
        <f t="shared" si="10"/>
        <v>31</v>
      </c>
      <c r="R241">
        <f t="shared" si="12"/>
        <v>41</v>
      </c>
    </row>
    <row r="242" spans="11:18" x14ac:dyDescent="0.25">
      <c r="K242" s="8">
        <v>5</v>
      </c>
      <c r="L242">
        <v>0</v>
      </c>
      <c r="N242" t="str">
        <f t="shared" si="11"/>
        <v>0,42052010OK7</v>
      </c>
      <c r="P242" s="38">
        <f t="shared" si="10"/>
        <v>6</v>
      </c>
      <c r="R242">
        <f t="shared" si="12"/>
        <v>38</v>
      </c>
    </row>
    <row r="243" spans="11:18" x14ac:dyDescent="0.25">
      <c r="K243" s="134">
        <v>5</v>
      </c>
      <c r="L243" s="37">
        <v>2</v>
      </c>
      <c r="N243" t="str">
        <f t="shared" si="11"/>
        <v>0,42052010OK7</v>
      </c>
      <c r="P243" s="38">
        <f t="shared" si="10"/>
        <v>6</v>
      </c>
      <c r="R243">
        <f t="shared" si="12"/>
        <v>38</v>
      </c>
    </row>
    <row r="244" spans="11:18" x14ac:dyDescent="0.25">
      <c r="K244" s="8">
        <v>5</v>
      </c>
      <c r="L244">
        <v>7</v>
      </c>
      <c r="N244" t="str">
        <f t="shared" si="11"/>
        <v>0,42052010OK7</v>
      </c>
      <c r="P244" s="38">
        <f t="shared" si="10"/>
        <v>6</v>
      </c>
      <c r="R244">
        <f t="shared" si="12"/>
        <v>38</v>
      </c>
    </row>
    <row r="245" spans="11:18" x14ac:dyDescent="0.25">
      <c r="K245" s="134">
        <v>5</v>
      </c>
      <c r="L245" s="37">
        <v>12</v>
      </c>
      <c r="N245" t="str">
        <f t="shared" si="11"/>
        <v>0,42052020OK7</v>
      </c>
      <c r="P245" s="38">
        <f t="shared" si="10"/>
        <v>7</v>
      </c>
      <c r="R245">
        <f t="shared" si="12"/>
        <v>23</v>
      </c>
    </row>
    <row r="246" spans="11:18" x14ac:dyDescent="0.25">
      <c r="K246" s="8">
        <v>5</v>
      </c>
      <c r="L246">
        <v>20</v>
      </c>
      <c r="N246" t="str">
        <f t="shared" si="11"/>
        <v>0,42052020OK7</v>
      </c>
      <c r="P246" s="38">
        <f t="shared" si="10"/>
        <v>7</v>
      </c>
      <c r="R246">
        <f t="shared" si="12"/>
        <v>23</v>
      </c>
    </row>
    <row r="247" spans="11:18" x14ac:dyDescent="0.25">
      <c r="K247" s="134">
        <v>0</v>
      </c>
      <c r="L247" s="37">
        <v>0</v>
      </c>
      <c r="N247" t="str">
        <f t="shared" si="11"/>
        <v>0,42052020OK7</v>
      </c>
      <c r="P247" s="38">
        <f t="shared" si="10"/>
        <v>7</v>
      </c>
      <c r="R247">
        <f t="shared" si="12"/>
        <v>23</v>
      </c>
    </row>
    <row r="248" spans="11:18" x14ac:dyDescent="0.25">
      <c r="K248" s="8">
        <v>0</v>
      </c>
      <c r="L248">
        <v>2</v>
      </c>
      <c r="N248" t="str">
        <f t="shared" si="11"/>
        <v>0,42052030OK7</v>
      </c>
      <c r="P248" s="38">
        <f t="shared" si="10"/>
        <v>8</v>
      </c>
      <c r="R248">
        <f t="shared" si="12"/>
        <v>24</v>
      </c>
    </row>
    <row r="249" spans="11:18" x14ac:dyDescent="0.25">
      <c r="K249" s="134">
        <v>0</v>
      </c>
      <c r="L249" s="37">
        <v>7</v>
      </c>
      <c r="N249" t="str">
        <f t="shared" si="11"/>
        <v>0,42052030OK7</v>
      </c>
      <c r="P249" s="38">
        <f t="shared" si="10"/>
        <v>8</v>
      </c>
      <c r="R249">
        <f t="shared" si="12"/>
        <v>24</v>
      </c>
    </row>
    <row r="250" spans="11:18" x14ac:dyDescent="0.25">
      <c r="K250" s="8">
        <v>0</v>
      </c>
      <c r="L250">
        <v>12</v>
      </c>
      <c r="N250" t="str">
        <f t="shared" si="11"/>
        <v>0,42052030OK7</v>
      </c>
      <c r="P250" s="38">
        <f t="shared" si="10"/>
        <v>8</v>
      </c>
      <c r="R250">
        <f t="shared" si="12"/>
        <v>24</v>
      </c>
    </row>
    <row r="251" spans="11:18" x14ac:dyDescent="0.25">
      <c r="K251" s="134">
        <v>0</v>
      </c>
      <c r="L251" s="37">
        <v>20</v>
      </c>
      <c r="N251" t="str">
        <f t="shared" si="11"/>
        <v>0,42052030OK7</v>
      </c>
      <c r="P251" s="38">
        <f t="shared" si="10"/>
        <v>8</v>
      </c>
      <c r="R251">
        <f t="shared" si="12"/>
        <v>24</v>
      </c>
    </row>
    <row r="252" spans="11:18" x14ac:dyDescent="0.25">
      <c r="K252" s="8">
        <v>-5</v>
      </c>
      <c r="L252">
        <v>0</v>
      </c>
      <c r="N252" t="str">
        <f t="shared" si="11"/>
        <v>0,32052030OK7</v>
      </c>
      <c r="P252" s="38">
        <f t="shared" si="10"/>
        <v>16</v>
      </c>
      <c r="R252">
        <f t="shared" si="12"/>
        <v>26</v>
      </c>
    </row>
    <row r="253" spans="11:18" x14ac:dyDescent="0.25">
      <c r="K253" s="134">
        <v>-5</v>
      </c>
      <c r="L253" s="37">
        <v>2</v>
      </c>
      <c r="N253" t="str">
        <f t="shared" si="11"/>
        <v>0,32052050OK7</v>
      </c>
      <c r="P253" s="38">
        <f t="shared" si="10"/>
        <v>17</v>
      </c>
      <c r="R253">
        <f t="shared" si="12"/>
        <v>27</v>
      </c>
    </row>
    <row r="254" spans="11:18" x14ac:dyDescent="0.25">
      <c r="K254" s="8">
        <v>-5</v>
      </c>
      <c r="L254">
        <v>7</v>
      </c>
      <c r="N254" t="str">
        <f t="shared" si="11"/>
        <v>0,32052050OK7</v>
      </c>
      <c r="P254" s="38">
        <f t="shared" si="10"/>
        <v>17</v>
      </c>
      <c r="R254">
        <f t="shared" si="12"/>
        <v>27</v>
      </c>
    </row>
    <row r="255" spans="11:18" x14ac:dyDescent="0.25">
      <c r="K255" s="134">
        <v>-5</v>
      </c>
      <c r="L255" s="37">
        <v>12</v>
      </c>
      <c r="N255" t="str">
        <f t="shared" si="11"/>
        <v>0,32052050OK7</v>
      </c>
      <c r="P255" s="38">
        <f t="shared" si="10"/>
        <v>17</v>
      </c>
      <c r="R255">
        <f t="shared" si="12"/>
        <v>27</v>
      </c>
    </row>
    <row r="256" spans="11:18" x14ac:dyDescent="0.25">
      <c r="K256" s="8">
        <v>-5</v>
      </c>
      <c r="L256">
        <v>20</v>
      </c>
      <c r="N256" t="str">
        <f t="shared" si="11"/>
        <v>0,32052050OK7</v>
      </c>
      <c r="P256" s="38">
        <f t="shared" si="10"/>
        <v>17</v>
      </c>
      <c r="R256">
        <f t="shared" si="12"/>
        <v>27</v>
      </c>
    </row>
    <row r="257" spans="11:18" x14ac:dyDescent="0.25">
      <c r="K257" s="134">
        <v>-10</v>
      </c>
      <c r="L257" s="37">
        <v>0</v>
      </c>
      <c r="N257" t="str">
        <f t="shared" si="11"/>
        <v>0,22052050OK7</v>
      </c>
      <c r="P257" s="38">
        <f t="shared" si="10"/>
        <v>26</v>
      </c>
      <c r="R257">
        <f t="shared" si="12"/>
        <v>29</v>
      </c>
    </row>
    <row r="258" spans="11:18" x14ac:dyDescent="0.25">
      <c r="K258" s="8">
        <v>-10</v>
      </c>
      <c r="L258">
        <v>2</v>
      </c>
      <c r="N258" t="str">
        <f t="shared" si="11"/>
        <v>0,22052050OK7</v>
      </c>
      <c r="P258" s="38">
        <f t="shared" ref="P258:P321" si="13">MATCH(N258, _xlfn.UNIQUE($N$2:$N$361), 0)</f>
        <v>26</v>
      </c>
      <c r="R258">
        <f t="shared" si="12"/>
        <v>29</v>
      </c>
    </row>
    <row r="259" spans="11:18" x14ac:dyDescent="0.25">
      <c r="K259" s="134">
        <v>-10</v>
      </c>
      <c r="L259" s="37">
        <v>7</v>
      </c>
      <c r="N259" t="str">
        <f t="shared" si="11"/>
        <v>0,22052050OK7</v>
      </c>
      <c r="P259" s="38">
        <f t="shared" si="13"/>
        <v>26</v>
      </c>
      <c r="R259">
        <f t="shared" si="12"/>
        <v>29</v>
      </c>
    </row>
    <row r="260" spans="11:18" x14ac:dyDescent="0.25">
      <c r="K260" s="8">
        <v>-10</v>
      </c>
      <c r="L260">
        <v>12</v>
      </c>
      <c r="N260" t="str">
        <f t="shared" si="11"/>
        <v>-----Frys innan täck</v>
      </c>
      <c r="P260" s="38">
        <f t="shared" si="13"/>
        <v>45</v>
      </c>
      <c r="R260">
        <f t="shared" si="12"/>
        <v>17</v>
      </c>
    </row>
    <row r="261" spans="11:18" x14ac:dyDescent="0.25">
      <c r="K261" s="134">
        <v>-10</v>
      </c>
      <c r="L261" s="37">
        <v>20</v>
      </c>
      <c r="N261" t="str">
        <f t="shared" si="11"/>
        <v>-----Frys innan täck</v>
      </c>
      <c r="P261" s="38">
        <f t="shared" si="13"/>
        <v>45</v>
      </c>
      <c r="R261">
        <f t="shared" si="12"/>
        <v>17</v>
      </c>
    </row>
    <row r="262" spans="11:18" x14ac:dyDescent="0.25">
      <c r="K262" s="8">
        <v>-15</v>
      </c>
      <c r="L262">
        <v>0</v>
      </c>
      <c r="N262" t="str">
        <f t="shared" si="11"/>
        <v>0,11552050OK7</v>
      </c>
      <c r="P262" s="38">
        <f t="shared" si="13"/>
        <v>35</v>
      </c>
      <c r="R262">
        <f t="shared" si="12"/>
        <v>45</v>
      </c>
    </row>
    <row r="263" spans="11:18" x14ac:dyDescent="0.25">
      <c r="K263" s="134">
        <v>-15</v>
      </c>
      <c r="L263" s="37">
        <v>2</v>
      </c>
      <c r="N263" t="str">
        <f t="shared" si="11"/>
        <v>Bas+0%1552030OK7</v>
      </c>
      <c r="P263" s="38">
        <f t="shared" si="13"/>
        <v>40</v>
      </c>
      <c r="R263">
        <f t="shared" si="12"/>
        <v>43</v>
      </c>
    </row>
    <row r="264" spans="11:18" x14ac:dyDescent="0.25">
      <c r="K264" s="8">
        <v>-15</v>
      </c>
      <c r="L264">
        <v>7</v>
      </c>
      <c r="N264" t="str">
        <f t="shared" si="11"/>
        <v>-----Frys innan täck</v>
      </c>
      <c r="P264" s="38">
        <f t="shared" si="13"/>
        <v>45</v>
      </c>
      <c r="R264">
        <f t="shared" si="12"/>
        <v>17</v>
      </c>
    </row>
    <row r="265" spans="11:18" x14ac:dyDescent="0.25">
      <c r="K265" s="134">
        <v>-15</v>
      </c>
      <c r="L265" s="37">
        <v>12</v>
      </c>
      <c r="N265" t="str">
        <f t="shared" si="11"/>
        <v>-----Frys innan täck</v>
      </c>
      <c r="P265" s="38">
        <f t="shared" si="13"/>
        <v>45</v>
      </c>
      <c r="R265">
        <f t="shared" si="12"/>
        <v>17</v>
      </c>
    </row>
    <row r="266" spans="11:18" x14ac:dyDescent="0.25">
      <c r="K266" s="8">
        <v>-15</v>
      </c>
      <c r="L266">
        <v>20</v>
      </c>
      <c r="N266" t="str">
        <f t="shared" si="11"/>
        <v>-----Frys innan täck</v>
      </c>
      <c r="P266" s="38">
        <f t="shared" si="13"/>
        <v>45</v>
      </c>
      <c r="R266">
        <f t="shared" si="12"/>
        <v>17</v>
      </c>
    </row>
    <row r="267" spans="11:18" x14ac:dyDescent="0.25">
      <c r="K267" s="134">
        <v>-20</v>
      </c>
      <c r="L267" s="37">
        <v>0</v>
      </c>
      <c r="N267" t="str">
        <f t="shared" si="11"/>
        <v>-----Når ej 70%</v>
      </c>
      <c r="P267" s="38">
        <f t="shared" si="13"/>
        <v>44</v>
      </c>
      <c r="R267">
        <f t="shared" si="12"/>
        <v>8</v>
      </c>
    </row>
    <row r="268" spans="11:18" x14ac:dyDescent="0.25">
      <c r="K268" s="8">
        <v>-20</v>
      </c>
      <c r="L268">
        <v>2</v>
      </c>
      <c r="N268" t="str">
        <f t="shared" si="11"/>
        <v>-----Når ej 70%</v>
      </c>
      <c r="P268" s="38">
        <f t="shared" si="13"/>
        <v>44</v>
      </c>
      <c r="R268">
        <f t="shared" si="12"/>
        <v>8</v>
      </c>
    </row>
    <row r="269" spans="11:18" x14ac:dyDescent="0.25">
      <c r="K269" s="134">
        <v>-20</v>
      </c>
      <c r="L269" s="37">
        <v>7</v>
      </c>
      <c r="N269" t="str">
        <f t="shared" si="11"/>
        <v>-----Frys innan täck</v>
      </c>
      <c r="P269" s="38">
        <f t="shared" si="13"/>
        <v>45</v>
      </c>
      <c r="R269">
        <f t="shared" si="12"/>
        <v>17</v>
      </c>
    </row>
    <row r="270" spans="11:18" x14ac:dyDescent="0.25">
      <c r="K270" s="8">
        <v>-20</v>
      </c>
      <c r="L270">
        <v>12</v>
      </c>
      <c r="N270" t="str">
        <f t="shared" si="11"/>
        <v>-----Frys innan täck</v>
      </c>
      <c r="P270" s="38">
        <f t="shared" si="13"/>
        <v>45</v>
      </c>
      <c r="R270">
        <f t="shared" si="12"/>
        <v>17</v>
      </c>
    </row>
    <row r="271" spans="11:18" ht="15.75" thickBot="1" x14ac:dyDescent="0.3">
      <c r="K271" s="135">
        <v>-20</v>
      </c>
      <c r="L271" s="131">
        <v>20</v>
      </c>
      <c r="N271" t="str">
        <f t="shared" si="11"/>
        <v>-----Frys innan täck</v>
      </c>
      <c r="P271" s="38">
        <f t="shared" si="13"/>
        <v>45</v>
      </c>
      <c r="R271">
        <f t="shared" si="12"/>
        <v>17</v>
      </c>
    </row>
    <row r="272" spans="11:18" x14ac:dyDescent="0.25">
      <c r="K272" s="132">
        <v>20</v>
      </c>
      <c r="L272" s="133">
        <v>0</v>
      </c>
      <c r="M272" t="s">
        <v>14</v>
      </c>
      <c r="N272" t="str">
        <f t="shared" ref="N272:N316" si="14">H2</f>
        <v>0,41520--OK7</v>
      </c>
      <c r="P272" s="38">
        <f t="shared" si="13"/>
        <v>1</v>
      </c>
      <c r="R272">
        <f t="shared" si="12"/>
        <v>34</v>
      </c>
    </row>
    <row r="273" spans="11:18" x14ac:dyDescent="0.25">
      <c r="K273" s="8">
        <v>20</v>
      </c>
      <c r="L273">
        <v>2</v>
      </c>
      <c r="N273" t="str">
        <f t="shared" si="14"/>
        <v>0,41520--OK7</v>
      </c>
      <c r="P273" s="38">
        <f t="shared" si="13"/>
        <v>1</v>
      </c>
      <c r="R273">
        <f t="shared" si="12"/>
        <v>34</v>
      </c>
    </row>
    <row r="274" spans="11:18" x14ac:dyDescent="0.25">
      <c r="K274" s="134">
        <v>20</v>
      </c>
      <c r="L274" s="37">
        <v>7</v>
      </c>
      <c r="N274" t="str">
        <f t="shared" si="14"/>
        <v>0,41520--OK7</v>
      </c>
      <c r="P274" s="38">
        <f t="shared" si="13"/>
        <v>1</v>
      </c>
      <c r="R274">
        <f t="shared" si="12"/>
        <v>34</v>
      </c>
    </row>
    <row r="275" spans="11:18" x14ac:dyDescent="0.25">
      <c r="K275" s="8">
        <v>20</v>
      </c>
      <c r="L275">
        <v>12</v>
      </c>
      <c r="N275" t="str">
        <f t="shared" si="14"/>
        <v>0,41520--OK7</v>
      </c>
      <c r="P275" s="38">
        <f t="shared" si="13"/>
        <v>1</v>
      </c>
      <c r="R275">
        <f t="shared" si="12"/>
        <v>34</v>
      </c>
    </row>
    <row r="276" spans="11:18" x14ac:dyDescent="0.25">
      <c r="K276" s="134">
        <v>20</v>
      </c>
      <c r="L276" s="37">
        <v>20</v>
      </c>
      <c r="N276" t="str">
        <f t="shared" si="14"/>
        <v>0,41520--OK7</v>
      </c>
      <c r="P276" s="38">
        <f t="shared" si="13"/>
        <v>1</v>
      </c>
      <c r="R276">
        <f t="shared" si="12"/>
        <v>34</v>
      </c>
    </row>
    <row r="277" spans="11:18" x14ac:dyDescent="0.25">
      <c r="K277" s="8">
        <v>15</v>
      </c>
      <c r="L277">
        <v>0</v>
      </c>
      <c r="N277" t="str">
        <f t="shared" si="14"/>
        <v>0,31515--OK7</v>
      </c>
      <c r="P277" s="38">
        <f t="shared" si="13"/>
        <v>10</v>
      </c>
      <c r="R277">
        <f t="shared" si="12"/>
        <v>46</v>
      </c>
    </row>
    <row r="278" spans="11:18" x14ac:dyDescent="0.25">
      <c r="K278" s="134">
        <v>15</v>
      </c>
      <c r="L278" s="37">
        <v>2</v>
      </c>
      <c r="N278" t="str">
        <f t="shared" si="14"/>
        <v>0,31515--OK7</v>
      </c>
      <c r="P278" s="38">
        <f t="shared" si="13"/>
        <v>10</v>
      </c>
      <c r="R278">
        <f t="shared" si="12"/>
        <v>46</v>
      </c>
    </row>
    <row r="279" spans="11:18" x14ac:dyDescent="0.25">
      <c r="K279" s="8">
        <v>15</v>
      </c>
      <c r="L279">
        <v>7</v>
      </c>
      <c r="N279" t="str">
        <f t="shared" si="14"/>
        <v>0,315150PresenningOK7</v>
      </c>
      <c r="P279" s="38">
        <f t="shared" si="13"/>
        <v>13</v>
      </c>
      <c r="R279">
        <f t="shared" si="12"/>
        <v>44</v>
      </c>
    </row>
    <row r="280" spans="11:18" x14ac:dyDescent="0.25">
      <c r="K280" s="134">
        <v>15</v>
      </c>
      <c r="L280" s="37">
        <v>12</v>
      </c>
      <c r="N280" t="str">
        <f t="shared" si="14"/>
        <v>0,315150PresenningOK7</v>
      </c>
      <c r="P280" s="38">
        <f t="shared" si="13"/>
        <v>13</v>
      </c>
      <c r="R280">
        <f t="shared" si="12"/>
        <v>44</v>
      </c>
    </row>
    <row r="281" spans="11:18" x14ac:dyDescent="0.25">
      <c r="K281" s="8">
        <v>15</v>
      </c>
      <c r="L281">
        <v>20</v>
      </c>
      <c r="N281" t="str">
        <f t="shared" si="14"/>
        <v>0,315150PresenningOK7</v>
      </c>
      <c r="P281" s="38">
        <f t="shared" si="13"/>
        <v>13</v>
      </c>
      <c r="R281">
        <f t="shared" si="12"/>
        <v>44</v>
      </c>
    </row>
    <row r="282" spans="11:18" x14ac:dyDescent="0.25">
      <c r="K282" s="134">
        <v>10</v>
      </c>
      <c r="L282" s="37">
        <v>0</v>
      </c>
      <c r="N282" t="str">
        <f t="shared" si="14"/>
        <v>0,21510--OK7</v>
      </c>
      <c r="P282" s="38">
        <f t="shared" si="13"/>
        <v>18</v>
      </c>
      <c r="R282">
        <f t="shared" si="12"/>
        <v>47</v>
      </c>
    </row>
    <row r="283" spans="11:18" x14ac:dyDescent="0.25">
      <c r="K283" s="8">
        <v>10</v>
      </c>
      <c r="L283">
        <v>2</v>
      </c>
      <c r="N283" t="str">
        <f t="shared" si="14"/>
        <v>0,11510--OK7</v>
      </c>
      <c r="P283" s="38">
        <f t="shared" si="13"/>
        <v>28</v>
      </c>
      <c r="R283">
        <f t="shared" si="12"/>
        <v>37</v>
      </c>
    </row>
    <row r="284" spans="11:18" x14ac:dyDescent="0.25">
      <c r="K284" s="134">
        <v>10</v>
      </c>
      <c r="L284" s="37">
        <v>7</v>
      </c>
      <c r="N284" t="str">
        <f t="shared" si="14"/>
        <v>0,11510--OK7</v>
      </c>
      <c r="P284" s="38">
        <f t="shared" si="13"/>
        <v>28</v>
      </c>
      <c r="R284">
        <f t="shared" si="12"/>
        <v>37</v>
      </c>
    </row>
    <row r="285" spans="11:18" x14ac:dyDescent="0.25">
      <c r="K285" s="8">
        <v>10</v>
      </c>
      <c r="L285">
        <v>12</v>
      </c>
      <c r="N285" t="str">
        <f t="shared" si="14"/>
        <v>0,11510--OK7</v>
      </c>
      <c r="P285" s="38">
        <f t="shared" si="13"/>
        <v>28</v>
      </c>
      <c r="R285">
        <f t="shared" si="12"/>
        <v>37</v>
      </c>
    </row>
    <row r="286" spans="11:18" x14ac:dyDescent="0.25">
      <c r="K286" s="134">
        <v>10</v>
      </c>
      <c r="L286" s="37">
        <v>20</v>
      </c>
      <c r="N286" t="str">
        <f t="shared" si="14"/>
        <v>0,11510--OK7</v>
      </c>
      <c r="P286" s="38">
        <f t="shared" si="13"/>
        <v>28</v>
      </c>
      <c r="R286">
        <f t="shared" si="12"/>
        <v>37</v>
      </c>
    </row>
    <row r="287" spans="11:18" x14ac:dyDescent="0.25">
      <c r="K287" s="8">
        <v>5</v>
      </c>
      <c r="L287">
        <v>0</v>
      </c>
      <c r="N287" t="str">
        <f t="shared" si="14"/>
        <v>0,42052010OK7</v>
      </c>
      <c r="P287" s="38">
        <f t="shared" si="13"/>
        <v>6</v>
      </c>
      <c r="R287">
        <f t="shared" si="12"/>
        <v>38</v>
      </c>
    </row>
    <row r="288" spans="11:18" x14ac:dyDescent="0.25">
      <c r="K288" s="134">
        <v>5</v>
      </c>
      <c r="L288" s="37">
        <v>2</v>
      </c>
      <c r="N288" t="str">
        <f t="shared" si="14"/>
        <v>0,42052010OK7</v>
      </c>
      <c r="P288" s="38">
        <f t="shared" si="13"/>
        <v>6</v>
      </c>
      <c r="R288">
        <f t="shared" si="12"/>
        <v>38</v>
      </c>
    </row>
    <row r="289" spans="11:18" x14ac:dyDescent="0.25">
      <c r="K289" s="8">
        <v>5</v>
      </c>
      <c r="L289">
        <v>7</v>
      </c>
      <c r="N289" t="str">
        <f t="shared" si="14"/>
        <v>0,42052010OK7</v>
      </c>
      <c r="P289" s="38">
        <f t="shared" si="13"/>
        <v>6</v>
      </c>
      <c r="R289">
        <f t="shared" si="12"/>
        <v>38</v>
      </c>
    </row>
    <row r="290" spans="11:18" x14ac:dyDescent="0.25">
      <c r="K290" s="134">
        <v>5</v>
      </c>
      <c r="L290" s="37">
        <v>12</v>
      </c>
      <c r="N290" t="str">
        <f t="shared" si="14"/>
        <v>0,42052010OK7</v>
      </c>
      <c r="P290" s="38">
        <f t="shared" si="13"/>
        <v>6</v>
      </c>
      <c r="R290">
        <f t="shared" si="12"/>
        <v>38</v>
      </c>
    </row>
    <row r="291" spans="11:18" x14ac:dyDescent="0.25">
      <c r="K291" s="8">
        <v>5</v>
      </c>
      <c r="L291">
        <v>20</v>
      </c>
      <c r="N291" t="str">
        <f t="shared" si="14"/>
        <v>0,42052010OK7</v>
      </c>
      <c r="P291" s="38">
        <f t="shared" si="13"/>
        <v>6</v>
      </c>
      <c r="R291">
        <f t="shared" si="12"/>
        <v>38</v>
      </c>
    </row>
    <row r="292" spans="11:18" x14ac:dyDescent="0.25">
      <c r="K292" s="134">
        <v>0</v>
      </c>
      <c r="L292" s="37">
        <v>0</v>
      </c>
      <c r="N292" t="str">
        <f t="shared" si="14"/>
        <v>0,42052020OK7</v>
      </c>
      <c r="P292" s="38">
        <f t="shared" si="13"/>
        <v>7</v>
      </c>
      <c r="R292">
        <f t="shared" si="12"/>
        <v>23</v>
      </c>
    </row>
    <row r="293" spans="11:18" x14ac:dyDescent="0.25">
      <c r="K293" s="8">
        <v>0</v>
      </c>
      <c r="L293">
        <v>2</v>
      </c>
      <c r="N293" t="str">
        <f t="shared" si="14"/>
        <v>0,42052020OK7</v>
      </c>
      <c r="P293" s="38">
        <f t="shared" si="13"/>
        <v>7</v>
      </c>
      <c r="R293">
        <f t="shared" si="12"/>
        <v>23</v>
      </c>
    </row>
    <row r="294" spans="11:18" x14ac:dyDescent="0.25">
      <c r="K294" s="134">
        <v>0</v>
      </c>
      <c r="L294" s="37">
        <v>7</v>
      </c>
      <c r="N294" t="str">
        <f t="shared" si="14"/>
        <v>0,42052030OK7</v>
      </c>
      <c r="P294" s="38">
        <f t="shared" si="13"/>
        <v>8</v>
      </c>
      <c r="R294">
        <f t="shared" si="12"/>
        <v>24</v>
      </c>
    </row>
    <row r="295" spans="11:18" x14ac:dyDescent="0.25">
      <c r="K295" s="8">
        <v>0</v>
      </c>
      <c r="L295">
        <v>12</v>
      </c>
      <c r="N295" t="str">
        <f t="shared" si="14"/>
        <v>0,42052030OK7</v>
      </c>
      <c r="P295" s="38">
        <f t="shared" si="13"/>
        <v>8</v>
      </c>
      <c r="R295">
        <f t="shared" si="12"/>
        <v>24</v>
      </c>
    </row>
    <row r="296" spans="11:18" x14ac:dyDescent="0.25">
      <c r="K296" s="134">
        <v>0</v>
      </c>
      <c r="L296" s="37">
        <v>20</v>
      </c>
      <c r="N296" t="str">
        <f t="shared" si="14"/>
        <v>0,42052030OK7</v>
      </c>
      <c r="P296" s="38">
        <f t="shared" si="13"/>
        <v>8</v>
      </c>
      <c r="R296">
        <f t="shared" si="12"/>
        <v>24</v>
      </c>
    </row>
    <row r="297" spans="11:18" x14ac:dyDescent="0.25">
      <c r="K297" s="8">
        <v>-5</v>
      </c>
      <c r="L297">
        <v>0</v>
      </c>
      <c r="N297" t="str">
        <f t="shared" si="14"/>
        <v>0,42052050OK7</v>
      </c>
      <c r="P297" s="38">
        <f t="shared" si="13"/>
        <v>9</v>
      </c>
      <c r="R297">
        <f t="shared" si="12"/>
        <v>25</v>
      </c>
    </row>
    <row r="298" spans="11:18" x14ac:dyDescent="0.25">
      <c r="K298" s="134">
        <v>-5</v>
      </c>
      <c r="L298" s="37">
        <v>2</v>
      </c>
      <c r="N298" t="str">
        <f t="shared" si="14"/>
        <v>0,42052050OK7</v>
      </c>
      <c r="P298" s="38">
        <f t="shared" si="13"/>
        <v>9</v>
      </c>
      <c r="R298">
        <f t="shared" si="12"/>
        <v>25</v>
      </c>
    </row>
    <row r="299" spans="11:18" x14ac:dyDescent="0.25">
      <c r="K299" s="8">
        <v>-5</v>
      </c>
      <c r="L299">
        <v>7</v>
      </c>
      <c r="N299" t="str">
        <f t="shared" si="14"/>
        <v>0,32052030OK7</v>
      </c>
      <c r="P299" s="38">
        <f t="shared" si="13"/>
        <v>16</v>
      </c>
      <c r="R299">
        <f t="shared" si="12"/>
        <v>26</v>
      </c>
    </row>
    <row r="300" spans="11:18" x14ac:dyDescent="0.25">
      <c r="K300" s="134">
        <v>-5</v>
      </c>
      <c r="L300" s="37">
        <v>12</v>
      </c>
      <c r="N300" t="str">
        <f t="shared" si="14"/>
        <v>0,32052030OK7</v>
      </c>
      <c r="P300" s="38">
        <f t="shared" si="13"/>
        <v>16</v>
      </c>
      <c r="R300">
        <f t="shared" si="12"/>
        <v>26</v>
      </c>
    </row>
    <row r="301" spans="11:18" x14ac:dyDescent="0.25">
      <c r="K301" s="8">
        <v>-5</v>
      </c>
      <c r="L301">
        <v>20</v>
      </c>
      <c r="N301" t="str">
        <f t="shared" si="14"/>
        <v>0,22052030OK7</v>
      </c>
      <c r="P301" s="38">
        <f t="shared" si="13"/>
        <v>25</v>
      </c>
      <c r="R301">
        <f t="shared" si="12"/>
        <v>42</v>
      </c>
    </row>
    <row r="302" spans="11:18" x14ac:dyDescent="0.25">
      <c r="K302" s="134">
        <v>-10</v>
      </c>
      <c r="L302" s="37">
        <v>0</v>
      </c>
      <c r="N302" t="str">
        <f t="shared" si="14"/>
        <v>0,22052020OK7</v>
      </c>
      <c r="P302" s="38">
        <f t="shared" si="13"/>
        <v>24</v>
      </c>
      <c r="R302">
        <f t="shared" si="12"/>
        <v>48</v>
      </c>
    </row>
    <row r="303" spans="11:18" x14ac:dyDescent="0.25">
      <c r="K303" s="8">
        <v>-10</v>
      </c>
      <c r="L303">
        <v>2</v>
      </c>
      <c r="N303" t="str">
        <f t="shared" si="14"/>
        <v>0,22052030OK7</v>
      </c>
      <c r="P303" s="38">
        <f t="shared" si="13"/>
        <v>25</v>
      </c>
      <c r="R303">
        <f t="shared" ref="R303:R361" si="15">MATCH(N303, _xlfn.UNIQUE($N$47:$N$361), 0)</f>
        <v>42</v>
      </c>
    </row>
    <row r="304" spans="11:18" x14ac:dyDescent="0.25">
      <c r="K304" s="134">
        <v>-10</v>
      </c>
      <c r="L304" s="37">
        <v>7</v>
      </c>
      <c r="N304" t="str">
        <f t="shared" si="14"/>
        <v>0,22052050OK7</v>
      </c>
      <c r="P304" s="38">
        <f t="shared" si="13"/>
        <v>26</v>
      </c>
      <c r="R304">
        <f t="shared" si="15"/>
        <v>29</v>
      </c>
    </row>
    <row r="305" spans="11:18" x14ac:dyDescent="0.25">
      <c r="K305" s="8">
        <v>-10</v>
      </c>
      <c r="L305">
        <v>12</v>
      </c>
      <c r="N305" t="str">
        <f t="shared" si="14"/>
        <v>-----Frys innan täck</v>
      </c>
      <c r="P305" s="38">
        <f t="shared" si="13"/>
        <v>45</v>
      </c>
      <c r="R305">
        <f t="shared" si="15"/>
        <v>17</v>
      </c>
    </row>
    <row r="306" spans="11:18" x14ac:dyDescent="0.25">
      <c r="K306" s="134">
        <v>-10</v>
      </c>
      <c r="L306" s="37">
        <v>20</v>
      </c>
      <c r="N306" t="str">
        <f t="shared" si="14"/>
        <v>-----Frys innan täck</v>
      </c>
      <c r="P306" s="38">
        <f t="shared" si="13"/>
        <v>45</v>
      </c>
      <c r="R306">
        <f t="shared" si="15"/>
        <v>17</v>
      </c>
    </row>
    <row r="307" spans="11:18" x14ac:dyDescent="0.25">
      <c r="K307" s="8">
        <v>-15</v>
      </c>
      <c r="L307">
        <v>0</v>
      </c>
      <c r="N307" t="str">
        <f t="shared" si="14"/>
        <v>0,11552050OK7</v>
      </c>
      <c r="P307" s="38">
        <f t="shared" si="13"/>
        <v>35</v>
      </c>
      <c r="R307">
        <f t="shared" si="15"/>
        <v>45</v>
      </c>
    </row>
    <row r="308" spans="11:18" x14ac:dyDescent="0.25">
      <c r="K308" s="134">
        <v>-15</v>
      </c>
      <c r="L308" s="37">
        <v>2</v>
      </c>
      <c r="N308" t="str">
        <f t="shared" si="14"/>
        <v>0,11552050OK7</v>
      </c>
      <c r="P308" s="38">
        <f t="shared" si="13"/>
        <v>35</v>
      </c>
      <c r="R308">
        <f t="shared" si="15"/>
        <v>45</v>
      </c>
    </row>
    <row r="309" spans="11:18" x14ac:dyDescent="0.25">
      <c r="K309" s="8">
        <v>-15</v>
      </c>
      <c r="L309">
        <v>7</v>
      </c>
      <c r="N309" t="str">
        <f t="shared" si="14"/>
        <v>-----Frys innan täck</v>
      </c>
      <c r="P309" s="38">
        <f t="shared" si="13"/>
        <v>45</v>
      </c>
      <c r="R309">
        <f t="shared" si="15"/>
        <v>17</v>
      </c>
    </row>
    <row r="310" spans="11:18" x14ac:dyDescent="0.25">
      <c r="K310" s="134">
        <v>-15</v>
      </c>
      <c r="L310" s="37">
        <v>12</v>
      </c>
      <c r="N310" t="str">
        <f t="shared" si="14"/>
        <v>-----Frys innan täck</v>
      </c>
      <c r="P310" s="38">
        <f t="shared" si="13"/>
        <v>45</v>
      </c>
      <c r="R310">
        <f t="shared" si="15"/>
        <v>17</v>
      </c>
    </row>
    <row r="311" spans="11:18" x14ac:dyDescent="0.25">
      <c r="K311" s="8">
        <v>-15</v>
      </c>
      <c r="L311">
        <v>20</v>
      </c>
      <c r="N311" t="str">
        <f t="shared" si="14"/>
        <v>-----Frys innan täck</v>
      </c>
      <c r="P311" s="38">
        <f t="shared" si="13"/>
        <v>45</v>
      </c>
      <c r="R311">
        <f t="shared" si="15"/>
        <v>17</v>
      </c>
    </row>
    <row r="312" spans="11:18" x14ac:dyDescent="0.25">
      <c r="K312" s="134">
        <v>-20</v>
      </c>
      <c r="L312" s="37">
        <v>0</v>
      </c>
      <c r="N312" t="str">
        <f t="shared" si="14"/>
        <v>0,11052050OK7</v>
      </c>
      <c r="P312" s="38">
        <f t="shared" si="13"/>
        <v>36</v>
      </c>
      <c r="R312">
        <f t="shared" si="15"/>
        <v>49</v>
      </c>
    </row>
    <row r="313" spans="11:18" x14ac:dyDescent="0.25">
      <c r="K313" s="8">
        <v>-20</v>
      </c>
      <c r="L313">
        <v>2</v>
      </c>
      <c r="N313" t="str">
        <f t="shared" si="14"/>
        <v>-----Når ej 70%</v>
      </c>
      <c r="P313" s="38">
        <f t="shared" si="13"/>
        <v>44</v>
      </c>
      <c r="R313">
        <f t="shared" si="15"/>
        <v>8</v>
      </c>
    </row>
    <row r="314" spans="11:18" x14ac:dyDescent="0.25">
      <c r="K314" s="134">
        <v>-20</v>
      </c>
      <c r="L314" s="37">
        <v>7</v>
      </c>
      <c r="N314" t="str">
        <f t="shared" si="14"/>
        <v>-----Frys innan täck</v>
      </c>
      <c r="P314" s="38">
        <f t="shared" si="13"/>
        <v>45</v>
      </c>
      <c r="R314">
        <f t="shared" si="15"/>
        <v>17</v>
      </c>
    </row>
    <row r="315" spans="11:18" x14ac:dyDescent="0.25">
      <c r="K315" s="8">
        <v>-20</v>
      </c>
      <c r="L315">
        <v>12</v>
      </c>
      <c r="N315" t="str">
        <f t="shared" si="14"/>
        <v>-----Frys innan täck</v>
      </c>
      <c r="P315" s="38">
        <f t="shared" si="13"/>
        <v>45</v>
      </c>
      <c r="R315">
        <f t="shared" si="15"/>
        <v>17</v>
      </c>
    </row>
    <row r="316" spans="11:18" ht="15.75" thickBot="1" x14ac:dyDescent="0.3">
      <c r="K316" s="135">
        <v>-20</v>
      </c>
      <c r="L316" s="131">
        <v>20</v>
      </c>
      <c r="N316" t="str">
        <f t="shared" si="14"/>
        <v>-----Frys innan täck</v>
      </c>
      <c r="P316" s="38">
        <f t="shared" si="13"/>
        <v>45</v>
      </c>
      <c r="R316">
        <f t="shared" si="15"/>
        <v>17</v>
      </c>
    </row>
    <row r="317" spans="11:18" x14ac:dyDescent="0.25">
      <c r="K317" s="132">
        <v>20</v>
      </c>
      <c r="L317" s="133">
        <v>0</v>
      </c>
      <c r="M317" t="s">
        <v>15</v>
      </c>
      <c r="N317" t="str">
        <f t="shared" ref="N317:N361" si="16">I2</f>
        <v>0,41520--OK7</v>
      </c>
      <c r="P317" s="38">
        <f t="shared" si="13"/>
        <v>1</v>
      </c>
      <c r="R317">
        <f t="shared" si="15"/>
        <v>34</v>
      </c>
    </row>
    <row r="318" spans="11:18" x14ac:dyDescent="0.25">
      <c r="K318" s="8">
        <v>20</v>
      </c>
      <c r="L318">
        <v>2</v>
      </c>
      <c r="N318" t="str">
        <f t="shared" si="16"/>
        <v>0,41520--OK7</v>
      </c>
      <c r="P318" s="38">
        <f t="shared" si="13"/>
        <v>1</v>
      </c>
      <c r="R318">
        <f t="shared" si="15"/>
        <v>34</v>
      </c>
    </row>
    <row r="319" spans="11:18" x14ac:dyDescent="0.25">
      <c r="K319" s="134">
        <v>20</v>
      </c>
      <c r="L319" s="37">
        <v>7</v>
      </c>
      <c r="N319" t="str">
        <f t="shared" si="16"/>
        <v>0,41520--OK7</v>
      </c>
      <c r="P319" s="38">
        <f t="shared" si="13"/>
        <v>1</v>
      </c>
      <c r="R319">
        <f t="shared" si="15"/>
        <v>34</v>
      </c>
    </row>
    <row r="320" spans="11:18" x14ac:dyDescent="0.25">
      <c r="K320" s="8">
        <v>20</v>
      </c>
      <c r="L320">
        <v>12</v>
      </c>
      <c r="N320" t="str">
        <f t="shared" si="16"/>
        <v>0,41520--OK7</v>
      </c>
      <c r="P320" s="38">
        <f t="shared" si="13"/>
        <v>1</v>
      </c>
      <c r="R320">
        <f t="shared" si="15"/>
        <v>34</v>
      </c>
    </row>
    <row r="321" spans="11:18" x14ac:dyDescent="0.25">
      <c r="K321" s="134">
        <v>20</v>
      </c>
      <c r="L321" s="37">
        <v>20</v>
      </c>
      <c r="N321" t="str">
        <f t="shared" si="16"/>
        <v>0,41520--OK7</v>
      </c>
      <c r="P321" s="38">
        <f t="shared" si="13"/>
        <v>1</v>
      </c>
      <c r="R321">
        <f t="shared" si="15"/>
        <v>34</v>
      </c>
    </row>
    <row r="322" spans="11:18" x14ac:dyDescent="0.25">
      <c r="K322" s="8">
        <v>15</v>
      </c>
      <c r="L322">
        <v>0</v>
      </c>
      <c r="N322" t="str">
        <f t="shared" si="16"/>
        <v>0,415150PresenningOK7</v>
      </c>
      <c r="P322" s="38">
        <f t="shared" ref="P322:P361" si="17">MATCH(N322, _xlfn.UNIQUE($N$2:$N$361), 0)</f>
        <v>3</v>
      </c>
      <c r="R322">
        <f t="shared" si="15"/>
        <v>50</v>
      </c>
    </row>
    <row r="323" spans="11:18" x14ac:dyDescent="0.25">
      <c r="K323" s="134">
        <v>15</v>
      </c>
      <c r="L323" s="37">
        <v>2</v>
      </c>
      <c r="N323" t="str">
        <f t="shared" si="16"/>
        <v>0,31515--OK7</v>
      </c>
      <c r="P323" s="38">
        <f t="shared" si="17"/>
        <v>10</v>
      </c>
      <c r="R323">
        <f t="shared" si="15"/>
        <v>46</v>
      </c>
    </row>
    <row r="324" spans="11:18" x14ac:dyDescent="0.25">
      <c r="K324" s="8">
        <v>15</v>
      </c>
      <c r="L324">
        <v>7</v>
      </c>
      <c r="N324" t="str">
        <f t="shared" si="16"/>
        <v>0,31515--OK7</v>
      </c>
      <c r="P324" s="38">
        <f t="shared" si="17"/>
        <v>10</v>
      </c>
      <c r="R324">
        <f t="shared" si="15"/>
        <v>46</v>
      </c>
    </row>
    <row r="325" spans="11:18" x14ac:dyDescent="0.25">
      <c r="K325" s="134">
        <v>15</v>
      </c>
      <c r="L325" s="37">
        <v>12</v>
      </c>
      <c r="N325" t="str">
        <f t="shared" si="16"/>
        <v>0,31515--OK7</v>
      </c>
      <c r="P325" s="38">
        <f t="shared" si="17"/>
        <v>10</v>
      </c>
      <c r="R325">
        <f t="shared" si="15"/>
        <v>46</v>
      </c>
    </row>
    <row r="326" spans="11:18" x14ac:dyDescent="0.25">
      <c r="K326" s="8">
        <v>15</v>
      </c>
      <c r="L326">
        <v>20</v>
      </c>
      <c r="N326" t="str">
        <f t="shared" si="16"/>
        <v>0,315150-OK7</v>
      </c>
      <c r="P326" s="38">
        <f t="shared" si="17"/>
        <v>12</v>
      </c>
      <c r="R326">
        <f t="shared" si="15"/>
        <v>51</v>
      </c>
    </row>
    <row r="327" spans="11:18" x14ac:dyDescent="0.25">
      <c r="K327" s="134">
        <v>10</v>
      </c>
      <c r="L327" s="37">
        <v>0</v>
      </c>
      <c r="N327" t="str">
        <f t="shared" si="16"/>
        <v>0,21510--OK7</v>
      </c>
      <c r="P327" s="38">
        <f t="shared" si="17"/>
        <v>18</v>
      </c>
      <c r="R327">
        <f t="shared" si="15"/>
        <v>47</v>
      </c>
    </row>
    <row r="328" spans="11:18" x14ac:dyDescent="0.25">
      <c r="K328" s="8">
        <v>10</v>
      </c>
      <c r="L328">
        <v>2</v>
      </c>
      <c r="N328" t="str">
        <f t="shared" si="16"/>
        <v>0,215100PresenningOK7</v>
      </c>
      <c r="P328" s="38">
        <f t="shared" si="17"/>
        <v>22</v>
      </c>
      <c r="R328">
        <f t="shared" si="15"/>
        <v>52</v>
      </c>
    </row>
    <row r="329" spans="11:18" x14ac:dyDescent="0.25">
      <c r="K329" s="134">
        <v>10</v>
      </c>
      <c r="L329" s="37">
        <v>7</v>
      </c>
      <c r="N329" t="str">
        <f t="shared" si="16"/>
        <v>0,11510--OK7</v>
      </c>
      <c r="P329" s="38">
        <f t="shared" si="17"/>
        <v>28</v>
      </c>
      <c r="R329">
        <f t="shared" si="15"/>
        <v>37</v>
      </c>
    </row>
    <row r="330" spans="11:18" x14ac:dyDescent="0.25">
      <c r="K330" s="8">
        <v>10</v>
      </c>
      <c r="L330">
        <v>12</v>
      </c>
      <c r="N330" t="str">
        <f t="shared" si="16"/>
        <v>0,11510--OK7</v>
      </c>
      <c r="P330" s="38">
        <f t="shared" si="17"/>
        <v>28</v>
      </c>
      <c r="R330">
        <f t="shared" si="15"/>
        <v>37</v>
      </c>
    </row>
    <row r="331" spans="11:18" x14ac:dyDescent="0.25">
      <c r="K331" s="134">
        <v>10</v>
      </c>
      <c r="L331" s="37">
        <v>20</v>
      </c>
      <c r="N331" t="str">
        <f t="shared" si="16"/>
        <v>0,11510--OK7</v>
      </c>
      <c r="P331" s="38">
        <f t="shared" si="17"/>
        <v>28</v>
      </c>
      <c r="R331">
        <f t="shared" si="15"/>
        <v>37</v>
      </c>
    </row>
    <row r="332" spans="11:18" x14ac:dyDescent="0.25">
      <c r="K332" s="8">
        <v>5</v>
      </c>
      <c r="L332">
        <v>0</v>
      </c>
      <c r="N332" t="str">
        <f t="shared" si="16"/>
        <v>0,4205050OK7</v>
      </c>
      <c r="P332" s="38">
        <f t="shared" si="17"/>
        <v>5</v>
      </c>
      <c r="R332">
        <f t="shared" si="15"/>
        <v>53</v>
      </c>
    </row>
    <row r="333" spans="11:18" x14ac:dyDescent="0.25">
      <c r="K333" s="134">
        <v>5</v>
      </c>
      <c r="L333" s="37">
        <v>2</v>
      </c>
      <c r="N333" t="str">
        <f t="shared" si="16"/>
        <v>0,42052010OK7</v>
      </c>
      <c r="P333" s="38">
        <f t="shared" si="17"/>
        <v>6</v>
      </c>
      <c r="R333">
        <f t="shared" si="15"/>
        <v>38</v>
      </c>
    </row>
    <row r="334" spans="11:18" x14ac:dyDescent="0.25">
      <c r="K334" s="8">
        <v>5</v>
      </c>
      <c r="L334">
        <v>7</v>
      </c>
      <c r="N334" t="str">
        <f t="shared" si="16"/>
        <v>0,42052010OK7</v>
      </c>
      <c r="P334" s="38">
        <f t="shared" si="17"/>
        <v>6</v>
      </c>
      <c r="R334">
        <f t="shared" si="15"/>
        <v>38</v>
      </c>
    </row>
    <row r="335" spans="11:18" x14ac:dyDescent="0.25">
      <c r="K335" s="134">
        <v>5</v>
      </c>
      <c r="L335" s="37">
        <v>12</v>
      </c>
      <c r="N335" t="str">
        <f t="shared" si="16"/>
        <v>0,42052010OK7</v>
      </c>
      <c r="P335" s="38">
        <f t="shared" si="17"/>
        <v>6</v>
      </c>
      <c r="R335">
        <f t="shared" si="15"/>
        <v>38</v>
      </c>
    </row>
    <row r="336" spans="11:18" x14ac:dyDescent="0.25">
      <c r="K336" s="8">
        <v>5</v>
      </c>
      <c r="L336">
        <v>20</v>
      </c>
      <c r="N336" t="str">
        <f t="shared" si="16"/>
        <v>0,42052010OK7</v>
      </c>
      <c r="P336" s="38">
        <f t="shared" si="17"/>
        <v>6</v>
      </c>
      <c r="R336">
        <f t="shared" si="15"/>
        <v>38</v>
      </c>
    </row>
    <row r="337" spans="11:18" x14ac:dyDescent="0.25">
      <c r="K337" s="134">
        <v>0</v>
      </c>
      <c r="L337" s="37">
        <v>0</v>
      </c>
      <c r="N337" t="str">
        <f t="shared" si="16"/>
        <v>0,42052020OK7</v>
      </c>
      <c r="P337" s="38">
        <f t="shared" si="17"/>
        <v>7</v>
      </c>
      <c r="R337">
        <f t="shared" si="15"/>
        <v>23</v>
      </c>
    </row>
    <row r="338" spans="11:18" x14ac:dyDescent="0.25">
      <c r="K338" s="8">
        <v>0</v>
      </c>
      <c r="L338">
        <v>2</v>
      </c>
      <c r="N338" t="str">
        <f t="shared" si="16"/>
        <v>0,42052020OK7</v>
      </c>
      <c r="P338" s="38">
        <f t="shared" si="17"/>
        <v>7</v>
      </c>
      <c r="R338">
        <f t="shared" si="15"/>
        <v>23</v>
      </c>
    </row>
    <row r="339" spans="11:18" x14ac:dyDescent="0.25">
      <c r="K339" s="134">
        <v>0</v>
      </c>
      <c r="L339" s="37">
        <v>7</v>
      </c>
      <c r="N339" t="str">
        <f t="shared" si="16"/>
        <v>0,42052020OK7</v>
      </c>
      <c r="P339" s="38">
        <f t="shared" si="17"/>
        <v>7</v>
      </c>
      <c r="R339">
        <f t="shared" si="15"/>
        <v>23</v>
      </c>
    </row>
    <row r="340" spans="11:18" x14ac:dyDescent="0.25">
      <c r="K340" s="8">
        <v>0</v>
      </c>
      <c r="L340">
        <v>12</v>
      </c>
      <c r="N340" t="str">
        <f t="shared" si="16"/>
        <v>0,42052020OK7</v>
      </c>
      <c r="P340" s="38">
        <f t="shared" si="17"/>
        <v>7</v>
      </c>
      <c r="R340">
        <f t="shared" si="15"/>
        <v>23</v>
      </c>
    </row>
    <row r="341" spans="11:18" x14ac:dyDescent="0.25">
      <c r="K341" s="134">
        <v>0</v>
      </c>
      <c r="L341" s="37">
        <v>20</v>
      </c>
      <c r="N341" t="str">
        <f t="shared" si="16"/>
        <v>0,42052020OK7</v>
      </c>
      <c r="P341" s="38">
        <f t="shared" si="17"/>
        <v>7</v>
      </c>
      <c r="R341">
        <f t="shared" si="15"/>
        <v>23</v>
      </c>
    </row>
    <row r="342" spans="11:18" x14ac:dyDescent="0.25">
      <c r="K342" s="8">
        <v>-5</v>
      </c>
      <c r="L342">
        <v>0</v>
      </c>
      <c r="N342" t="str">
        <f t="shared" si="16"/>
        <v>0,42052050OK7</v>
      </c>
      <c r="P342" s="38">
        <f t="shared" si="17"/>
        <v>9</v>
      </c>
      <c r="R342">
        <f t="shared" si="15"/>
        <v>25</v>
      </c>
    </row>
    <row r="343" spans="11:18" x14ac:dyDescent="0.25">
      <c r="K343" s="134">
        <v>-5</v>
      </c>
      <c r="L343" s="37">
        <v>2</v>
      </c>
      <c r="N343" t="str">
        <f t="shared" si="16"/>
        <v>0,42052050OK7</v>
      </c>
      <c r="P343" s="38">
        <f t="shared" si="17"/>
        <v>9</v>
      </c>
      <c r="R343">
        <f t="shared" si="15"/>
        <v>25</v>
      </c>
    </row>
    <row r="344" spans="11:18" x14ac:dyDescent="0.25">
      <c r="K344" s="8">
        <v>-5</v>
      </c>
      <c r="L344">
        <v>7</v>
      </c>
      <c r="N344" t="str">
        <f t="shared" si="16"/>
        <v>0,42052050OK7</v>
      </c>
      <c r="P344" s="38">
        <f t="shared" si="17"/>
        <v>9</v>
      </c>
      <c r="R344">
        <f t="shared" si="15"/>
        <v>25</v>
      </c>
    </row>
    <row r="345" spans="11:18" x14ac:dyDescent="0.25">
      <c r="K345" s="134">
        <v>-5</v>
      </c>
      <c r="L345" s="37">
        <v>12</v>
      </c>
      <c r="N345" t="str">
        <f t="shared" si="16"/>
        <v>0,42052050OK7</v>
      </c>
      <c r="P345" s="38">
        <f t="shared" si="17"/>
        <v>9</v>
      </c>
      <c r="R345">
        <f t="shared" si="15"/>
        <v>25</v>
      </c>
    </row>
    <row r="346" spans="11:18" x14ac:dyDescent="0.25">
      <c r="K346" s="8">
        <v>-5</v>
      </c>
      <c r="L346">
        <v>20</v>
      </c>
      <c r="N346" t="str">
        <f t="shared" si="16"/>
        <v>0,42052050OK7</v>
      </c>
      <c r="P346" s="38">
        <f t="shared" si="17"/>
        <v>9</v>
      </c>
      <c r="R346">
        <f t="shared" si="15"/>
        <v>25</v>
      </c>
    </row>
    <row r="347" spans="11:18" x14ac:dyDescent="0.25">
      <c r="K347" s="134">
        <v>-10</v>
      </c>
      <c r="L347" s="37">
        <v>0</v>
      </c>
      <c r="N347" t="str">
        <f t="shared" si="16"/>
        <v>0,32052050OK7</v>
      </c>
      <c r="P347" s="38">
        <f t="shared" si="17"/>
        <v>17</v>
      </c>
      <c r="R347">
        <f t="shared" si="15"/>
        <v>27</v>
      </c>
    </row>
    <row r="348" spans="11:18" x14ac:dyDescent="0.25">
      <c r="K348" s="8">
        <v>-10</v>
      </c>
      <c r="L348">
        <v>2</v>
      </c>
      <c r="N348" t="str">
        <f t="shared" si="16"/>
        <v>0,32052050OK7</v>
      </c>
      <c r="P348" s="38">
        <f t="shared" si="17"/>
        <v>17</v>
      </c>
      <c r="R348">
        <f t="shared" si="15"/>
        <v>27</v>
      </c>
    </row>
    <row r="349" spans="11:18" x14ac:dyDescent="0.25">
      <c r="K349" s="134">
        <v>-10</v>
      </c>
      <c r="L349" s="37">
        <v>7</v>
      </c>
      <c r="N349" t="str">
        <f t="shared" si="16"/>
        <v>0,32052050OK7</v>
      </c>
      <c r="P349" s="38">
        <f t="shared" si="17"/>
        <v>17</v>
      </c>
      <c r="R349">
        <f t="shared" si="15"/>
        <v>27</v>
      </c>
    </row>
    <row r="350" spans="11:18" x14ac:dyDescent="0.25">
      <c r="K350" s="8">
        <v>-10</v>
      </c>
      <c r="L350">
        <v>12</v>
      </c>
      <c r="N350" t="str">
        <f t="shared" si="16"/>
        <v>-----Frys innan täck</v>
      </c>
      <c r="P350" s="38">
        <f t="shared" si="17"/>
        <v>45</v>
      </c>
      <c r="R350">
        <f t="shared" si="15"/>
        <v>17</v>
      </c>
    </row>
    <row r="351" spans="11:18" x14ac:dyDescent="0.25">
      <c r="K351" s="134">
        <v>-10</v>
      </c>
      <c r="L351" s="37">
        <v>20</v>
      </c>
      <c r="N351" t="str">
        <f t="shared" si="16"/>
        <v>-----Frys innan täck</v>
      </c>
      <c r="P351" s="38">
        <f t="shared" si="17"/>
        <v>45</v>
      </c>
      <c r="R351">
        <f t="shared" si="15"/>
        <v>17</v>
      </c>
    </row>
    <row r="352" spans="11:18" x14ac:dyDescent="0.25">
      <c r="K352" s="8">
        <v>-15</v>
      </c>
      <c r="L352">
        <v>0</v>
      </c>
      <c r="N352" t="str">
        <f t="shared" si="16"/>
        <v>0,11552030OK7</v>
      </c>
      <c r="P352" s="38">
        <f t="shared" si="17"/>
        <v>33</v>
      </c>
      <c r="R352">
        <f t="shared" si="15"/>
        <v>54</v>
      </c>
    </row>
    <row r="353" spans="11:18" x14ac:dyDescent="0.25">
      <c r="K353" s="134">
        <v>-15</v>
      </c>
      <c r="L353" s="37">
        <v>2</v>
      </c>
      <c r="N353" t="str">
        <f t="shared" si="16"/>
        <v>0,11552030OK7</v>
      </c>
      <c r="P353" s="38">
        <f t="shared" si="17"/>
        <v>33</v>
      </c>
      <c r="R353">
        <f t="shared" si="15"/>
        <v>54</v>
      </c>
    </row>
    <row r="354" spans="11:18" x14ac:dyDescent="0.25">
      <c r="K354" s="8">
        <v>-15</v>
      </c>
      <c r="L354">
        <v>7</v>
      </c>
      <c r="N354" t="str">
        <f t="shared" si="16"/>
        <v>-----Frys innan täck</v>
      </c>
      <c r="P354" s="38">
        <f t="shared" si="17"/>
        <v>45</v>
      </c>
      <c r="R354">
        <f t="shared" si="15"/>
        <v>17</v>
      </c>
    </row>
    <row r="355" spans="11:18" x14ac:dyDescent="0.25">
      <c r="K355" s="134">
        <v>-15</v>
      </c>
      <c r="L355" s="37">
        <v>12</v>
      </c>
      <c r="N355" t="str">
        <f t="shared" si="16"/>
        <v>-----Frys innan täck</v>
      </c>
      <c r="P355" s="38">
        <f t="shared" si="17"/>
        <v>45</v>
      </c>
      <c r="R355">
        <f t="shared" si="15"/>
        <v>17</v>
      </c>
    </row>
    <row r="356" spans="11:18" x14ac:dyDescent="0.25">
      <c r="K356" s="8">
        <v>-15</v>
      </c>
      <c r="L356">
        <v>20</v>
      </c>
      <c r="N356" t="str">
        <f t="shared" si="16"/>
        <v>-----Frys innan täck</v>
      </c>
      <c r="P356" s="38">
        <f t="shared" si="17"/>
        <v>45</v>
      </c>
      <c r="R356">
        <f t="shared" si="15"/>
        <v>17</v>
      </c>
    </row>
    <row r="357" spans="11:18" x14ac:dyDescent="0.25">
      <c r="K357" s="134">
        <v>-20</v>
      </c>
      <c r="L357" s="37">
        <v>0</v>
      </c>
      <c r="N357" t="str">
        <f t="shared" si="16"/>
        <v>Bas+0%1052050OK7</v>
      </c>
      <c r="P357" s="38">
        <f t="shared" si="17"/>
        <v>43</v>
      </c>
      <c r="R357">
        <f t="shared" si="15"/>
        <v>55</v>
      </c>
    </row>
    <row r="358" spans="11:18" x14ac:dyDescent="0.25">
      <c r="K358" s="8">
        <v>-20</v>
      </c>
      <c r="L358">
        <v>2</v>
      </c>
      <c r="N358" t="str">
        <f t="shared" si="16"/>
        <v>Bas+0%1052050OK7</v>
      </c>
      <c r="P358" s="38">
        <f t="shared" si="17"/>
        <v>43</v>
      </c>
      <c r="R358">
        <f t="shared" si="15"/>
        <v>55</v>
      </c>
    </row>
    <row r="359" spans="11:18" x14ac:dyDescent="0.25">
      <c r="K359" s="134">
        <v>-20</v>
      </c>
      <c r="L359" s="37">
        <v>7</v>
      </c>
      <c r="N359" t="str">
        <f t="shared" si="16"/>
        <v>-----Frys innan täck</v>
      </c>
      <c r="P359" s="38">
        <f t="shared" si="17"/>
        <v>45</v>
      </c>
      <c r="R359">
        <f t="shared" si="15"/>
        <v>17</v>
      </c>
    </row>
    <row r="360" spans="11:18" x14ac:dyDescent="0.25">
      <c r="K360" s="8">
        <v>-20</v>
      </c>
      <c r="L360">
        <v>12</v>
      </c>
      <c r="N360" t="str">
        <f t="shared" si="16"/>
        <v>-----Frys innan täck</v>
      </c>
      <c r="P360" s="38">
        <f t="shared" si="17"/>
        <v>45</v>
      </c>
      <c r="R360">
        <f t="shared" si="15"/>
        <v>17</v>
      </c>
    </row>
    <row r="361" spans="11:18" x14ac:dyDescent="0.25">
      <c r="K361" s="134">
        <v>-20</v>
      </c>
      <c r="L361" s="37">
        <v>20</v>
      </c>
      <c r="N361" t="str">
        <f t="shared" si="16"/>
        <v>-----Frys innan täck</v>
      </c>
      <c r="P361" s="38">
        <f t="shared" si="17"/>
        <v>45</v>
      </c>
      <c r="R361">
        <f t="shared" si="15"/>
        <v>17</v>
      </c>
    </row>
    <row r="362" spans="11:18" x14ac:dyDescent="0.25">
      <c r="P362" s="38">
        <f>MAX(P47:P361)</f>
        <v>60</v>
      </c>
      <c r="R362">
        <f>MAX(R47:R361)</f>
        <v>55</v>
      </c>
    </row>
  </sheetData>
  <phoneticPr fontId="3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312B-888F-407C-991A-2707E6692E9A}">
  <sheetPr codeName="Sheet5"/>
  <dimension ref="A1:R111"/>
  <sheetViews>
    <sheetView topLeftCell="C6" zoomScale="85" zoomScaleNormal="85" workbookViewId="0">
      <selection activeCell="K46" sqref="K46"/>
    </sheetView>
  </sheetViews>
  <sheetFormatPr defaultRowHeight="15" x14ac:dyDescent="0.25"/>
  <cols>
    <col min="1" max="1" width="14.5703125" customWidth="1"/>
    <col min="2" max="2" width="12" customWidth="1"/>
    <col min="3" max="9" width="12.140625" customWidth="1"/>
    <col min="10" max="10" width="6.7109375" customWidth="1"/>
    <col min="12" max="12" width="13.42578125" customWidth="1"/>
    <col min="13" max="13" width="14.85546875" customWidth="1"/>
    <col min="14" max="14" width="20.5703125" customWidth="1"/>
    <col min="15" max="15" width="14.42578125" customWidth="1"/>
    <col min="16" max="16" width="10.7109375" customWidth="1"/>
    <col min="17" max="17" width="14.42578125" bestFit="1" customWidth="1"/>
  </cols>
  <sheetData>
    <row r="1" spans="1:17" ht="18" customHeight="1" thickBot="1" x14ac:dyDescent="0.3">
      <c r="A1" s="73" t="s">
        <v>27</v>
      </c>
      <c r="B1" s="74" t="s">
        <v>28</v>
      </c>
      <c r="C1" s="100" t="s">
        <v>8</v>
      </c>
      <c r="D1" s="100" t="s">
        <v>17</v>
      </c>
      <c r="E1" s="100" t="s">
        <v>71</v>
      </c>
      <c r="F1" s="101" t="s">
        <v>44</v>
      </c>
      <c r="G1" s="101" t="s">
        <v>47</v>
      </c>
      <c r="H1" s="101" t="s">
        <v>14</v>
      </c>
      <c r="I1" s="101" t="s">
        <v>15</v>
      </c>
    </row>
    <row r="2" spans="1:17" ht="15" customHeight="1" x14ac:dyDescent="0.25">
      <c r="A2" s="51"/>
      <c r="B2" s="63">
        <v>0</v>
      </c>
      <c r="C2" s="48">
        <f>'Data till Lathund, Kådgenererin'!P47</f>
        <v>46</v>
      </c>
      <c r="D2" s="39">
        <f>'Data till Lathund, Kådgenererin'!P92</f>
        <v>4</v>
      </c>
      <c r="E2" s="39">
        <f>'Data till Lathund, Kådgenererin'!P137</f>
        <v>1</v>
      </c>
      <c r="F2" s="39">
        <f>'Data till Lathund, Kådgenererin'!P182</f>
        <v>1</v>
      </c>
      <c r="G2" s="45">
        <f>'Data till Lathund, Kådgenererin'!P227</f>
        <v>1</v>
      </c>
      <c r="H2" s="39">
        <f>'Data till Lathund, Kådgenererin'!P272</f>
        <v>1</v>
      </c>
      <c r="I2" s="45">
        <f>'Data till Lathund, Kådgenererin'!P317</f>
        <v>1</v>
      </c>
      <c r="M2" s="139" t="s">
        <v>132</v>
      </c>
      <c r="N2">
        <v>3</v>
      </c>
      <c r="O2" t="s">
        <v>134</v>
      </c>
      <c r="P2" t="s">
        <v>132</v>
      </c>
      <c r="Q2">
        <v>1.3333333333333333</v>
      </c>
    </row>
    <row r="3" spans="1:17" ht="15" customHeight="1" x14ac:dyDescent="0.25">
      <c r="A3" s="52"/>
      <c r="B3" s="64">
        <v>2</v>
      </c>
      <c r="C3" s="49">
        <f>'Data till Lathund, Kådgenererin'!P48</f>
        <v>47</v>
      </c>
      <c r="D3" s="41">
        <f>'Data till Lathund, Kådgenererin'!P93</f>
        <v>11</v>
      </c>
      <c r="E3" s="41">
        <f>'Data till Lathund, Kådgenererin'!P138</f>
        <v>1</v>
      </c>
      <c r="F3" s="41">
        <f>'Data till Lathund, Kådgenererin'!P183</f>
        <v>1</v>
      </c>
      <c r="G3" s="45">
        <f>'Data till Lathund, Kådgenererin'!P228</f>
        <v>1</v>
      </c>
      <c r="H3" s="41">
        <f>'Data till Lathund, Kådgenererin'!P273</f>
        <v>1</v>
      </c>
      <c r="I3" s="45">
        <f>'Data till Lathund, Kådgenererin'!P318</f>
        <v>1</v>
      </c>
      <c r="M3" s="139" t="s">
        <v>131</v>
      </c>
      <c r="N3">
        <v>5</v>
      </c>
      <c r="P3" t="s">
        <v>131</v>
      </c>
      <c r="Q3">
        <v>3.3333333333333335</v>
      </c>
    </row>
    <row r="4" spans="1:17" ht="15" customHeight="1" x14ac:dyDescent="0.25">
      <c r="A4" s="52">
        <v>20</v>
      </c>
      <c r="B4" s="65">
        <v>7</v>
      </c>
      <c r="C4" s="49">
        <f>'Data till Lathund, Kådgenererin'!P49</f>
        <v>47</v>
      </c>
      <c r="D4" s="41">
        <f>'Data till Lathund, Kådgenererin'!P94</f>
        <v>11</v>
      </c>
      <c r="E4" s="41">
        <f>'Data till Lathund, Kådgenererin'!P139</f>
        <v>4</v>
      </c>
      <c r="F4" s="41">
        <f>'Data till Lathund, Kådgenererin'!P184</f>
        <v>1</v>
      </c>
      <c r="G4" s="45">
        <f>'Data till Lathund, Kådgenererin'!P229</f>
        <v>1</v>
      </c>
      <c r="H4" s="41">
        <f>'Data till Lathund, Kådgenererin'!P274</f>
        <v>1</v>
      </c>
      <c r="I4" s="45">
        <f>'Data till Lathund, Kådgenererin'!P319</f>
        <v>1</v>
      </c>
      <c r="M4" s="139" t="s">
        <v>130</v>
      </c>
      <c r="N4">
        <v>6</v>
      </c>
      <c r="P4" t="s">
        <v>130</v>
      </c>
      <c r="Q4">
        <v>6</v>
      </c>
    </row>
    <row r="5" spans="1:17" ht="15" customHeight="1" x14ac:dyDescent="0.25">
      <c r="A5" s="52"/>
      <c r="B5" s="64">
        <v>12</v>
      </c>
      <c r="C5" s="49">
        <f>'Data till Lathund, Kådgenererin'!P50</f>
        <v>47</v>
      </c>
      <c r="D5" s="41">
        <f>'Data till Lathund, Kådgenererin'!P95</f>
        <v>11</v>
      </c>
      <c r="E5" s="41">
        <f>'Data till Lathund, Kådgenererin'!P140</f>
        <v>4</v>
      </c>
      <c r="F5" s="41">
        <f>'Data till Lathund, Kådgenererin'!P185</f>
        <v>1</v>
      </c>
      <c r="G5" s="45">
        <f>'Data till Lathund, Kådgenererin'!P230</f>
        <v>1</v>
      </c>
      <c r="H5" s="41">
        <f>'Data till Lathund, Kådgenererin'!P275</f>
        <v>1</v>
      </c>
      <c r="I5" s="45">
        <f>'Data till Lathund, Kådgenererin'!P320</f>
        <v>1</v>
      </c>
      <c r="M5" t="s">
        <v>135</v>
      </c>
      <c r="N5">
        <v>6</v>
      </c>
      <c r="P5" t="s">
        <v>135</v>
      </c>
      <c r="Q5">
        <v>6.333333333333333</v>
      </c>
    </row>
    <row r="6" spans="1:17" ht="15" customHeight="1" thickBot="1" x14ac:dyDescent="0.3">
      <c r="A6" s="53"/>
      <c r="B6" s="66">
        <v>20</v>
      </c>
      <c r="C6" s="50">
        <f>'Data till Lathund, Kådgenererin'!P51</f>
        <v>47</v>
      </c>
      <c r="D6" s="42">
        <f>'Data till Lathund, Kådgenererin'!P96</f>
        <v>11</v>
      </c>
      <c r="E6" s="42">
        <f>'Data till Lathund, Kådgenererin'!P141</f>
        <v>4</v>
      </c>
      <c r="F6" s="42">
        <f>'Data till Lathund, Kådgenererin'!P186</f>
        <v>2</v>
      </c>
      <c r="G6" s="46">
        <f>'Data till Lathund, Kådgenererin'!P231</f>
        <v>1</v>
      </c>
      <c r="H6" s="42">
        <f>'Data till Lathund, Kådgenererin'!P276</f>
        <v>1</v>
      </c>
      <c r="I6" s="46">
        <f>'Data till Lathund, Kådgenererin'!P321</f>
        <v>1</v>
      </c>
    </row>
    <row r="7" spans="1:17" ht="15" customHeight="1" x14ac:dyDescent="0.25">
      <c r="A7" s="54"/>
      <c r="B7" s="67">
        <v>0</v>
      </c>
      <c r="C7" s="48">
        <f>'Data till Lathund, Kådgenererin'!P52</f>
        <v>48</v>
      </c>
      <c r="D7" s="39">
        <f>'Data till Lathund, Kådgenererin'!P97</f>
        <v>27</v>
      </c>
      <c r="E7" s="39">
        <f>'Data till Lathund, Kådgenererin'!P142</f>
        <v>19</v>
      </c>
      <c r="F7" s="39">
        <f>'Data till Lathund, Kådgenererin'!P187</f>
        <v>19</v>
      </c>
      <c r="G7" s="47">
        <f>'Data till Lathund, Kådgenererin'!P232</f>
        <v>13</v>
      </c>
      <c r="H7" s="39">
        <f>'Data till Lathund, Kådgenererin'!P277</f>
        <v>10</v>
      </c>
      <c r="I7" s="47">
        <f>'Data till Lathund, Kådgenererin'!P322</f>
        <v>3</v>
      </c>
      <c r="M7" s="139" t="s">
        <v>132</v>
      </c>
      <c r="N7">
        <v>1</v>
      </c>
    </row>
    <row r="8" spans="1:17" ht="15" customHeight="1" x14ac:dyDescent="0.25">
      <c r="A8" s="55"/>
      <c r="B8" s="65">
        <v>2</v>
      </c>
      <c r="C8" s="49">
        <f>'Data till Lathund, Kådgenererin'!P53</f>
        <v>49</v>
      </c>
      <c r="D8" s="41">
        <f>'Data till Lathund, Kådgenererin'!P98</f>
        <v>27</v>
      </c>
      <c r="E8" s="41">
        <f>'Data till Lathund, Kådgenererin'!P143</f>
        <v>21</v>
      </c>
      <c r="F8" s="41">
        <f>'Data till Lathund, Kådgenererin'!P188</f>
        <v>19</v>
      </c>
      <c r="G8" s="45">
        <f>'Data till Lathund, Kådgenererin'!P233</f>
        <v>19</v>
      </c>
      <c r="H8" s="41">
        <f>'Data till Lathund, Kådgenererin'!P278</f>
        <v>10</v>
      </c>
      <c r="I8" s="45">
        <f>'Data till Lathund, Kådgenererin'!P323</f>
        <v>10</v>
      </c>
      <c r="M8" s="139" t="s">
        <v>131</v>
      </c>
      <c r="N8">
        <v>3</v>
      </c>
    </row>
    <row r="9" spans="1:17" ht="15" customHeight="1" x14ac:dyDescent="0.25">
      <c r="A9" s="55">
        <v>15</v>
      </c>
      <c r="B9" s="64">
        <v>7</v>
      </c>
      <c r="C9" s="49">
        <f>'Data till Lathund, Kådgenererin'!P54</f>
        <v>49</v>
      </c>
      <c r="D9" s="41">
        <f>'Data till Lathund, Kådgenererin'!P99</f>
        <v>27</v>
      </c>
      <c r="E9" s="41">
        <f>'Data till Lathund, Kådgenererin'!P144</f>
        <v>27</v>
      </c>
      <c r="F9" s="41">
        <f>'Data till Lathund, Kådgenererin'!P189</f>
        <v>23</v>
      </c>
      <c r="G9" s="45">
        <f>'Data till Lathund, Kådgenererin'!P234</f>
        <v>19</v>
      </c>
      <c r="H9" s="41">
        <f>'Data till Lathund, Kådgenererin'!P279</f>
        <v>13</v>
      </c>
      <c r="I9" s="45">
        <f>'Data till Lathund, Kådgenererin'!P324</f>
        <v>10</v>
      </c>
      <c r="M9" s="139" t="s">
        <v>130</v>
      </c>
      <c r="N9">
        <v>6</v>
      </c>
    </row>
    <row r="10" spans="1:17" ht="15" customHeight="1" x14ac:dyDescent="0.25">
      <c r="A10" s="55"/>
      <c r="B10" s="65">
        <v>12</v>
      </c>
      <c r="C10" s="49">
        <f>'Data till Lathund, Kådgenererin'!P55</f>
        <v>50</v>
      </c>
      <c r="D10" s="41">
        <f>'Data till Lathund, Kådgenererin'!P100</f>
        <v>27</v>
      </c>
      <c r="E10" s="41">
        <f>'Data till Lathund, Kådgenererin'!P145</f>
        <v>27</v>
      </c>
      <c r="F10" s="41">
        <f>'Data till Lathund, Kådgenererin'!P190</f>
        <v>23</v>
      </c>
      <c r="G10" s="45">
        <f>'Data till Lathund, Kådgenererin'!P235</f>
        <v>19</v>
      </c>
      <c r="H10" s="41">
        <f>'Data till Lathund, Kådgenererin'!P280</f>
        <v>13</v>
      </c>
      <c r="I10" s="45">
        <f>'Data till Lathund, Kådgenererin'!P325</f>
        <v>10</v>
      </c>
      <c r="M10" t="s">
        <v>135</v>
      </c>
      <c r="N10">
        <v>6</v>
      </c>
    </row>
    <row r="11" spans="1:17" ht="15" customHeight="1" thickBot="1" x14ac:dyDescent="0.3">
      <c r="A11" s="56"/>
      <c r="B11" s="68">
        <v>20</v>
      </c>
      <c r="C11" s="50">
        <f>'Data till Lathund, Kådgenererin'!P56</f>
        <v>50</v>
      </c>
      <c r="D11" s="42">
        <f>'Data till Lathund, Kådgenererin'!P101</f>
        <v>27</v>
      </c>
      <c r="E11" s="42">
        <f>'Data till Lathund, Kådgenererin'!P146</f>
        <v>27</v>
      </c>
      <c r="F11" s="42">
        <f>'Data till Lathund, Kådgenererin'!P191</f>
        <v>23</v>
      </c>
      <c r="G11" s="46">
        <f>'Data till Lathund, Kådgenererin'!P236</f>
        <v>19</v>
      </c>
      <c r="H11" s="42">
        <f>'Data till Lathund, Kådgenererin'!P281</f>
        <v>13</v>
      </c>
      <c r="I11" s="46">
        <f>'Data till Lathund, Kådgenererin'!P326</f>
        <v>12</v>
      </c>
    </row>
    <row r="12" spans="1:17" ht="15" customHeight="1" x14ac:dyDescent="0.25">
      <c r="A12" s="51"/>
      <c r="B12" s="63">
        <v>0</v>
      </c>
      <c r="C12" s="48">
        <f>'Data till Lathund, Kådgenererin'!P57</f>
        <v>51</v>
      </c>
      <c r="D12" s="39">
        <f>'Data till Lathund, Kådgenererin'!P102</f>
        <v>37</v>
      </c>
      <c r="E12" s="39">
        <f>'Data till Lathund, Kådgenererin'!P147</f>
        <v>28</v>
      </c>
      <c r="F12" s="39">
        <f>'Data till Lathund, Kådgenererin'!P192</f>
        <v>28</v>
      </c>
      <c r="G12" s="47">
        <f>'Data till Lathund, Kådgenererin'!P237</f>
        <v>28</v>
      </c>
      <c r="H12" s="39">
        <f>'Data till Lathund, Kådgenererin'!P282</f>
        <v>18</v>
      </c>
      <c r="I12" s="47">
        <f>'Data till Lathund, Kådgenererin'!P327</f>
        <v>18</v>
      </c>
      <c r="M12" s="139" t="s">
        <v>132</v>
      </c>
      <c r="N12">
        <v>0</v>
      </c>
    </row>
    <row r="13" spans="1:17" ht="15" customHeight="1" x14ac:dyDescent="0.25">
      <c r="A13" s="52"/>
      <c r="B13" s="64">
        <v>2</v>
      </c>
      <c r="C13" s="49">
        <f>'Data till Lathund, Kådgenererin'!P58</f>
        <v>52</v>
      </c>
      <c r="D13" s="41">
        <f>'Data till Lathund, Kådgenererin'!P103</f>
        <v>37</v>
      </c>
      <c r="E13" s="41">
        <f>'Data till Lathund, Kådgenererin'!P148</f>
        <v>37</v>
      </c>
      <c r="F13" s="41">
        <f>'Data till Lathund, Kådgenererin'!P193</f>
        <v>31</v>
      </c>
      <c r="G13" s="45">
        <f>'Data till Lathund, Kådgenererin'!P238</f>
        <v>28</v>
      </c>
      <c r="H13" s="41">
        <f>'Data till Lathund, Kådgenererin'!P283</f>
        <v>28</v>
      </c>
      <c r="I13" s="45">
        <f>'Data till Lathund, Kådgenererin'!P328</f>
        <v>22</v>
      </c>
      <c r="M13" s="139" t="s">
        <v>131</v>
      </c>
      <c r="N13">
        <v>2</v>
      </c>
    </row>
    <row r="14" spans="1:17" ht="15" customHeight="1" x14ac:dyDescent="0.25">
      <c r="A14" s="52">
        <v>10</v>
      </c>
      <c r="B14" s="65">
        <v>7</v>
      </c>
      <c r="C14" s="49">
        <f>'Data till Lathund, Kådgenererin'!P59</f>
        <v>44</v>
      </c>
      <c r="D14" s="41">
        <f>'Data till Lathund, Kådgenererin'!P104</f>
        <v>37</v>
      </c>
      <c r="E14" s="41">
        <f>'Data till Lathund, Kådgenererin'!P149</f>
        <v>37</v>
      </c>
      <c r="F14" s="41">
        <f>'Data till Lathund, Kådgenererin'!P194</f>
        <v>37</v>
      </c>
      <c r="G14" s="45">
        <f>'Data till Lathund, Kådgenererin'!P239</f>
        <v>31</v>
      </c>
      <c r="H14" s="41">
        <f>'Data till Lathund, Kådgenererin'!P284</f>
        <v>28</v>
      </c>
      <c r="I14" s="45">
        <f>'Data till Lathund, Kådgenererin'!P329</f>
        <v>28</v>
      </c>
      <c r="M14" s="139" t="s">
        <v>130</v>
      </c>
      <c r="N14">
        <v>6</v>
      </c>
    </row>
    <row r="15" spans="1:17" ht="15" customHeight="1" x14ac:dyDescent="0.25">
      <c r="A15" s="52"/>
      <c r="B15" s="64">
        <v>12</v>
      </c>
      <c r="C15" s="49">
        <f>'Data till Lathund, Kådgenererin'!P60</f>
        <v>44</v>
      </c>
      <c r="D15" s="41">
        <f>'Data till Lathund, Kådgenererin'!P105</f>
        <v>38</v>
      </c>
      <c r="E15" s="41">
        <f>'Data till Lathund, Kådgenererin'!P150</f>
        <v>37</v>
      </c>
      <c r="F15" s="41">
        <f>'Data till Lathund, Kådgenererin'!P195</f>
        <v>37</v>
      </c>
      <c r="G15" s="45">
        <f>'Data till Lathund, Kådgenererin'!P240</f>
        <v>31</v>
      </c>
      <c r="H15" s="41">
        <f>'Data till Lathund, Kådgenererin'!P285</f>
        <v>28</v>
      </c>
      <c r="I15" s="45">
        <f>'Data till Lathund, Kådgenererin'!P330</f>
        <v>28</v>
      </c>
      <c r="M15" t="s">
        <v>135</v>
      </c>
      <c r="N15">
        <v>7</v>
      </c>
    </row>
    <row r="16" spans="1:17" ht="15" customHeight="1" thickBot="1" x14ac:dyDescent="0.3">
      <c r="A16" s="53"/>
      <c r="B16" s="66">
        <v>20</v>
      </c>
      <c r="C16" s="50">
        <f>'Data till Lathund, Kådgenererin'!P61</f>
        <v>44</v>
      </c>
      <c r="D16" s="42">
        <f>'Data till Lathund, Kådgenererin'!P106</f>
        <v>38</v>
      </c>
      <c r="E16" s="42">
        <f>'Data till Lathund, Kådgenererin'!P151</f>
        <v>37</v>
      </c>
      <c r="F16" s="42">
        <f>'Data till Lathund, Kådgenererin'!P196</f>
        <v>37</v>
      </c>
      <c r="G16" s="46">
        <f>'Data till Lathund, Kådgenererin'!P241</f>
        <v>31</v>
      </c>
      <c r="H16" s="42">
        <f>'Data till Lathund, Kådgenererin'!P286</f>
        <v>28</v>
      </c>
      <c r="I16" s="46">
        <f>'Data till Lathund, Kådgenererin'!P331</f>
        <v>28</v>
      </c>
    </row>
    <row r="17" spans="1:18" ht="15" customHeight="1" x14ac:dyDescent="0.25">
      <c r="A17" s="54"/>
      <c r="B17" s="67">
        <v>0</v>
      </c>
      <c r="C17" s="48">
        <f>'Data till Lathund, Kådgenererin'!P62</f>
        <v>53</v>
      </c>
      <c r="D17" s="39">
        <f>'Data till Lathund, Kådgenererin'!P107</f>
        <v>7</v>
      </c>
      <c r="E17" s="39">
        <f>'Data till Lathund, Kådgenererin'!P152</f>
        <v>6</v>
      </c>
      <c r="F17" s="39">
        <f>'Data till Lathund, Kådgenererin'!P197</f>
        <v>6</v>
      </c>
      <c r="G17" s="47">
        <f>'Data till Lathund, Kådgenererin'!P242</f>
        <v>6</v>
      </c>
      <c r="H17" s="39">
        <f>'Data till Lathund, Kådgenererin'!P287</f>
        <v>6</v>
      </c>
      <c r="I17" s="47">
        <f>'Data till Lathund, Kådgenererin'!P332</f>
        <v>5</v>
      </c>
      <c r="M17" s="139" t="s">
        <v>132</v>
      </c>
      <c r="N17">
        <v>1</v>
      </c>
      <c r="O17" t="s">
        <v>136</v>
      </c>
      <c r="P17" t="s">
        <v>132</v>
      </c>
      <c r="Q17">
        <v>1</v>
      </c>
    </row>
    <row r="18" spans="1:18" ht="15" customHeight="1" x14ac:dyDescent="0.25">
      <c r="A18" s="55"/>
      <c r="B18" s="65">
        <v>2</v>
      </c>
      <c r="C18" s="49">
        <f>'Data till Lathund, Kådgenererin'!P63</f>
        <v>53</v>
      </c>
      <c r="D18" s="41">
        <f>'Data till Lathund, Kådgenererin'!P108</f>
        <v>7</v>
      </c>
      <c r="E18" s="41">
        <f>'Data till Lathund, Kådgenererin'!P153</f>
        <v>7</v>
      </c>
      <c r="F18" s="41">
        <f>'Data till Lathund, Kådgenererin'!P198</f>
        <v>6</v>
      </c>
      <c r="G18" s="45">
        <f>'Data till Lathund, Kådgenererin'!P243</f>
        <v>6</v>
      </c>
      <c r="H18" s="41">
        <f>'Data till Lathund, Kådgenererin'!P288</f>
        <v>6</v>
      </c>
      <c r="I18" s="45">
        <f>'Data till Lathund, Kådgenererin'!P333</f>
        <v>6</v>
      </c>
      <c r="M18" s="139" t="s">
        <v>131</v>
      </c>
      <c r="N18">
        <v>3</v>
      </c>
      <c r="P18" t="s">
        <v>131</v>
      </c>
      <c r="Q18">
        <v>2.6666666666666665</v>
      </c>
    </row>
    <row r="19" spans="1:18" ht="15" customHeight="1" x14ac:dyDescent="0.25">
      <c r="A19" s="55">
        <v>5</v>
      </c>
      <c r="B19" s="64">
        <v>7</v>
      </c>
      <c r="C19" s="49">
        <f>'Data till Lathund, Kådgenererin'!P64</f>
        <v>54</v>
      </c>
      <c r="D19" s="41">
        <f>'Data till Lathund, Kådgenererin'!P109</f>
        <v>8</v>
      </c>
      <c r="E19" s="41">
        <f>'Data till Lathund, Kådgenererin'!P154</f>
        <v>7</v>
      </c>
      <c r="F19" s="41">
        <f>'Data till Lathund, Kådgenererin'!P199</f>
        <v>7</v>
      </c>
      <c r="G19" s="45">
        <f>'Data till Lathund, Kådgenererin'!P244</f>
        <v>6</v>
      </c>
      <c r="H19" s="41">
        <f>'Data till Lathund, Kådgenererin'!P289</f>
        <v>6</v>
      </c>
      <c r="I19" s="45">
        <f>'Data till Lathund, Kådgenererin'!P334</f>
        <v>6</v>
      </c>
      <c r="M19" s="139" t="s">
        <v>130</v>
      </c>
      <c r="N19">
        <v>6</v>
      </c>
      <c r="P19" t="s">
        <v>130</v>
      </c>
      <c r="Q19">
        <v>6</v>
      </c>
      <c r="R19">
        <v>0.85714285714285698</v>
      </c>
    </row>
    <row r="20" spans="1:18" ht="15" customHeight="1" x14ac:dyDescent="0.25">
      <c r="A20" s="55"/>
      <c r="B20" s="65">
        <v>12</v>
      </c>
      <c r="C20" s="49">
        <f>'Data till Lathund, Kådgenererin'!P65</f>
        <v>54</v>
      </c>
      <c r="D20" s="41">
        <f>'Data till Lathund, Kådgenererin'!P110</f>
        <v>8</v>
      </c>
      <c r="E20" s="41">
        <f>'Data till Lathund, Kådgenererin'!P155</f>
        <v>7</v>
      </c>
      <c r="F20" s="41">
        <f>'Data till Lathund, Kådgenererin'!P200</f>
        <v>7</v>
      </c>
      <c r="G20" s="45">
        <f>'Data till Lathund, Kådgenererin'!P245</f>
        <v>7</v>
      </c>
      <c r="H20" s="41">
        <f>'Data till Lathund, Kådgenererin'!P290</f>
        <v>6</v>
      </c>
      <c r="I20" s="45">
        <f>'Data till Lathund, Kådgenererin'!P335</f>
        <v>6</v>
      </c>
      <c r="M20" t="s">
        <v>135</v>
      </c>
      <c r="N20">
        <v>7</v>
      </c>
      <c r="P20" t="s">
        <v>135</v>
      </c>
      <c r="Q20">
        <v>6.333333333333333</v>
      </c>
    </row>
    <row r="21" spans="1:18" ht="15" customHeight="1" thickBot="1" x14ac:dyDescent="0.3">
      <c r="A21" s="56"/>
      <c r="B21" s="68">
        <v>20</v>
      </c>
      <c r="C21" s="50">
        <f>'Data till Lathund, Kådgenererin'!P66</f>
        <v>54</v>
      </c>
      <c r="D21" s="42">
        <f>'Data till Lathund, Kådgenererin'!P111</f>
        <v>8</v>
      </c>
      <c r="E21" s="42">
        <f>'Data till Lathund, Kådgenererin'!P156</f>
        <v>7</v>
      </c>
      <c r="F21" s="42">
        <f>'Data till Lathund, Kådgenererin'!P201</f>
        <v>7</v>
      </c>
      <c r="G21" s="46">
        <f>'Data till Lathund, Kådgenererin'!P246</f>
        <v>7</v>
      </c>
      <c r="H21" s="42">
        <f>'Data till Lathund, Kådgenererin'!P291</f>
        <v>6</v>
      </c>
      <c r="I21" s="46">
        <f>'Data till Lathund, Kådgenererin'!P336</f>
        <v>6</v>
      </c>
    </row>
    <row r="22" spans="1:18" ht="15" customHeight="1" x14ac:dyDescent="0.25">
      <c r="A22" s="51"/>
      <c r="B22" s="63">
        <v>0</v>
      </c>
      <c r="C22" s="48">
        <f>'Data till Lathund, Kådgenererin'!P67</f>
        <v>55</v>
      </c>
      <c r="D22" s="39">
        <f>'Data till Lathund, Kådgenererin'!P112</f>
        <v>9</v>
      </c>
      <c r="E22" s="39">
        <f>'Data till Lathund, Kådgenererin'!P157</f>
        <v>7</v>
      </c>
      <c r="F22" s="39">
        <f>'Data till Lathund, Kådgenererin'!P202</f>
        <v>8</v>
      </c>
      <c r="G22" s="47">
        <f>'Data till Lathund, Kådgenererin'!P247</f>
        <v>7</v>
      </c>
      <c r="H22" s="39">
        <f>'Data till Lathund, Kådgenererin'!P292</f>
        <v>7</v>
      </c>
      <c r="I22" s="47">
        <f>'Data till Lathund, Kådgenererin'!P337</f>
        <v>7</v>
      </c>
      <c r="M22" s="139" t="s">
        <v>132</v>
      </c>
      <c r="N22">
        <v>1</v>
      </c>
    </row>
    <row r="23" spans="1:18" ht="15" customHeight="1" x14ac:dyDescent="0.25">
      <c r="A23" s="52"/>
      <c r="B23" s="64">
        <v>2</v>
      </c>
      <c r="C23" s="49">
        <f>'Data till Lathund, Kådgenererin'!P68</f>
        <v>55</v>
      </c>
      <c r="D23" s="41">
        <f>'Data till Lathund, Kådgenererin'!P113</f>
        <v>16</v>
      </c>
      <c r="E23" s="41">
        <f>'Data till Lathund, Kådgenererin'!P158</f>
        <v>9</v>
      </c>
      <c r="F23" s="41">
        <f>'Data till Lathund, Kådgenererin'!P203</f>
        <v>8</v>
      </c>
      <c r="G23" s="45">
        <f>'Data till Lathund, Kådgenererin'!P248</f>
        <v>8</v>
      </c>
      <c r="H23" s="41">
        <f>'Data till Lathund, Kådgenererin'!P293</f>
        <v>7</v>
      </c>
      <c r="I23" s="45">
        <f>'Data till Lathund, Kådgenererin'!P338</f>
        <v>7</v>
      </c>
      <c r="M23" s="139" t="s">
        <v>131</v>
      </c>
      <c r="N23">
        <v>3</v>
      </c>
    </row>
    <row r="24" spans="1:18" ht="15" customHeight="1" x14ac:dyDescent="0.25">
      <c r="A24" s="52">
        <v>0</v>
      </c>
      <c r="B24" s="65">
        <v>7</v>
      </c>
      <c r="C24" s="49">
        <f>'Data till Lathund, Kådgenererin'!P69</f>
        <v>56</v>
      </c>
      <c r="D24" s="41">
        <f>'Data till Lathund, Kådgenererin'!P114</f>
        <v>17</v>
      </c>
      <c r="E24" s="41">
        <f>'Data till Lathund, Kådgenererin'!P159</f>
        <v>9</v>
      </c>
      <c r="F24" s="41">
        <f>'Data till Lathund, Kådgenererin'!P204</f>
        <v>9</v>
      </c>
      <c r="G24" s="45">
        <f>'Data till Lathund, Kådgenererin'!P249</f>
        <v>8</v>
      </c>
      <c r="H24" s="41">
        <f>'Data till Lathund, Kådgenererin'!P294</f>
        <v>8</v>
      </c>
      <c r="I24" s="45">
        <f>'Data till Lathund, Kådgenererin'!P339</f>
        <v>7</v>
      </c>
      <c r="M24" s="139" t="s">
        <v>130</v>
      </c>
      <c r="N24">
        <v>7</v>
      </c>
    </row>
    <row r="25" spans="1:18" ht="15" customHeight="1" x14ac:dyDescent="0.25">
      <c r="A25" s="52"/>
      <c r="B25" s="64">
        <v>12</v>
      </c>
      <c r="C25" s="49">
        <f>'Data till Lathund, Kådgenererin'!P70</f>
        <v>56</v>
      </c>
      <c r="D25" s="41">
        <f>'Data till Lathund, Kådgenererin'!P115</f>
        <v>17</v>
      </c>
      <c r="E25" s="41">
        <f>'Data till Lathund, Kådgenererin'!P160</f>
        <v>9</v>
      </c>
      <c r="F25" s="41">
        <f>'Data till Lathund, Kådgenererin'!P205</f>
        <v>9</v>
      </c>
      <c r="G25" s="45">
        <f>'Data till Lathund, Kådgenererin'!P250</f>
        <v>8</v>
      </c>
      <c r="H25" s="41">
        <f>'Data till Lathund, Kådgenererin'!P295</f>
        <v>8</v>
      </c>
      <c r="I25" s="45">
        <f>'Data till Lathund, Kådgenererin'!P340</f>
        <v>7</v>
      </c>
      <c r="M25" t="s">
        <v>135</v>
      </c>
      <c r="N25">
        <v>7</v>
      </c>
    </row>
    <row r="26" spans="1:18" ht="15" customHeight="1" thickBot="1" x14ac:dyDescent="0.3">
      <c r="A26" s="53"/>
      <c r="B26" s="66">
        <v>20</v>
      </c>
      <c r="C26" s="50">
        <f>'Data till Lathund, Kådgenererin'!P71</f>
        <v>56</v>
      </c>
      <c r="D26" s="42">
        <f>'Data till Lathund, Kådgenererin'!P116</f>
        <v>15</v>
      </c>
      <c r="E26" s="42">
        <f>'Data till Lathund, Kådgenererin'!P161</f>
        <v>9</v>
      </c>
      <c r="F26" s="42">
        <f>'Data till Lathund, Kådgenererin'!P206</f>
        <v>9</v>
      </c>
      <c r="G26" s="46">
        <f>'Data till Lathund, Kådgenererin'!P251</f>
        <v>8</v>
      </c>
      <c r="H26" s="42">
        <f>'Data till Lathund, Kådgenererin'!P296</f>
        <v>8</v>
      </c>
      <c r="I26" s="46">
        <f>'Data till Lathund, Kådgenererin'!P341</f>
        <v>7</v>
      </c>
    </row>
    <row r="27" spans="1:18" ht="15" customHeight="1" x14ac:dyDescent="0.25">
      <c r="A27" s="57"/>
      <c r="B27" s="67">
        <v>0</v>
      </c>
      <c r="C27" s="48">
        <f>'Data till Lathund, Kådgenererin'!P72</f>
        <v>57</v>
      </c>
      <c r="D27" s="39">
        <f>'Data till Lathund, Kådgenererin'!P117</f>
        <v>26</v>
      </c>
      <c r="E27" s="39">
        <f>'Data till Lathund, Kådgenererin'!P162</f>
        <v>17</v>
      </c>
      <c r="F27" s="39">
        <f>'Data till Lathund, Kådgenererin'!P207</f>
        <v>17</v>
      </c>
      <c r="G27" s="47">
        <f>'Data till Lathund, Kådgenererin'!P252</f>
        <v>16</v>
      </c>
      <c r="H27" s="39">
        <f>'Data till Lathund, Kådgenererin'!P297</f>
        <v>9</v>
      </c>
      <c r="I27" s="47">
        <f>'Data till Lathund, Kådgenererin'!P342</f>
        <v>9</v>
      </c>
      <c r="M27" s="139" t="s">
        <v>132</v>
      </c>
      <c r="N27">
        <v>1</v>
      </c>
    </row>
    <row r="28" spans="1:18" ht="15" customHeight="1" x14ac:dyDescent="0.25">
      <c r="A28" s="58"/>
      <c r="B28" s="65">
        <v>2</v>
      </c>
      <c r="C28" s="49">
        <f>'Data till Lathund, Kådgenererin'!P73</f>
        <v>57</v>
      </c>
      <c r="D28" s="41">
        <f>'Data till Lathund, Kådgenererin'!P118</f>
        <v>26</v>
      </c>
      <c r="E28" s="41">
        <f>'Data till Lathund, Kådgenererin'!P163</f>
        <v>17</v>
      </c>
      <c r="F28" s="41">
        <f>'Data till Lathund, Kådgenererin'!P208</f>
        <v>17</v>
      </c>
      <c r="G28" s="45">
        <f>'Data till Lathund, Kådgenererin'!P253</f>
        <v>17</v>
      </c>
      <c r="H28" s="41">
        <f>'Data till Lathund, Kådgenererin'!P298</f>
        <v>9</v>
      </c>
      <c r="I28" s="45">
        <f>'Data till Lathund, Kådgenererin'!P343</f>
        <v>9</v>
      </c>
      <c r="M28" s="139" t="s">
        <v>131</v>
      </c>
      <c r="N28">
        <v>2</v>
      </c>
    </row>
    <row r="29" spans="1:18" ht="15" customHeight="1" x14ac:dyDescent="0.25">
      <c r="A29" s="58">
        <v>-5</v>
      </c>
      <c r="B29" s="64">
        <v>7</v>
      </c>
      <c r="C29" s="49">
        <f>'Data till Lathund, Kådgenererin'!P74</f>
        <v>58</v>
      </c>
      <c r="D29" s="41">
        <f>'Data till Lathund, Kådgenererin'!P119</f>
        <v>32</v>
      </c>
      <c r="E29" s="41">
        <f>'Data till Lathund, Kådgenererin'!P164</f>
        <v>26</v>
      </c>
      <c r="F29" s="41">
        <f>'Data till Lathund, Kådgenererin'!P209</f>
        <v>17</v>
      </c>
      <c r="G29" s="45">
        <f>'Data till Lathund, Kådgenererin'!P254</f>
        <v>17</v>
      </c>
      <c r="H29" s="41">
        <f>'Data till Lathund, Kådgenererin'!P299</f>
        <v>16</v>
      </c>
      <c r="I29" s="45">
        <f>'Data till Lathund, Kådgenererin'!P344</f>
        <v>9</v>
      </c>
      <c r="M29" s="139" t="s">
        <v>130</v>
      </c>
      <c r="N29">
        <v>5</v>
      </c>
    </row>
    <row r="30" spans="1:18" ht="15" customHeight="1" x14ac:dyDescent="0.25">
      <c r="A30" s="58"/>
      <c r="B30" s="65">
        <v>12</v>
      </c>
      <c r="C30" s="49">
        <f>'Data till Lathund, Kådgenererin'!P75</f>
        <v>58</v>
      </c>
      <c r="D30" s="41">
        <f>'Data till Lathund, Kådgenererin'!P120</f>
        <v>32</v>
      </c>
      <c r="E30" s="41">
        <f>'Data till Lathund, Kådgenererin'!P165</f>
        <v>26</v>
      </c>
      <c r="F30" s="41">
        <f>'Data till Lathund, Kådgenererin'!P210</f>
        <v>17</v>
      </c>
      <c r="G30" s="45">
        <f>'Data till Lathund, Kådgenererin'!P255</f>
        <v>17</v>
      </c>
      <c r="H30" s="41">
        <f>'Data till Lathund, Kådgenererin'!P300</f>
        <v>16</v>
      </c>
      <c r="I30" s="45">
        <f>'Data till Lathund, Kådgenererin'!P345</f>
        <v>9</v>
      </c>
      <c r="M30" t="s">
        <v>135</v>
      </c>
      <c r="N30">
        <v>5</v>
      </c>
    </row>
    <row r="31" spans="1:18" ht="15" customHeight="1" thickBot="1" x14ac:dyDescent="0.3">
      <c r="A31" s="59"/>
      <c r="B31" s="68">
        <v>20</v>
      </c>
      <c r="C31" s="50">
        <f>'Data till Lathund, Kådgenererin'!P76</f>
        <v>58</v>
      </c>
      <c r="D31" s="42">
        <f>'Data till Lathund, Kådgenererin'!P121</f>
        <v>32</v>
      </c>
      <c r="E31" s="42">
        <f>'Data till Lathund, Kådgenererin'!P166</f>
        <v>26</v>
      </c>
      <c r="F31" s="42">
        <f>'Data till Lathund, Kådgenererin'!P211</f>
        <v>25</v>
      </c>
      <c r="G31" s="46">
        <f>'Data till Lathund, Kådgenererin'!P256</f>
        <v>17</v>
      </c>
      <c r="H31" s="42">
        <f>'Data till Lathund, Kådgenererin'!P301</f>
        <v>25</v>
      </c>
      <c r="I31" s="46">
        <f>'Data till Lathund, Kådgenererin'!P346</f>
        <v>9</v>
      </c>
    </row>
    <row r="32" spans="1:18" ht="15" customHeight="1" x14ac:dyDescent="0.25">
      <c r="A32" s="60"/>
      <c r="B32" s="63">
        <v>0</v>
      </c>
      <c r="C32" s="48">
        <f>'Data till Lathund, Kådgenererin'!P77</f>
        <v>59</v>
      </c>
      <c r="D32" s="39">
        <f>'Data till Lathund, Kådgenererin'!P122</f>
        <v>34</v>
      </c>
      <c r="E32" s="39">
        <f>'Data till Lathund, Kådgenererin'!P167</f>
        <v>32</v>
      </c>
      <c r="F32" s="39">
        <f>'Data till Lathund, Kådgenererin'!P212</f>
        <v>26</v>
      </c>
      <c r="G32" s="47">
        <f>'Data till Lathund, Kådgenererin'!P257</f>
        <v>26</v>
      </c>
      <c r="H32" s="39">
        <f>'Data till Lathund, Kådgenererin'!P302</f>
        <v>24</v>
      </c>
      <c r="I32" s="47">
        <f>'Data till Lathund, Kådgenererin'!P347</f>
        <v>17</v>
      </c>
      <c r="M32" s="139" t="s">
        <v>132</v>
      </c>
      <c r="N32">
        <v>0</v>
      </c>
      <c r="O32" t="s">
        <v>137</v>
      </c>
      <c r="P32" t="s">
        <v>132</v>
      </c>
      <c r="Q32">
        <v>0</v>
      </c>
    </row>
    <row r="33" spans="1:17" ht="15" customHeight="1" x14ac:dyDescent="0.25">
      <c r="A33" s="61"/>
      <c r="B33" s="64">
        <v>2</v>
      </c>
      <c r="C33" s="49">
        <f>'Data till Lathund, Kådgenererin'!P78</f>
        <v>59</v>
      </c>
      <c r="D33" s="41">
        <f>'Data till Lathund, Kådgenererin'!P123</f>
        <v>34</v>
      </c>
      <c r="E33" s="41">
        <f>'Data till Lathund, Kådgenererin'!P168</f>
        <v>32</v>
      </c>
      <c r="F33" s="41">
        <f>'Data till Lathund, Kådgenererin'!P213</f>
        <v>32</v>
      </c>
      <c r="G33" s="45">
        <f>'Data till Lathund, Kådgenererin'!P258</f>
        <v>26</v>
      </c>
      <c r="H33" s="41">
        <f>'Data till Lathund, Kådgenererin'!P303</f>
        <v>25</v>
      </c>
      <c r="I33" s="45">
        <f>'Data till Lathund, Kådgenererin'!P348</f>
        <v>17</v>
      </c>
      <c r="M33" s="139" t="s">
        <v>131</v>
      </c>
      <c r="N33">
        <v>0</v>
      </c>
      <c r="P33" t="s">
        <v>131</v>
      </c>
      <c r="Q33">
        <v>0</v>
      </c>
    </row>
    <row r="34" spans="1:17" ht="15" customHeight="1" x14ac:dyDescent="0.25">
      <c r="A34" s="61">
        <v>-10</v>
      </c>
      <c r="B34" s="65">
        <v>7</v>
      </c>
      <c r="C34" s="49">
        <f>'Data till Lathund, Kådgenererin'!P79</f>
        <v>60</v>
      </c>
      <c r="D34" s="41">
        <f>'Data till Lathund, Kådgenererin'!P124</f>
        <v>39</v>
      </c>
      <c r="E34" s="41">
        <f>'Data till Lathund, Kådgenererin'!P169</f>
        <v>34</v>
      </c>
      <c r="F34" s="41">
        <f>'Data till Lathund, Kådgenererin'!P214</f>
        <v>32</v>
      </c>
      <c r="G34" s="45">
        <f>'Data till Lathund, Kådgenererin'!P259</f>
        <v>26</v>
      </c>
      <c r="H34" s="41">
        <f>'Data till Lathund, Kådgenererin'!P304</f>
        <v>26</v>
      </c>
      <c r="I34" s="45">
        <f>'Data till Lathund, Kådgenererin'!P349</f>
        <v>17</v>
      </c>
      <c r="M34" s="139" t="s">
        <v>130</v>
      </c>
      <c r="N34">
        <v>0</v>
      </c>
      <c r="P34" t="s">
        <v>130</v>
      </c>
      <c r="Q34">
        <v>4.666666666666667</v>
      </c>
    </row>
    <row r="35" spans="1:17" ht="15" customHeight="1" x14ac:dyDescent="0.25">
      <c r="A35" s="61"/>
      <c r="B35" s="64">
        <v>12</v>
      </c>
      <c r="C35" s="49">
        <f>'Data till Lathund, Kådgenererin'!P80</f>
        <v>45</v>
      </c>
      <c r="D35" s="41">
        <f>'Data till Lathund, Kådgenererin'!P125</f>
        <v>45</v>
      </c>
      <c r="E35" s="41">
        <f>'Data till Lathund, Kådgenererin'!P170</f>
        <v>45</v>
      </c>
      <c r="F35" s="41">
        <f>'Data till Lathund, Kådgenererin'!P215</f>
        <v>45</v>
      </c>
      <c r="G35" s="45">
        <f>'Data till Lathund, Kådgenererin'!P260</f>
        <v>45</v>
      </c>
      <c r="H35" s="41">
        <f>'Data till Lathund, Kådgenererin'!P305</f>
        <v>45</v>
      </c>
      <c r="I35" s="45">
        <f>'Data till Lathund, Kådgenererin'!P350</f>
        <v>45</v>
      </c>
      <c r="M35" t="s">
        <v>135</v>
      </c>
      <c r="N35">
        <v>7</v>
      </c>
      <c r="P35" t="s">
        <v>135</v>
      </c>
      <c r="Q35">
        <v>7</v>
      </c>
    </row>
    <row r="36" spans="1:17" ht="15" customHeight="1" thickBot="1" x14ac:dyDescent="0.3">
      <c r="A36" s="62"/>
      <c r="B36" s="66">
        <v>20</v>
      </c>
      <c r="C36" s="50">
        <f>'Data till Lathund, Kådgenererin'!P81</f>
        <v>45</v>
      </c>
      <c r="D36" s="42">
        <f>'Data till Lathund, Kådgenererin'!P126</f>
        <v>45</v>
      </c>
      <c r="E36" s="42">
        <f>'Data till Lathund, Kådgenererin'!P171</f>
        <v>45</v>
      </c>
      <c r="F36" s="42">
        <f>'Data till Lathund, Kådgenererin'!P216</f>
        <v>45</v>
      </c>
      <c r="G36" s="46">
        <f>'Data till Lathund, Kådgenererin'!P261</f>
        <v>45</v>
      </c>
      <c r="H36" s="42">
        <f>'Data till Lathund, Kådgenererin'!P306</f>
        <v>45</v>
      </c>
      <c r="I36" s="46">
        <f>'Data till Lathund, Kådgenererin'!P351</f>
        <v>45</v>
      </c>
    </row>
    <row r="37" spans="1:17" ht="15" customHeight="1" x14ac:dyDescent="0.25">
      <c r="A37" s="57"/>
      <c r="B37" s="67">
        <v>0</v>
      </c>
      <c r="C37" s="48">
        <f>'Data till Lathund, Kådgenererin'!P82</f>
        <v>44</v>
      </c>
      <c r="D37" s="39">
        <f>'Data till Lathund, Kådgenererin'!P127</f>
        <v>42</v>
      </c>
      <c r="E37" s="39">
        <f>'Data till Lathund, Kådgenererin'!P172</f>
        <v>42</v>
      </c>
      <c r="F37" s="39">
        <f>'Data till Lathund, Kådgenererin'!P217</f>
        <v>40</v>
      </c>
      <c r="G37" s="47">
        <f>'Data till Lathund, Kådgenererin'!P262</f>
        <v>35</v>
      </c>
      <c r="H37" s="39">
        <f>'Data till Lathund, Kådgenererin'!P307</f>
        <v>35</v>
      </c>
      <c r="I37" s="47">
        <f>'Data till Lathund, Kådgenererin'!P352</f>
        <v>33</v>
      </c>
      <c r="M37" s="139" t="s">
        <v>132</v>
      </c>
      <c r="N37">
        <v>0</v>
      </c>
    </row>
    <row r="38" spans="1:17" ht="15" customHeight="1" x14ac:dyDescent="0.25">
      <c r="A38" s="58"/>
      <c r="B38" s="65">
        <v>2</v>
      </c>
      <c r="C38" s="49">
        <f>'Data till Lathund, Kådgenererin'!P83</f>
        <v>44</v>
      </c>
      <c r="D38" s="41">
        <f>'Data till Lathund, Kådgenererin'!P128</f>
        <v>44</v>
      </c>
      <c r="E38" s="41">
        <f>'Data till Lathund, Kådgenererin'!P173</f>
        <v>42</v>
      </c>
      <c r="F38" s="41">
        <f>'Data till Lathund, Kådgenererin'!P218</f>
        <v>42</v>
      </c>
      <c r="G38" s="45">
        <f>'Data till Lathund, Kådgenererin'!P263</f>
        <v>40</v>
      </c>
      <c r="H38" s="41">
        <f>'Data till Lathund, Kådgenererin'!P308</f>
        <v>35</v>
      </c>
      <c r="I38" s="45">
        <f>'Data till Lathund, Kådgenererin'!P353</f>
        <v>33</v>
      </c>
      <c r="M38" s="139" t="s">
        <v>131</v>
      </c>
      <c r="N38">
        <v>0</v>
      </c>
    </row>
    <row r="39" spans="1:17" ht="15" customHeight="1" x14ac:dyDescent="0.25">
      <c r="A39" s="58">
        <v>-15</v>
      </c>
      <c r="B39" s="64">
        <v>7</v>
      </c>
      <c r="C39" s="49">
        <f>'Data till Lathund, Kådgenererin'!P84</f>
        <v>45</v>
      </c>
      <c r="D39" s="41">
        <f>'Data till Lathund, Kådgenererin'!P129</f>
        <v>45</v>
      </c>
      <c r="E39" s="41">
        <f>'Data till Lathund, Kådgenererin'!P174</f>
        <v>45</v>
      </c>
      <c r="F39" s="41">
        <f>'Data till Lathund, Kådgenererin'!P219</f>
        <v>45</v>
      </c>
      <c r="G39" s="45">
        <f>'Data till Lathund, Kådgenererin'!P264</f>
        <v>45</v>
      </c>
      <c r="H39" s="41">
        <f>'Data till Lathund, Kådgenererin'!P309</f>
        <v>45</v>
      </c>
      <c r="I39" s="45">
        <f>'Data till Lathund, Kådgenererin'!P354</f>
        <v>45</v>
      </c>
      <c r="M39" s="139" t="s">
        <v>130</v>
      </c>
      <c r="N39">
        <v>7</v>
      </c>
    </row>
    <row r="40" spans="1:17" ht="15" customHeight="1" x14ac:dyDescent="0.25">
      <c r="A40" s="58"/>
      <c r="B40" s="65">
        <v>12</v>
      </c>
      <c r="C40" s="49">
        <f>'Data till Lathund, Kådgenererin'!P85</f>
        <v>45</v>
      </c>
      <c r="D40" s="41">
        <f>'Data till Lathund, Kådgenererin'!P130</f>
        <v>45</v>
      </c>
      <c r="E40" s="41">
        <f>'Data till Lathund, Kådgenererin'!P175</f>
        <v>45</v>
      </c>
      <c r="F40" s="41">
        <f>'Data till Lathund, Kådgenererin'!P220</f>
        <v>45</v>
      </c>
      <c r="G40" s="45">
        <f>'Data till Lathund, Kådgenererin'!P265</f>
        <v>45</v>
      </c>
      <c r="H40" s="41">
        <f>'Data till Lathund, Kådgenererin'!P310</f>
        <v>45</v>
      </c>
      <c r="I40" s="45">
        <f>'Data till Lathund, Kådgenererin'!P355</f>
        <v>45</v>
      </c>
      <c r="M40" t="s">
        <v>135</v>
      </c>
      <c r="N40">
        <v>7</v>
      </c>
    </row>
    <row r="41" spans="1:17" ht="15" customHeight="1" thickBot="1" x14ac:dyDescent="0.3">
      <c r="A41" s="59"/>
      <c r="B41" s="68">
        <v>20</v>
      </c>
      <c r="C41" s="50">
        <f>'Data till Lathund, Kådgenererin'!P86</f>
        <v>45</v>
      </c>
      <c r="D41" s="42">
        <f>'Data till Lathund, Kådgenererin'!P131</f>
        <v>45</v>
      </c>
      <c r="E41" s="42">
        <f>'Data till Lathund, Kådgenererin'!P176</f>
        <v>45</v>
      </c>
      <c r="F41" s="42">
        <f>'Data till Lathund, Kådgenererin'!P221</f>
        <v>45</v>
      </c>
      <c r="G41" s="46">
        <f>'Data till Lathund, Kådgenererin'!P266</f>
        <v>45</v>
      </c>
      <c r="H41" s="42">
        <f>'Data till Lathund, Kådgenererin'!P311</f>
        <v>45</v>
      </c>
      <c r="I41" s="46">
        <f>'Data till Lathund, Kådgenererin'!P356</f>
        <v>45</v>
      </c>
    </row>
    <row r="42" spans="1:17" ht="15" customHeight="1" x14ac:dyDescent="0.25">
      <c r="A42" s="60"/>
      <c r="B42" s="63">
        <v>0</v>
      </c>
      <c r="C42" s="70">
        <f>'Data till Lathund, Kådgenererin'!P87</f>
        <v>44</v>
      </c>
      <c r="D42" s="39">
        <f>'Data till Lathund, Kådgenererin'!P132</f>
        <v>44</v>
      </c>
      <c r="E42" s="39">
        <f>'Data till Lathund, Kådgenererin'!P177</f>
        <v>44</v>
      </c>
      <c r="F42" s="39">
        <f>'Data till Lathund, Kådgenererin'!P222</f>
        <v>44</v>
      </c>
      <c r="G42" s="47">
        <f>'Data till Lathund, Kådgenererin'!P267</f>
        <v>44</v>
      </c>
      <c r="H42" s="39">
        <f>'Data till Lathund, Kådgenererin'!P312</f>
        <v>36</v>
      </c>
      <c r="I42" s="44">
        <f>'Data till Lathund, Kådgenererin'!P357</f>
        <v>43</v>
      </c>
      <c r="M42" s="139" t="s">
        <v>132</v>
      </c>
      <c r="N42">
        <v>0</v>
      </c>
    </row>
    <row r="43" spans="1:17" ht="15" customHeight="1" x14ac:dyDescent="0.25">
      <c r="A43" s="61"/>
      <c r="B43" s="64">
        <v>2</v>
      </c>
      <c r="C43" s="71">
        <f>'Data till Lathund, Kådgenererin'!P88</f>
        <v>44</v>
      </c>
      <c r="D43" s="41">
        <f>'Data till Lathund, Kådgenererin'!P133</f>
        <v>44</v>
      </c>
      <c r="E43" s="41">
        <f>'Data till Lathund, Kådgenererin'!P178</f>
        <v>44</v>
      </c>
      <c r="F43" s="41">
        <f>'Data till Lathund, Kådgenererin'!P223</f>
        <v>44</v>
      </c>
      <c r="G43" s="45">
        <f>'Data till Lathund, Kådgenererin'!P268</f>
        <v>44</v>
      </c>
      <c r="H43" s="41">
        <f>'Data till Lathund, Kådgenererin'!P313</f>
        <v>44</v>
      </c>
      <c r="I43" s="40">
        <f>'Data till Lathund, Kådgenererin'!P358</f>
        <v>43</v>
      </c>
      <c r="M43" s="139" t="s">
        <v>131</v>
      </c>
      <c r="N43">
        <v>0</v>
      </c>
    </row>
    <row r="44" spans="1:17" ht="15" customHeight="1" x14ac:dyDescent="0.25">
      <c r="A44" s="61">
        <v>-20</v>
      </c>
      <c r="B44" s="65">
        <v>7</v>
      </c>
      <c r="C44" s="71">
        <f>'Data till Lathund, Kådgenererin'!P89</f>
        <v>45</v>
      </c>
      <c r="D44" s="41">
        <f>'Data till Lathund, Kådgenererin'!P134</f>
        <v>45</v>
      </c>
      <c r="E44" s="41">
        <f>'Data till Lathund, Kådgenererin'!P179</f>
        <v>45</v>
      </c>
      <c r="F44" s="41">
        <f>'Data till Lathund, Kådgenererin'!P224</f>
        <v>45</v>
      </c>
      <c r="G44" s="45">
        <f>'Data till Lathund, Kådgenererin'!P269</f>
        <v>45</v>
      </c>
      <c r="H44" s="41">
        <f>'Data till Lathund, Kådgenererin'!P314</f>
        <v>45</v>
      </c>
      <c r="I44" s="40">
        <f>'Data till Lathund, Kådgenererin'!P359</f>
        <v>45</v>
      </c>
      <c r="M44" s="139" t="s">
        <v>130</v>
      </c>
      <c r="N44">
        <v>7</v>
      </c>
    </row>
    <row r="45" spans="1:17" ht="15" customHeight="1" x14ac:dyDescent="0.25">
      <c r="A45" s="61"/>
      <c r="B45" s="64">
        <v>12</v>
      </c>
      <c r="C45" s="71">
        <f>'Data till Lathund, Kådgenererin'!P90</f>
        <v>45</v>
      </c>
      <c r="D45" s="41">
        <f>'Data till Lathund, Kådgenererin'!P135</f>
        <v>45</v>
      </c>
      <c r="E45" s="41">
        <f>'Data till Lathund, Kådgenererin'!P180</f>
        <v>45</v>
      </c>
      <c r="F45" s="41">
        <f>'Data till Lathund, Kådgenererin'!P225</f>
        <v>45</v>
      </c>
      <c r="G45" s="45">
        <f>'Data till Lathund, Kådgenererin'!P270</f>
        <v>45</v>
      </c>
      <c r="H45" s="41">
        <f>'Data till Lathund, Kådgenererin'!P315</f>
        <v>45</v>
      </c>
      <c r="I45" s="40">
        <f>'Data till Lathund, Kådgenererin'!P360</f>
        <v>45</v>
      </c>
      <c r="M45" t="s">
        <v>135</v>
      </c>
      <c r="N45">
        <v>7</v>
      </c>
    </row>
    <row r="46" spans="1:17" ht="15" customHeight="1" thickBot="1" x14ac:dyDescent="0.3">
      <c r="A46" s="62"/>
      <c r="B46" s="66">
        <v>20</v>
      </c>
      <c r="C46" s="72">
        <f>'Data till Lathund, Kådgenererin'!P91</f>
        <v>45</v>
      </c>
      <c r="D46" s="42">
        <f>'Data till Lathund, Kådgenererin'!P136</f>
        <v>45</v>
      </c>
      <c r="E46" s="42">
        <f>'Data till Lathund, Kådgenererin'!P181</f>
        <v>45</v>
      </c>
      <c r="F46" s="42">
        <f>'Data till Lathund, Kådgenererin'!P226</f>
        <v>45</v>
      </c>
      <c r="G46" s="46">
        <f>'Data till Lathund, Kådgenererin'!P271</f>
        <v>45</v>
      </c>
      <c r="H46" s="42">
        <f>'Data till Lathund, Kådgenererin'!P316</f>
        <v>45</v>
      </c>
      <c r="I46" s="43">
        <f>'Data till Lathund, Kådgenererin'!P361</f>
        <v>45</v>
      </c>
    </row>
    <row r="47" spans="1:17" x14ac:dyDescent="0.25">
      <c r="B47" t="s">
        <v>138</v>
      </c>
      <c r="C47">
        <f>COUNTIF(Table13[C20/25],44)</f>
        <v>7</v>
      </c>
      <c r="D47">
        <f>COUNTIF(Table13[C25/30],44)</f>
        <v>3</v>
      </c>
      <c r="E47">
        <f>COUNTIF(Table13[C28/37],44)</f>
        <v>2</v>
      </c>
      <c r="F47">
        <f>COUNTIF(Table13[C30/37],44)</f>
        <v>2</v>
      </c>
      <c r="G47">
        <f>COUNTIF(Table13[C32/40],44)</f>
        <v>2</v>
      </c>
      <c r="H47">
        <f>COUNTIF(Table13[C35/45],44)</f>
        <v>1</v>
      </c>
      <c r="I47">
        <f>COUNTIF(Table13[C40/50],44)</f>
        <v>0</v>
      </c>
    </row>
    <row r="48" spans="1:17" x14ac:dyDescent="0.25">
      <c r="B48" t="s">
        <v>139</v>
      </c>
      <c r="C48">
        <f>COUNTIF(Table13[C20/25],45)</f>
        <v>8</v>
      </c>
      <c r="D48">
        <f>COUNTIF(Table13[C25/30],45)</f>
        <v>8</v>
      </c>
      <c r="E48">
        <f>COUNTIF(Table13[C28/37],45)</f>
        <v>8</v>
      </c>
      <c r="F48">
        <f>COUNTIF(Table13[C30/37],45)</f>
        <v>8</v>
      </c>
      <c r="G48">
        <f>COUNTIF(Table13[C32/40],45)</f>
        <v>8</v>
      </c>
      <c r="H48">
        <f>COUNTIF(Table13[C35/45],45)</f>
        <v>8</v>
      </c>
      <c r="I48">
        <f>COUNTIF(Table13[C40/50],45)</f>
        <v>8</v>
      </c>
    </row>
    <row r="49" spans="2:18" x14ac:dyDescent="0.25">
      <c r="B49" t="s">
        <v>140</v>
      </c>
      <c r="C49" s="140">
        <f>C47/45</f>
        <v>0.15555555555555556</v>
      </c>
      <c r="D49" s="140">
        <f t="shared" ref="D49:I50" si="0">D47/45</f>
        <v>6.6666666666666666E-2</v>
      </c>
      <c r="E49" s="140">
        <f t="shared" si="0"/>
        <v>4.4444444444444446E-2</v>
      </c>
      <c r="F49" s="140">
        <f t="shared" si="0"/>
        <v>4.4444444444444446E-2</v>
      </c>
      <c r="G49" s="140">
        <f t="shared" si="0"/>
        <v>4.4444444444444446E-2</v>
      </c>
      <c r="H49" s="140">
        <f t="shared" si="0"/>
        <v>2.2222222222222223E-2</v>
      </c>
      <c r="I49" s="140">
        <f t="shared" si="0"/>
        <v>0</v>
      </c>
    </row>
    <row r="50" spans="2:18" ht="45" x14ac:dyDescent="0.25">
      <c r="B50" t="s">
        <v>141</v>
      </c>
      <c r="C50" s="140">
        <f>C48/45</f>
        <v>0.17777777777777778</v>
      </c>
      <c r="D50" s="140">
        <f t="shared" si="0"/>
        <v>0.17777777777777778</v>
      </c>
      <c r="E50" s="140">
        <f t="shared" si="0"/>
        <v>0.17777777777777778</v>
      </c>
      <c r="F50" s="140">
        <f t="shared" si="0"/>
        <v>0.17777777777777778</v>
      </c>
      <c r="G50" s="140">
        <f t="shared" si="0"/>
        <v>0.17777777777777778</v>
      </c>
      <c r="H50" s="140">
        <f t="shared" si="0"/>
        <v>0.17777777777777778</v>
      </c>
      <c r="I50" s="140">
        <f t="shared" si="0"/>
        <v>0.17777777777777778</v>
      </c>
      <c r="K50" s="75" t="s">
        <v>22</v>
      </c>
      <c r="L50" s="76" t="s">
        <v>72</v>
      </c>
      <c r="M50" s="76" t="s">
        <v>0</v>
      </c>
      <c r="N50" s="76" t="s">
        <v>1</v>
      </c>
      <c r="O50" s="76" t="s">
        <v>29</v>
      </c>
      <c r="P50" s="77" t="s">
        <v>3</v>
      </c>
      <c r="Q50" s="76" t="s">
        <v>30</v>
      </c>
      <c r="R50" s="76" t="s">
        <v>31</v>
      </c>
    </row>
    <row r="51" spans="2:18" x14ac:dyDescent="0.25">
      <c r="B51" t="s">
        <v>142</v>
      </c>
      <c r="C51" s="140">
        <f>(C47+C48)/45</f>
        <v>0.33333333333333331</v>
      </c>
      <c r="D51" s="140">
        <f t="shared" ref="D51:I51" si="1">(D47+D48)/45</f>
        <v>0.24444444444444444</v>
      </c>
      <c r="E51" s="140">
        <f t="shared" si="1"/>
        <v>0.22222222222222221</v>
      </c>
      <c r="F51" s="140">
        <f t="shared" si="1"/>
        <v>0.22222222222222221</v>
      </c>
      <c r="G51" s="140">
        <f t="shared" si="1"/>
        <v>0.22222222222222221</v>
      </c>
      <c r="H51" s="140">
        <f t="shared" si="1"/>
        <v>0.2</v>
      </c>
      <c r="I51" s="140">
        <f t="shared" si="1"/>
        <v>0.17777777777777778</v>
      </c>
      <c r="K51" s="69">
        <f>'Data till lathund Åtgärder'!A2</f>
        <v>1</v>
      </c>
      <c r="L51" s="136">
        <f>'Data till lathund Åtgärder'!B2</f>
        <v>0.4</v>
      </c>
      <c r="M51" s="78">
        <f>'Data till lathund Åtgärder'!C2</f>
        <v>15</v>
      </c>
      <c r="N51" s="78">
        <f>'Data till lathund Åtgärder'!D2</f>
        <v>20</v>
      </c>
      <c r="O51" s="78" t="str">
        <f>'Data till lathund Åtgärder'!E2</f>
        <v>-</v>
      </c>
      <c r="P51" s="78" t="str">
        <f>'Data till lathund Åtgärder'!F2</f>
        <v>-</v>
      </c>
      <c r="Q51" s="102" t="str">
        <f>'Data till lathund Åtgärder'!G2</f>
        <v>OK7</v>
      </c>
      <c r="R51" s="102"/>
    </row>
    <row r="52" spans="2:18" x14ac:dyDescent="0.25">
      <c r="K52" s="69">
        <f>'Data till lathund Åtgärder'!A3</f>
        <v>2</v>
      </c>
      <c r="L52" s="136">
        <f>'Data till lathund Åtgärder'!B3</f>
        <v>0.4</v>
      </c>
      <c r="M52" s="78">
        <f>'Data till lathund Åtgärder'!C3</f>
        <v>15</v>
      </c>
      <c r="N52" s="78">
        <f>'Data till lathund Åtgärder'!D3</f>
        <v>20</v>
      </c>
      <c r="O52" s="78">
        <f>'Data till lathund Åtgärder'!E3</f>
        <v>0</v>
      </c>
      <c r="P52" s="78" t="str">
        <f>'Data till lathund Åtgärder'!F3</f>
        <v>-</v>
      </c>
      <c r="Q52" s="102" t="str">
        <f>'Data till lathund Åtgärder'!G3</f>
        <v>OK7</v>
      </c>
      <c r="R52" s="102"/>
    </row>
    <row r="53" spans="2:18" x14ac:dyDescent="0.25">
      <c r="K53" s="69">
        <f>'Data till lathund Åtgärder'!A4</f>
        <v>3</v>
      </c>
      <c r="L53" s="136">
        <f>'Data till lathund Åtgärder'!B4</f>
        <v>0.4</v>
      </c>
      <c r="M53" s="78">
        <f>'Data till lathund Åtgärder'!C4</f>
        <v>15</v>
      </c>
      <c r="N53" s="78">
        <f>'Data till lathund Åtgärder'!D4</f>
        <v>15</v>
      </c>
      <c r="O53" s="78">
        <f>'Data till lathund Åtgärder'!E4</f>
        <v>0</v>
      </c>
      <c r="P53" s="78" t="str">
        <f>'Data till lathund Åtgärder'!F4</f>
        <v>Presenning</v>
      </c>
      <c r="Q53" s="102" t="str">
        <f>'Data till lathund Åtgärder'!G4</f>
        <v>OK7</v>
      </c>
      <c r="R53" s="102"/>
    </row>
    <row r="54" spans="2:18" x14ac:dyDescent="0.25">
      <c r="K54" s="69">
        <f>'Data till lathund Åtgärder'!A5</f>
        <v>4</v>
      </c>
      <c r="L54" s="136">
        <f>'Data till lathund Åtgärder'!B5</f>
        <v>0.4</v>
      </c>
      <c r="M54" s="78">
        <f>'Data till lathund Åtgärder'!C5</f>
        <v>15</v>
      </c>
      <c r="N54" s="78">
        <f>'Data till lathund Åtgärder'!D5</f>
        <v>20</v>
      </c>
      <c r="O54" s="78">
        <f>'Data till lathund Åtgärder'!E5</f>
        <v>0</v>
      </c>
      <c r="P54" s="78" t="str">
        <f>'Data till lathund Åtgärder'!F5</f>
        <v>Presenning</v>
      </c>
      <c r="Q54" s="102" t="str">
        <f>'Data till lathund Åtgärder'!G5</f>
        <v>OK7</v>
      </c>
      <c r="R54" s="102"/>
    </row>
    <row r="55" spans="2:18" x14ac:dyDescent="0.25">
      <c r="K55" s="69">
        <f>'Data till lathund Åtgärder'!A6</f>
        <v>5</v>
      </c>
      <c r="L55" s="136">
        <f>'Data till lathund Åtgärder'!B6</f>
        <v>0.4</v>
      </c>
      <c r="M55" s="78">
        <f>'Data till lathund Åtgärder'!C6</f>
        <v>20</v>
      </c>
      <c r="N55" s="78">
        <f>'Data till lathund Åtgärder'!D6</f>
        <v>5</v>
      </c>
      <c r="O55" s="78">
        <f>'Data till lathund Åtgärder'!E6</f>
        <v>0</v>
      </c>
      <c r="P55" s="78">
        <f>'Data till lathund Åtgärder'!F6</f>
        <v>50</v>
      </c>
      <c r="Q55" s="102" t="str">
        <f>'Data till lathund Åtgärder'!G6</f>
        <v>OK7</v>
      </c>
      <c r="R55" s="102"/>
    </row>
    <row r="56" spans="2:18" x14ac:dyDescent="0.25">
      <c r="K56" s="69">
        <f>'Data till lathund Åtgärder'!A7</f>
        <v>6</v>
      </c>
      <c r="L56" s="136">
        <f>'Data till lathund Åtgärder'!B7</f>
        <v>0.4</v>
      </c>
      <c r="M56" s="78">
        <f>'Data till lathund Åtgärder'!C7</f>
        <v>20</v>
      </c>
      <c r="N56" s="78">
        <f>'Data till lathund Åtgärder'!D7</f>
        <v>5</v>
      </c>
      <c r="O56" s="78">
        <f>'Data till lathund Åtgärder'!E7</f>
        <v>20</v>
      </c>
      <c r="P56" s="78">
        <f>'Data till lathund Åtgärder'!F7</f>
        <v>10</v>
      </c>
      <c r="Q56" s="102" t="str">
        <f>'Data till lathund Åtgärder'!G7</f>
        <v>OK7</v>
      </c>
      <c r="R56" s="102"/>
    </row>
    <row r="57" spans="2:18" x14ac:dyDescent="0.25">
      <c r="K57" s="69">
        <f>'Data till lathund Åtgärder'!A8</f>
        <v>7</v>
      </c>
      <c r="L57" s="136">
        <f>'Data till lathund Åtgärder'!B8</f>
        <v>0.4</v>
      </c>
      <c r="M57" s="78">
        <f>'Data till lathund Åtgärder'!C8</f>
        <v>20</v>
      </c>
      <c r="N57" s="78">
        <f>'Data till lathund Åtgärder'!D8</f>
        <v>5</v>
      </c>
      <c r="O57" s="78">
        <f>'Data till lathund Åtgärder'!E8</f>
        <v>20</v>
      </c>
      <c r="P57" s="78">
        <f>'Data till lathund Åtgärder'!F8</f>
        <v>20</v>
      </c>
      <c r="Q57" s="102" t="str">
        <f>'Data till lathund Åtgärder'!G8</f>
        <v>OK7</v>
      </c>
      <c r="R57" s="102"/>
    </row>
    <row r="58" spans="2:18" x14ac:dyDescent="0.25">
      <c r="K58" s="69">
        <f>'Data till lathund Åtgärder'!A9</f>
        <v>8</v>
      </c>
      <c r="L58" s="136">
        <f>'Data till lathund Åtgärder'!B9</f>
        <v>0.4</v>
      </c>
      <c r="M58" s="78">
        <f>'Data till lathund Åtgärder'!C9</f>
        <v>20</v>
      </c>
      <c r="N58" s="78">
        <f>'Data till lathund Åtgärder'!D9</f>
        <v>5</v>
      </c>
      <c r="O58" s="78">
        <f>'Data till lathund Åtgärder'!E9</f>
        <v>20</v>
      </c>
      <c r="P58" s="78">
        <f>'Data till lathund Åtgärder'!F9</f>
        <v>30</v>
      </c>
      <c r="Q58" s="102" t="str">
        <f>'Data till lathund Åtgärder'!G9</f>
        <v>OK7</v>
      </c>
      <c r="R58" s="102"/>
    </row>
    <row r="59" spans="2:18" x14ac:dyDescent="0.25">
      <c r="K59" s="69">
        <f>'Data till lathund Åtgärder'!A10</f>
        <v>9</v>
      </c>
      <c r="L59" s="136">
        <f>'Data till lathund Åtgärder'!B10</f>
        <v>0.4</v>
      </c>
      <c r="M59" s="78">
        <f>'Data till lathund Åtgärder'!C10</f>
        <v>20</v>
      </c>
      <c r="N59" s="78">
        <f>'Data till lathund Åtgärder'!D10</f>
        <v>5</v>
      </c>
      <c r="O59" s="78">
        <f>'Data till lathund Åtgärder'!E10</f>
        <v>20</v>
      </c>
      <c r="P59" s="78">
        <f>'Data till lathund Åtgärder'!F10</f>
        <v>50</v>
      </c>
      <c r="Q59" s="102" t="str">
        <f>'Data till lathund Åtgärder'!G10</f>
        <v>OK7</v>
      </c>
      <c r="R59" s="102"/>
    </row>
    <row r="60" spans="2:18" x14ac:dyDescent="0.25">
      <c r="K60" s="69">
        <f>'Data till lathund Åtgärder'!A11</f>
        <v>10</v>
      </c>
      <c r="L60" s="136">
        <f>'Data till lathund Åtgärder'!B11</f>
        <v>0.3</v>
      </c>
      <c r="M60" s="78">
        <f>'Data till lathund Åtgärder'!C11</f>
        <v>15</v>
      </c>
      <c r="N60" s="78">
        <f>'Data till lathund Åtgärder'!D11</f>
        <v>15</v>
      </c>
      <c r="O60" s="78" t="str">
        <f>'Data till lathund Åtgärder'!E11</f>
        <v>-</v>
      </c>
      <c r="P60" s="78" t="str">
        <f>'Data till lathund Åtgärder'!F11</f>
        <v>-</v>
      </c>
      <c r="Q60" s="102" t="str">
        <f>'Data till lathund Åtgärder'!G11</f>
        <v>OK7</v>
      </c>
      <c r="R60" s="102"/>
    </row>
    <row r="61" spans="2:18" x14ac:dyDescent="0.25">
      <c r="K61" s="69">
        <f>'Data till lathund Åtgärder'!A12</f>
        <v>11</v>
      </c>
      <c r="L61" s="136">
        <f>'Data till lathund Åtgärder'!B12</f>
        <v>0.3</v>
      </c>
      <c r="M61" s="78">
        <f>'Data till lathund Åtgärder'!C12</f>
        <v>15</v>
      </c>
      <c r="N61" s="78">
        <f>'Data till lathund Åtgärder'!D12</f>
        <v>20</v>
      </c>
      <c r="O61" s="78" t="str">
        <f>'Data till lathund Åtgärder'!E12</f>
        <v>-</v>
      </c>
      <c r="P61" s="78" t="str">
        <f>'Data till lathund Åtgärder'!F12</f>
        <v>-</v>
      </c>
      <c r="Q61" s="102" t="str">
        <f>'Data till lathund Åtgärder'!G12</f>
        <v>OK7</v>
      </c>
      <c r="R61" s="102"/>
    </row>
    <row r="62" spans="2:18" x14ac:dyDescent="0.25">
      <c r="K62" s="69">
        <f>'Data till lathund Åtgärder'!A13</f>
        <v>12</v>
      </c>
      <c r="L62" s="136">
        <f>'Data till lathund Åtgärder'!B13</f>
        <v>0.3</v>
      </c>
      <c r="M62" s="78">
        <f>'Data till lathund Åtgärder'!C13</f>
        <v>15</v>
      </c>
      <c r="N62" s="78">
        <f>'Data till lathund Åtgärder'!D13</f>
        <v>15</v>
      </c>
      <c r="O62" s="78">
        <f>'Data till lathund Åtgärder'!E13</f>
        <v>0</v>
      </c>
      <c r="P62" s="78" t="str">
        <f>'Data till lathund Åtgärder'!F13</f>
        <v>-</v>
      </c>
      <c r="Q62" s="102" t="str">
        <f>'Data till lathund Åtgärder'!G13</f>
        <v>OK7</v>
      </c>
      <c r="R62" s="102"/>
    </row>
    <row r="63" spans="2:18" x14ac:dyDescent="0.25">
      <c r="K63" s="69">
        <f>'Data till lathund Åtgärder'!A14</f>
        <v>13</v>
      </c>
      <c r="L63" s="136">
        <f>'Data till lathund Åtgärder'!B14</f>
        <v>0.3</v>
      </c>
      <c r="M63" s="78">
        <f>'Data till lathund Åtgärder'!C14</f>
        <v>15</v>
      </c>
      <c r="N63" s="78">
        <f>'Data till lathund Åtgärder'!D14</f>
        <v>15</v>
      </c>
      <c r="O63" s="78">
        <f>'Data till lathund Åtgärder'!E14</f>
        <v>0</v>
      </c>
      <c r="P63" s="78" t="str">
        <f>'Data till lathund Åtgärder'!F14</f>
        <v>Presenning</v>
      </c>
      <c r="Q63" s="102" t="str">
        <f>'Data till lathund Åtgärder'!G14</f>
        <v>OK7</v>
      </c>
      <c r="R63" s="102"/>
    </row>
    <row r="64" spans="2:18" x14ac:dyDescent="0.25">
      <c r="K64" s="69">
        <f>'Data till lathund Åtgärder'!A15</f>
        <v>14</v>
      </c>
      <c r="L64" s="136">
        <f>'Data till lathund Åtgärder'!B15</f>
        <v>0.3</v>
      </c>
      <c r="M64" s="78">
        <f>'Data till lathund Åtgärder'!C15</f>
        <v>15</v>
      </c>
      <c r="N64" s="78">
        <f>'Data till lathund Åtgärder'!D15</f>
        <v>20</v>
      </c>
      <c r="O64" s="78">
        <f>'Data till lathund Åtgärder'!E15</f>
        <v>0</v>
      </c>
      <c r="P64" s="78" t="str">
        <f>'Data till lathund Åtgärder'!F15</f>
        <v>Presenning</v>
      </c>
      <c r="Q64" s="102" t="str">
        <f>'Data till lathund Åtgärder'!G15</f>
        <v>OK7</v>
      </c>
      <c r="R64" s="102"/>
    </row>
    <row r="65" spans="11:18" x14ac:dyDescent="0.25">
      <c r="K65" s="69">
        <f>'Data till lathund Åtgärder'!A16</f>
        <v>15</v>
      </c>
      <c r="L65" s="136">
        <f>'Data till lathund Åtgärder'!B16</f>
        <v>0.3</v>
      </c>
      <c r="M65" s="78">
        <f>'Data till lathund Åtgärder'!C16</f>
        <v>20</v>
      </c>
      <c r="N65" s="78">
        <f>'Data till lathund Åtgärder'!D16</f>
        <v>5</v>
      </c>
      <c r="O65" s="78">
        <f>'Data till lathund Åtgärder'!E16</f>
        <v>20</v>
      </c>
      <c r="P65" s="78">
        <f>'Data till lathund Åtgärder'!F16</f>
        <v>10</v>
      </c>
      <c r="Q65" s="102" t="str">
        <f>'Data till lathund Åtgärder'!G16</f>
        <v>OK7</v>
      </c>
      <c r="R65" s="102"/>
    </row>
    <row r="66" spans="11:18" x14ac:dyDescent="0.25">
      <c r="K66" s="69">
        <f>'Data till lathund Åtgärder'!A17</f>
        <v>16</v>
      </c>
      <c r="L66" s="136">
        <f>'Data till lathund Åtgärder'!B17</f>
        <v>0.3</v>
      </c>
      <c r="M66" s="78">
        <f>'Data till lathund Åtgärder'!C17</f>
        <v>20</v>
      </c>
      <c r="N66" s="78">
        <f>'Data till lathund Åtgärder'!D17</f>
        <v>5</v>
      </c>
      <c r="O66" s="78">
        <f>'Data till lathund Åtgärder'!E17</f>
        <v>20</v>
      </c>
      <c r="P66" s="78">
        <f>'Data till lathund Åtgärder'!F17</f>
        <v>30</v>
      </c>
      <c r="Q66" s="102" t="str">
        <f>'Data till lathund Åtgärder'!G17</f>
        <v>OK7</v>
      </c>
      <c r="R66" s="102"/>
    </row>
    <row r="67" spans="11:18" x14ac:dyDescent="0.25">
      <c r="K67" s="69">
        <f>'Data till lathund Åtgärder'!A18</f>
        <v>17</v>
      </c>
      <c r="L67" s="136">
        <f>'Data till lathund Åtgärder'!B18</f>
        <v>0.3</v>
      </c>
      <c r="M67" s="78">
        <f>'Data till lathund Åtgärder'!C18</f>
        <v>20</v>
      </c>
      <c r="N67" s="78">
        <f>'Data till lathund Åtgärder'!D18</f>
        <v>5</v>
      </c>
      <c r="O67" s="78">
        <f>'Data till lathund Åtgärder'!E18</f>
        <v>20</v>
      </c>
      <c r="P67" s="78">
        <f>'Data till lathund Åtgärder'!F18</f>
        <v>50</v>
      </c>
      <c r="Q67" s="102" t="str">
        <f>'Data till lathund Åtgärder'!G18</f>
        <v>OK7</v>
      </c>
      <c r="R67" s="102"/>
    </row>
    <row r="68" spans="11:18" x14ac:dyDescent="0.25">
      <c r="K68" s="69">
        <f>'Data till lathund Åtgärder'!A19</f>
        <v>18</v>
      </c>
      <c r="L68" s="136">
        <f>'Data till lathund Åtgärder'!B19</f>
        <v>0.2</v>
      </c>
      <c r="M68" s="78">
        <f>'Data till lathund Åtgärder'!C19</f>
        <v>15</v>
      </c>
      <c r="N68" s="78">
        <f>'Data till lathund Åtgärder'!D19</f>
        <v>10</v>
      </c>
      <c r="O68" s="78" t="str">
        <f>'Data till lathund Åtgärder'!E19</f>
        <v>-</v>
      </c>
      <c r="P68" s="78" t="str">
        <f>'Data till lathund Åtgärder'!F19</f>
        <v>-</v>
      </c>
      <c r="Q68" s="102" t="str">
        <f>'Data till lathund Åtgärder'!G19</f>
        <v>OK7</v>
      </c>
      <c r="R68" s="102"/>
    </row>
    <row r="69" spans="11:18" x14ac:dyDescent="0.25">
      <c r="K69" s="69">
        <f>'Data till lathund Åtgärder'!A20</f>
        <v>19</v>
      </c>
      <c r="L69" s="136">
        <f>'Data till lathund Åtgärder'!B20</f>
        <v>0.2</v>
      </c>
      <c r="M69" s="78">
        <f>'Data till lathund Åtgärder'!C20</f>
        <v>15</v>
      </c>
      <c r="N69" s="78">
        <f>'Data till lathund Åtgärder'!D20</f>
        <v>15</v>
      </c>
      <c r="O69" s="78" t="str">
        <f>'Data till lathund Åtgärder'!E20</f>
        <v>-</v>
      </c>
      <c r="P69" s="78" t="str">
        <f>'Data till lathund Åtgärder'!F20</f>
        <v>-</v>
      </c>
      <c r="Q69" s="102" t="str">
        <f>'Data till lathund Åtgärder'!G20</f>
        <v>OK7</v>
      </c>
      <c r="R69" s="102"/>
    </row>
    <row r="70" spans="11:18" x14ac:dyDescent="0.25">
      <c r="K70" s="69">
        <f>'Data till lathund Åtgärder'!A22</f>
        <v>21</v>
      </c>
      <c r="L70" s="136">
        <f>'Data till lathund Åtgärder'!B22</f>
        <v>0.2</v>
      </c>
      <c r="M70" s="78">
        <f>'Data till lathund Åtgärder'!C22</f>
        <v>15</v>
      </c>
      <c r="N70" s="78">
        <f>'Data till lathund Åtgärder'!D22</f>
        <v>15</v>
      </c>
      <c r="O70" s="78">
        <f>'Data till lathund Åtgärder'!E22</f>
        <v>0</v>
      </c>
      <c r="P70" s="78" t="str">
        <f>'Data till lathund Åtgärder'!F22</f>
        <v>-</v>
      </c>
      <c r="Q70" s="102" t="str">
        <f>'Data till lathund Åtgärder'!G22</f>
        <v>OK7</v>
      </c>
      <c r="R70" s="102"/>
    </row>
    <row r="71" spans="11:18" x14ac:dyDescent="0.25">
      <c r="K71" s="69">
        <f>'Data till lathund Åtgärder'!A23</f>
        <v>22</v>
      </c>
      <c r="L71" s="136">
        <f>'Data till lathund Åtgärder'!B23</f>
        <v>0.2</v>
      </c>
      <c r="M71" s="78">
        <f>'Data till lathund Åtgärder'!C23</f>
        <v>15</v>
      </c>
      <c r="N71" s="78">
        <f>'Data till lathund Åtgärder'!D23</f>
        <v>10</v>
      </c>
      <c r="O71" s="78">
        <f>'Data till lathund Åtgärder'!E23</f>
        <v>0</v>
      </c>
      <c r="P71" s="78" t="str">
        <f>'Data till lathund Åtgärder'!F23</f>
        <v>Presenning</v>
      </c>
      <c r="Q71" s="102" t="str">
        <f>'Data till lathund Åtgärder'!G23</f>
        <v>OK7</v>
      </c>
      <c r="R71" s="102"/>
    </row>
    <row r="72" spans="11:18" x14ac:dyDescent="0.25">
      <c r="K72" s="69">
        <f>'Data till lathund Åtgärder'!A24</f>
        <v>23</v>
      </c>
      <c r="L72" s="136">
        <f>'Data till lathund Åtgärder'!B24</f>
        <v>0.2</v>
      </c>
      <c r="M72" s="78">
        <f>'Data till lathund Åtgärder'!C24</f>
        <v>15</v>
      </c>
      <c r="N72" s="78">
        <f>'Data till lathund Åtgärder'!D24</f>
        <v>15</v>
      </c>
      <c r="O72" s="78">
        <f>'Data till lathund Åtgärder'!E24</f>
        <v>0</v>
      </c>
      <c r="P72" s="78" t="str">
        <f>'Data till lathund Åtgärder'!F24</f>
        <v>Presenning</v>
      </c>
      <c r="Q72" s="102" t="str">
        <f>'Data till lathund Åtgärder'!G24</f>
        <v>OK7</v>
      </c>
      <c r="R72" s="102"/>
    </row>
    <row r="73" spans="11:18" x14ac:dyDescent="0.25">
      <c r="K73" s="69">
        <f>'Data till lathund Åtgärder'!A21</f>
        <v>20</v>
      </c>
      <c r="L73" s="136">
        <f>'Data till lathund Åtgärder'!B21</f>
        <v>0.2</v>
      </c>
      <c r="M73" s="78">
        <f>'Data till lathund Åtgärder'!C21</f>
        <v>15</v>
      </c>
      <c r="N73" s="78">
        <f>'Data till lathund Åtgärder'!D21</f>
        <v>20</v>
      </c>
      <c r="O73" s="78" t="str">
        <f>'Data till lathund Åtgärder'!E21</f>
        <v>-</v>
      </c>
      <c r="P73" s="78" t="str">
        <f>'Data till lathund Åtgärder'!F21</f>
        <v>-</v>
      </c>
      <c r="Q73" s="102" t="str">
        <f>'Data till lathund Åtgärder'!G21</f>
        <v>OK7</v>
      </c>
      <c r="R73" s="102"/>
    </row>
    <row r="74" spans="11:18" x14ac:dyDescent="0.25">
      <c r="K74" s="69">
        <f>'Data till lathund Åtgärder'!A27</f>
        <v>26</v>
      </c>
      <c r="L74" s="136">
        <f>'Data till lathund Åtgärder'!B27</f>
        <v>0.2</v>
      </c>
      <c r="M74" s="78">
        <f>'Data till lathund Åtgärder'!C27</f>
        <v>20</v>
      </c>
      <c r="N74" s="78">
        <f>'Data till lathund Åtgärder'!D27</f>
        <v>5</v>
      </c>
      <c r="O74" s="78">
        <f>'Data till lathund Åtgärder'!E27</f>
        <v>20</v>
      </c>
      <c r="P74" s="78">
        <f>'Data till lathund Åtgärder'!F27</f>
        <v>50</v>
      </c>
      <c r="Q74" s="102" t="str">
        <f>'Data till lathund Åtgärder'!G27</f>
        <v>OK7</v>
      </c>
      <c r="R74" s="112"/>
    </row>
    <row r="75" spans="11:18" x14ac:dyDescent="0.25">
      <c r="K75" s="69">
        <f>'Data till lathund Åtgärder'!A26</f>
        <v>25</v>
      </c>
      <c r="L75" s="136">
        <f>'Data till lathund Åtgärder'!B26</f>
        <v>0.2</v>
      </c>
      <c r="M75" s="78">
        <f>'Data till lathund Åtgärder'!C26</f>
        <v>20</v>
      </c>
      <c r="N75" s="78">
        <f>'Data till lathund Åtgärder'!D26</f>
        <v>5</v>
      </c>
      <c r="O75" s="78">
        <f>'Data till lathund Åtgärder'!E26</f>
        <v>20</v>
      </c>
      <c r="P75" s="78">
        <f>'Data till lathund Åtgärder'!F26</f>
        <v>30</v>
      </c>
      <c r="Q75" s="102" t="str">
        <f>'Data till lathund Åtgärder'!G26</f>
        <v>OK7</v>
      </c>
      <c r="R75" s="112"/>
    </row>
    <row r="76" spans="11:18" x14ac:dyDescent="0.25">
      <c r="K76" s="69">
        <f>'Data till lathund Åtgärder'!A25</f>
        <v>24</v>
      </c>
      <c r="L76" s="136">
        <f>'Data till lathund Åtgärder'!B25</f>
        <v>0.2</v>
      </c>
      <c r="M76" s="78">
        <f>'Data till lathund Åtgärder'!C25</f>
        <v>20</v>
      </c>
      <c r="N76" s="78">
        <f>'Data till lathund Åtgärder'!D25</f>
        <v>5</v>
      </c>
      <c r="O76" s="78">
        <f>'Data till lathund Åtgärder'!E25</f>
        <v>20</v>
      </c>
      <c r="P76" s="78">
        <f>'Data till lathund Åtgärder'!F25</f>
        <v>20</v>
      </c>
      <c r="Q76" s="102" t="str">
        <f>'Data till lathund Åtgärder'!G25</f>
        <v>OK7</v>
      </c>
      <c r="R76" s="112"/>
    </row>
    <row r="77" spans="11:18" x14ac:dyDescent="0.25">
      <c r="K77" s="69">
        <f>'Data till lathund Åtgärder'!A28</f>
        <v>27</v>
      </c>
      <c r="L77" s="136">
        <f>'Data till lathund Åtgärder'!B28</f>
        <v>0.1</v>
      </c>
      <c r="M77" s="78">
        <f>'Data till lathund Åtgärder'!C28</f>
        <v>15</v>
      </c>
      <c r="N77" s="78">
        <f>'Data till lathund Åtgärder'!D28</f>
        <v>15</v>
      </c>
      <c r="O77" s="78" t="str">
        <f>'Data till lathund Åtgärder'!E28</f>
        <v>-</v>
      </c>
      <c r="P77" s="78" t="str">
        <f>'Data till lathund Åtgärder'!F28</f>
        <v>-</v>
      </c>
      <c r="Q77" s="102" t="str">
        <f>'Data till lathund Åtgärder'!G28</f>
        <v>OK7</v>
      </c>
      <c r="R77" s="112"/>
    </row>
    <row r="78" spans="11:18" x14ac:dyDescent="0.25">
      <c r="K78" s="69">
        <f>'Data till lathund Åtgärder'!A29</f>
        <v>28</v>
      </c>
      <c r="L78" s="136">
        <f>'Data till lathund Åtgärder'!B29</f>
        <v>0.1</v>
      </c>
      <c r="M78" s="78">
        <f>'Data till lathund Åtgärder'!C29</f>
        <v>15</v>
      </c>
      <c r="N78" s="78">
        <f>'Data till lathund Åtgärder'!D29</f>
        <v>10</v>
      </c>
      <c r="O78" s="78" t="str">
        <f>'Data till lathund Åtgärder'!E29</f>
        <v>-</v>
      </c>
      <c r="P78" s="78" t="str">
        <f>'Data till lathund Åtgärder'!F29</f>
        <v>-</v>
      </c>
      <c r="Q78" s="102" t="str">
        <f>'Data till lathund Åtgärder'!G29</f>
        <v>OK7</v>
      </c>
      <c r="R78" s="112"/>
    </row>
    <row r="79" spans="11:18" x14ac:dyDescent="0.25">
      <c r="K79" s="69">
        <f>'Data till lathund Åtgärder'!A30</f>
        <v>29</v>
      </c>
      <c r="L79" s="136">
        <f>'Data till lathund Åtgärder'!B30</f>
        <v>0.1</v>
      </c>
      <c r="M79" s="78">
        <f>'Data till lathund Åtgärder'!C30</f>
        <v>15</v>
      </c>
      <c r="N79" s="78">
        <f>'Data till lathund Åtgärder'!D30</f>
        <v>15</v>
      </c>
      <c r="O79" s="78">
        <f>'Data till lathund Åtgärder'!E30</f>
        <v>0</v>
      </c>
      <c r="P79" s="78" t="str">
        <f>'Data till lathund Åtgärder'!F30</f>
        <v>-</v>
      </c>
      <c r="Q79" s="102" t="str">
        <f>'Data till lathund Åtgärder'!G30</f>
        <v>OK7</v>
      </c>
      <c r="R79" s="112"/>
    </row>
    <row r="80" spans="11:18" x14ac:dyDescent="0.25">
      <c r="K80" s="69">
        <f>'Data till lathund Åtgärder'!A31</f>
        <v>30</v>
      </c>
      <c r="L80" s="136">
        <f>'Data till lathund Åtgärder'!B31</f>
        <v>0.1</v>
      </c>
      <c r="M80" s="78">
        <f>'Data till lathund Åtgärder'!C31</f>
        <v>15</v>
      </c>
      <c r="N80" s="78">
        <f>'Data till lathund Åtgärder'!D31</f>
        <v>15</v>
      </c>
      <c r="O80" s="78">
        <f>'Data till lathund Åtgärder'!E31</f>
        <v>0</v>
      </c>
      <c r="P80" s="78" t="str">
        <f>'Data till lathund Åtgärder'!F31</f>
        <v>Presenning</v>
      </c>
      <c r="Q80" s="102" t="str">
        <f>'Data till lathund Åtgärder'!G31</f>
        <v>OK7</v>
      </c>
      <c r="R80" s="112"/>
    </row>
    <row r="81" spans="11:18" x14ac:dyDescent="0.25">
      <c r="K81" s="69">
        <f>'Data till lathund Åtgärder'!A32</f>
        <v>31</v>
      </c>
      <c r="L81" s="136">
        <f>'Data till lathund Åtgärder'!B32</f>
        <v>0.1</v>
      </c>
      <c r="M81" s="78">
        <f>'Data till lathund Åtgärder'!C32</f>
        <v>15</v>
      </c>
      <c r="N81" s="78">
        <f>'Data till lathund Åtgärder'!D32</f>
        <v>10</v>
      </c>
      <c r="O81" s="78">
        <f>'Data till lathund Åtgärder'!E32</f>
        <v>0</v>
      </c>
      <c r="P81" s="78" t="str">
        <f>'Data till lathund Åtgärder'!F32</f>
        <v>Presenning</v>
      </c>
      <c r="Q81" s="102" t="str">
        <f>'Data till lathund Åtgärder'!G32</f>
        <v>OK7</v>
      </c>
      <c r="R81" s="112"/>
    </row>
    <row r="82" spans="11:18" x14ac:dyDescent="0.25">
      <c r="K82" s="69">
        <f>'Data till lathund Åtgärder'!A33</f>
        <v>32</v>
      </c>
      <c r="L82" s="136">
        <f>'Data till lathund Åtgärder'!B33</f>
        <v>0.1</v>
      </c>
      <c r="M82" s="78">
        <f>'Data till lathund Åtgärder'!C33</f>
        <v>20</v>
      </c>
      <c r="N82" s="78">
        <f>'Data till lathund Åtgärder'!D33</f>
        <v>5</v>
      </c>
      <c r="O82" s="78">
        <f>'Data till lathund Åtgärder'!E33</f>
        <v>20</v>
      </c>
      <c r="P82" s="78">
        <f>'Data till lathund Åtgärder'!F33</f>
        <v>30</v>
      </c>
      <c r="Q82" s="102" t="str">
        <f>'Data till lathund Åtgärder'!G33</f>
        <v>OK7</v>
      </c>
      <c r="R82" s="112"/>
    </row>
    <row r="83" spans="11:18" x14ac:dyDescent="0.25">
      <c r="K83" s="69">
        <f>'Data till lathund Åtgärder'!A34</f>
        <v>33</v>
      </c>
      <c r="L83" s="136">
        <f>'Data till lathund Åtgärder'!B34</f>
        <v>0.1</v>
      </c>
      <c r="M83" s="78">
        <f>'Data till lathund Åtgärder'!C34</f>
        <v>15</v>
      </c>
      <c r="N83" s="78">
        <f>'Data till lathund Åtgärder'!D34</f>
        <v>5</v>
      </c>
      <c r="O83" s="78">
        <f>'Data till lathund Åtgärder'!E34</f>
        <v>20</v>
      </c>
      <c r="P83" s="78">
        <f>'Data till lathund Åtgärder'!F34</f>
        <v>30</v>
      </c>
      <c r="Q83" s="102" t="str">
        <f>'Data till lathund Åtgärder'!G34</f>
        <v>OK7</v>
      </c>
      <c r="R83" s="112"/>
    </row>
    <row r="84" spans="11:18" x14ac:dyDescent="0.25">
      <c r="K84" s="69">
        <f>'Data till lathund Åtgärder'!A35</f>
        <v>34</v>
      </c>
      <c r="L84" s="136">
        <f>'Data till lathund Åtgärder'!B35</f>
        <v>0.1</v>
      </c>
      <c r="M84" s="78">
        <f>'Data till lathund Åtgärder'!C35</f>
        <v>20</v>
      </c>
      <c r="N84" s="78">
        <f>'Data till lathund Åtgärder'!D35</f>
        <v>5</v>
      </c>
      <c r="O84" s="78">
        <f>'Data till lathund Åtgärder'!E35</f>
        <v>20</v>
      </c>
      <c r="P84" s="78">
        <f>'Data till lathund Åtgärder'!F35</f>
        <v>50</v>
      </c>
      <c r="Q84" s="102" t="str">
        <f>'Data till lathund Åtgärder'!G35</f>
        <v>OK7</v>
      </c>
      <c r="R84" s="112"/>
    </row>
    <row r="85" spans="11:18" x14ac:dyDescent="0.25">
      <c r="K85" s="69">
        <f>'Data till lathund Åtgärder'!A36</f>
        <v>35</v>
      </c>
      <c r="L85" s="136">
        <f>'Data till lathund Åtgärder'!B36</f>
        <v>0.1</v>
      </c>
      <c r="M85" s="78">
        <f>'Data till lathund Åtgärder'!C36</f>
        <v>15</v>
      </c>
      <c r="N85" s="78">
        <f>'Data till lathund Åtgärder'!D36</f>
        <v>5</v>
      </c>
      <c r="O85" s="78">
        <f>'Data till lathund Åtgärder'!E36</f>
        <v>20</v>
      </c>
      <c r="P85" s="78">
        <f>'Data till lathund Åtgärder'!F36</f>
        <v>50</v>
      </c>
      <c r="Q85" s="102" t="str">
        <f>'Data till lathund Åtgärder'!G36</f>
        <v>OK7</v>
      </c>
      <c r="R85" s="112"/>
    </row>
    <row r="86" spans="11:18" x14ac:dyDescent="0.25">
      <c r="K86" s="69">
        <f>'Data till lathund Åtgärder'!A37</f>
        <v>36</v>
      </c>
      <c r="L86" s="136">
        <f>'Data till lathund Åtgärder'!B37</f>
        <v>0.1</v>
      </c>
      <c r="M86" s="78">
        <f>'Data till lathund Åtgärder'!C37</f>
        <v>10</v>
      </c>
      <c r="N86" s="78">
        <f>'Data till lathund Åtgärder'!D37</f>
        <v>5</v>
      </c>
      <c r="O86" s="78">
        <f>'Data till lathund Åtgärder'!E37</f>
        <v>20</v>
      </c>
      <c r="P86" s="78">
        <f>'Data till lathund Åtgärder'!F37</f>
        <v>50</v>
      </c>
      <c r="Q86" s="102" t="str">
        <f>'Data till lathund Åtgärder'!G37</f>
        <v>OK7</v>
      </c>
      <c r="R86" s="112"/>
    </row>
    <row r="87" spans="11:18" x14ac:dyDescent="0.25">
      <c r="K87" s="69">
        <f>'Data till lathund Åtgärder'!A38</f>
        <v>37</v>
      </c>
      <c r="L87" s="136" t="str">
        <f>'Data till lathund Åtgärder'!B38</f>
        <v>Bas+0%</v>
      </c>
      <c r="M87" s="78">
        <f>'Data till lathund Åtgärder'!C38</f>
        <v>15</v>
      </c>
      <c r="N87" s="78">
        <f>'Data till lathund Åtgärder'!D38</f>
        <v>10</v>
      </c>
      <c r="O87" s="78" t="str">
        <f>'Data till lathund Åtgärder'!E38</f>
        <v>-</v>
      </c>
      <c r="P87" s="78" t="str">
        <f>'Data till lathund Åtgärder'!F38</f>
        <v>-</v>
      </c>
      <c r="Q87" s="102" t="str">
        <f>'Data till lathund Åtgärder'!G38</f>
        <v>OK7</v>
      </c>
      <c r="R87" s="112"/>
    </row>
    <row r="88" spans="11:18" x14ac:dyDescent="0.25">
      <c r="K88" s="69">
        <f>'Data till lathund Åtgärder'!A39</f>
        <v>38</v>
      </c>
      <c r="L88" s="136" t="str">
        <f>'Data till lathund Åtgärder'!B39</f>
        <v>Bas+0%</v>
      </c>
      <c r="M88" s="78">
        <f>'Data till lathund Åtgärder'!C39</f>
        <v>15</v>
      </c>
      <c r="N88" s="78">
        <f>'Data till lathund Åtgärder'!D39</f>
        <v>10</v>
      </c>
      <c r="O88" s="78">
        <f>'Data till lathund Åtgärder'!E39</f>
        <v>0</v>
      </c>
      <c r="P88" s="78" t="str">
        <f>'Data till lathund Åtgärder'!F39</f>
        <v>-</v>
      </c>
      <c r="Q88" s="102" t="str">
        <f>'Data till lathund Åtgärder'!G39</f>
        <v>OK7</v>
      </c>
      <c r="R88" s="112"/>
    </row>
    <row r="89" spans="11:18" x14ac:dyDescent="0.25">
      <c r="K89" s="69">
        <f>'Data till lathund Åtgärder'!A40</f>
        <v>39</v>
      </c>
      <c r="L89" s="136" t="str">
        <f>'Data till lathund Åtgärder'!B40</f>
        <v>Bas+0%</v>
      </c>
      <c r="M89" s="78">
        <f>'Data till lathund Åtgärder'!C40</f>
        <v>20</v>
      </c>
      <c r="N89" s="78">
        <f>'Data till lathund Åtgärder'!D40</f>
        <v>5</v>
      </c>
      <c r="O89" s="78">
        <f>'Data till lathund Åtgärder'!E40</f>
        <v>20</v>
      </c>
      <c r="P89" s="78">
        <f>'Data till lathund Åtgärder'!F40</f>
        <v>30</v>
      </c>
      <c r="Q89" s="102" t="str">
        <f>'Data till lathund Åtgärder'!G40</f>
        <v>OK7</v>
      </c>
      <c r="R89" s="112"/>
    </row>
    <row r="90" spans="11:18" x14ac:dyDescent="0.25">
      <c r="K90" s="69">
        <f>'Data till lathund Åtgärder'!A41</f>
        <v>40</v>
      </c>
      <c r="L90" s="136" t="str">
        <f>'Data till lathund Åtgärder'!B41</f>
        <v>Bas+0%</v>
      </c>
      <c r="M90" s="78">
        <f>'Data till lathund Åtgärder'!C41</f>
        <v>15</v>
      </c>
      <c r="N90" s="78">
        <f>'Data till lathund Åtgärder'!D41</f>
        <v>5</v>
      </c>
      <c r="O90" s="78">
        <f>'Data till lathund Åtgärder'!E41</f>
        <v>20</v>
      </c>
      <c r="P90" s="78">
        <f>'Data till lathund Åtgärder'!F41</f>
        <v>30</v>
      </c>
      <c r="Q90" s="102" t="str">
        <f>'Data till lathund Åtgärder'!G41</f>
        <v>OK7</v>
      </c>
      <c r="R90" s="113"/>
    </row>
    <row r="91" spans="11:18" x14ac:dyDescent="0.25">
      <c r="K91" s="69">
        <f>'Data till lathund Åtgärder'!A42</f>
        <v>41</v>
      </c>
      <c r="L91" s="136" t="str">
        <f>'Data till lathund Åtgärder'!B42</f>
        <v>Bas+0%</v>
      </c>
      <c r="M91" s="78">
        <f>'Data till lathund Åtgärder'!C42</f>
        <v>20</v>
      </c>
      <c r="N91" s="78">
        <f>'Data till lathund Åtgärder'!D42</f>
        <v>5</v>
      </c>
      <c r="O91" s="78">
        <f>'Data till lathund Åtgärder'!E42</f>
        <v>20</v>
      </c>
      <c r="P91" s="78">
        <f>'Data till lathund Åtgärder'!F42</f>
        <v>50</v>
      </c>
      <c r="Q91" s="102" t="str">
        <f>'Data till lathund Åtgärder'!G42</f>
        <v>OK7</v>
      </c>
      <c r="R91" s="112"/>
    </row>
    <row r="92" spans="11:18" x14ac:dyDescent="0.25">
      <c r="K92" s="69">
        <f>'Data till lathund Åtgärder'!A43</f>
        <v>42</v>
      </c>
      <c r="L92" s="136" t="str">
        <f>'Data till lathund Åtgärder'!B43</f>
        <v>Bas+0%</v>
      </c>
      <c r="M92" s="78">
        <f>'Data till lathund Åtgärder'!C43</f>
        <v>15</v>
      </c>
      <c r="N92" s="78">
        <f>'Data till lathund Åtgärder'!D43</f>
        <v>5</v>
      </c>
      <c r="O92" s="78">
        <f>'Data till lathund Åtgärder'!E43</f>
        <v>20</v>
      </c>
      <c r="P92" s="78">
        <f>'Data till lathund Åtgärder'!F43</f>
        <v>50</v>
      </c>
      <c r="Q92" s="102" t="str">
        <f>'Data till lathund Åtgärder'!G43</f>
        <v>OK7</v>
      </c>
      <c r="R92" s="112"/>
    </row>
    <row r="93" spans="11:18" x14ac:dyDescent="0.25">
      <c r="K93" s="69">
        <f>'Data till lathund Åtgärder'!A44</f>
        <v>43</v>
      </c>
      <c r="L93" s="136" t="str">
        <f>'Data till lathund Åtgärder'!B44</f>
        <v>Bas+0%</v>
      </c>
      <c r="M93" s="78">
        <f>'Data till lathund Åtgärder'!C44</f>
        <v>10</v>
      </c>
      <c r="N93" s="78">
        <f>'Data till lathund Åtgärder'!D44</f>
        <v>5</v>
      </c>
      <c r="O93" s="78">
        <f>'Data till lathund Åtgärder'!E44</f>
        <v>20</v>
      </c>
      <c r="P93" s="78">
        <f>'Data till lathund Åtgärder'!F44</f>
        <v>50</v>
      </c>
      <c r="Q93" s="102" t="str">
        <f>'Data till lathund Åtgärder'!G44</f>
        <v>OK7</v>
      </c>
      <c r="R93" s="112"/>
    </row>
    <row r="94" spans="11:18" x14ac:dyDescent="0.25">
      <c r="K94" s="69">
        <f>'Data till lathund Åtgärder'!A45</f>
        <v>44</v>
      </c>
      <c r="L94" s="136" t="str">
        <f>'Data till lathund Åtgärder'!B45</f>
        <v>-</v>
      </c>
      <c r="M94" s="78" t="str">
        <f>'Data till lathund Åtgärder'!C45</f>
        <v>-</v>
      </c>
      <c r="N94" s="78" t="str">
        <f>'Data till lathund Åtgärder'!D45</f>
        <v>-</v>
      </c>
      <c r="O94" s="78" t="str">
        <f>'Data till lathund Åtgärder'!E45</f>
        <v>-</v>
      </c>
      <c r="P94" s="78" t="str">
        <f>'Data till lathund Åtgärder'!F45</f>
        <v>-</v>
      </c>
      <c r="Q94" s="102" t="str">
        <f>'Data till lathund Åtgärder'!G45</f>
        <v>Når ej 70%</v>
      </c>
      <c r="R94" s="112"/>
    </row>
    <row r="95" spans="11:18" x14ac:dyDescent="0.25">
      <c r="K95" s="69">
        <f>'Data till lathund Åtgärder'!A46</f>
        <v>45</v>
      </c>
      <c r="L95" s="136" t="str">
        <f>'Data till lathund Åtgärder'!B46</f>
        <v>-</v>
      </c>
      <c r="M95" s="78" t="str">
        <f>'Data till lathund Åtgärder'!C46</f>
        <v>-</v>
      </c>
      <c r="N95" s="78" t="str">
        <f>'Data till lathund Åtgärder'!D46</f>
        <v>-</v>
      </c>
      <c r="O95" s="78" t="str">
        <f>'Data till lathund Åtgärder'!E46</f>
        <v>-</v>
      </c>
      <c r="P95" s="78" t="str">
        <f>'Data till lathund Åtgärder'!F46</f>
        <v>-</v>
      </c>
      <c r="Q95" s="102" t="str">
        <f>'Data till lathund Åtgärder'!G46</f>
        <v>Frys innan täck</v>
      </c>
      <c r="R95" s="112"/>
    </row>
    <row r="102" spans="12:17" x14ac:dyDescent="0.25">
      <c r="L102" s="81" t="s">
        <v>32</v>
      </c>
      <c r="M102" s="82" t="s">
        <v>33</v>
      </c>
      <c r="N102" s="83" t="s">
        <v>34</v>
      </c>
      <c r="O102" s="16" t="s">
        <v>35</v>
      </c>
      <c r="P102" s="84" t="s">
        <v>0</v>
      </c>
      <c r="Q102" t="s">
        <v>79</v>
      </c>
    </row>
    <row r="103" spans="12:17" x14ac:dyDescent="0.25">
      <c r="L103" s="78">
        <v>20</v>
      </c>
      <c r="M103" s="92">
        <v>0</v>
      </c>
      <c r="N103" s="93">
        <f t="shared" ref="N103:N111" si="2">M103+L103</f>
        <v>20</v>
      </c>
      <c r="O103" s="88">
        <v>20</v>
      </c>
      <c r="P103" s="89">
        <v>15</v>
      </c>
      <c r="Q103" s="137" t="s">
        <v>80</v>
      </c>
    </row>
    <row r="104" spans="12:17" x14ac:dyDescent="0.25">
      <c r="L104" s="78">
        <v>15</v>
      </c>
      <c r="M104" s="92">
        <v>0</v>
      </c>
      <c r="N104" s="93">
        <f t="shared" si="2"/>
        <v>15</v>
      </c>
      <c r="O104" s="88">
        <v>15</v>
      </c>
      <c r="P104" s="89">
        <v>15</v>
      </c>
      <c r="Q104" s="89" t="s">
        <v>80</v>
      </c>
    </row>
    <row r="105" spans="12:17" x14ac:dyDescent="0.25">
      <c r="L105" s="78">
        <v>10</v>
      </c>
      <c r="M105" s="92">
        <v>0</v>
      </c>
      <c r="N105" s="93">
        <f t="shared" si="2"/>
        <v>10</v>
      </c>
      <c r="O105" s="88">
        <v>10</v>
      </c>
      <c r="P105" s="89">
        <v>15</v>
      </c>
      <c r="Q105" s="89" t="s">
        <v>80</v>
      </c>
    </row>
    <row r="106" spans="12:17" x14ac:dyDescent="0.25">
      <c r="L106" s="78">
        <v>5</v>
      </c>
      <c r="M106" s="92">
        <v>20</v>
      </c>
      <c r="N106" s="93">
        <f t="shared" si="2"/>
        <v>25</v>
      </c>
      <c r="O106" s="88">
        <v>5</v>
      </c>
      <c r="P106" s="89">
        <v>20</v>
      </c>
      <c r="Q106" s="89" t="s">
        <v>81</v>
      </c>
    </row>
    <row r="107" spans="12:17" x14ac:dyDescent="0.25">
      <c r="L107" s="78">
        <v>0</v>
      </c>
      <c r="M107" s="92">
        <v>20</v>
      </c>
      <c r="N107" s="93">
        <f t="shared" si="2"/>
        <v>20</v>
      </c>
      <c r="O107" s="88">
        <v>5</v>
      </c>
      <c r="P107" s="89">
        <v>20</v>
      </c>
      <c r="Q107" s="89" t="s">
        <v>81</v>
      </c>
    </row>
    <row r="108" spans="12:17" x14ac:dyDescent="0.25">
      <c r="L108" s="78">
        <v>-5</v>
      </c>
      <c r="M108" s="92">
        <v>20</v>
      </c>
      <c r="N108" s="93">
        <f t="shared" si="2"/>
        <v>15</v>
      </c>
      <c r="O108" s="88">
        <v>5</v>
      </c>
      <c r="P108" s="89">
        <v>20</v>
      </c>
      <c r="Q108" s="89" t="s">
        <v>81</v>
      </c>
    </row>
    <row r="109" spans="12:17" x14ac:dyDescent="0.25">
      <c r="L109" s="78">
        <v>-10</v>
      </c>
      <c r="M109" s="92">
        <v>20</v>
      </c>
      <c r="N109" s="93">
        <f t="shared" si="2"/>
        <v>10</v>
      </c>
      <c r="O109" s="88">
        <v>5</v>
      </c>
      <c r="P109" s="89">
        <v>20</v>
      </c>
      <c r="Q109" s="89" t="s">
        <v>81</v>
      </c>
    </row>
    <row r="110" spans="12:17" x14ac:dyDescent="0.25">
      <c r="L110" s="78">
        <v>-15</v>
      </c>
      <c r="M110" s="92">
        <v>20</v>
      </c>
      <c r="N110" s="93">
        <f t="shared" si="2"/>
        <v>5</v>
      </c>
      <c r="O110" s="88">
        <v>5</v>
      </c>
      <c r="P110" s="89">
        <v>15</v>
      </c>
      <c r="Q110" s="89" t="s">
        <v>81</v>
      </c>
    </row>
    <row r="111" spans="12:17" x14ac:dyDescent="0.25">
      <c r="L111" s="90">
        <v>-20</v>
      </c>
      <c r="M111" s="94">
        <v>20</v>
      </c>
      <c r="N111" s="95">
        <f t="shared" si="2"/>
        <v>0</v>
      </c>
      <c r="O111" s="88">
        <v>5</v>
      </c>
      <c r="P111" s="91">
        <v>10</v>
      </c>
      <c r="Q111" s="89" t="s">
        <v>81</v>
      </c>
    </row>
  </sheetData>
  <phoneticPr fontId="3" type="noConversion"/>
  <conditionalFormatting sqref="C2:I46 K51:K95">
    <cfRule type="cellIs" dxfId="1" priority="1" operator="equal">
      <formula>44</formula>
    </cfRule>
    <cfRule type="containsText" dxfId="0" priority="3" operator="containsText" text="45">
      <formula>NOT(ISERROR(SEARCH("45",C2)))</formula>
    </cfRule>
    <cfRule type="colorScale" priority="4">
      <colorScale>
        <cfvo type="num" val="1"/>
        <cfvo type="percentile" val="50"/>
        <cfvo type="num" val="45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76FB-0A89-4AC3-98E3-5CE194A5E586}">
  <sheetPr codeName="Sheet4"/>
  <dimension ref="A1:J108"/>
  <sheetViews>
    <sheetView workbookViewId="0">
      <selection activeCell="B21" sqref="B21"/>
    </sheetView>
  </sheetViews>
  <sheetFormatPr defaultRowHeight="15" x14ac:dyDescent="0.25"/>
  <cols>
    <col min="2" max="2" width="16.140625" customWidth="1"/>
    <col min="3" max="3" width="29.7109375" customWidth="1"/>
    <col min="4" max="4" width="28.5703125" customWidth="1"/>
    <col min="5" max="5" width="24.42578125" customWidth="1"/>
    <col min="6" max="6" width="16.28515625" customWidth="1"/>
    <col min="7" max="7" width="24.5703125" customWidth="1"/>
    <col min="8" max="8" width="24.7109375" bestFit="1" customWidth="1"/>
    <col min="9" max="9" width="31.5703125" customWidth="1"/>
    <col min="10" max="10" width="16.85546875" bestFit="1" customWidth="1"/>
    <col min="13" max="13" width="23.42578125" bestFit="1" customWidth="1"/>
  </cols>
  <sheetData>
    <row r="1" spans="1:10" x14ac:dyDescent="0.25">
      <c r="A1" t="s">
        <v>22</v>
      </c>
      <c r="B1" t="s">
        <v>69</v>
      </c>
      <c r="C1" t="s">
        <v>24</v>
      </c>
      <c r="D1" t="s">
        <v>1</v>
      </c>
      <c r="E1" t="s">
        <v>2</v>
      </c>
      <c r="F1" t="s">
        <v>3</v>
      </c>
      <c r="G1" t="s">
        <v>129</v>
      </c>
      <c r="H1" t="s">
        <v>25</v>
      </c>
      <c r="I1" t="s">
        <v>19</v>
      </c>
      <c r="J1" t="s">
        <v>26</v>
      </c>
    </row>
    <row r="2" spans="1:10" x14ac:dyDescent="0.25">
      <c r="A2">
        <v>1</v>
      </c>
      <c r="B2" s="2">
        <v>0.4</v>
      </c>
      <c r="C2" s="2">
        <v>15</v>
      </c>
      <c r="D2" s="2">
        <v>20</v>
      </c>
      <c r="E2" s="2" t="s">
        <v>9</v>
      </c>
      <c r="F2" s="2" t="s">
        <v>9</v>
      </c>
      <c r="G2" s="2" t="s">
        <v>85</v>
      </c>
      <c r="H2" s="2"/>
      <c r="I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0,41520--OK7</v>
      </c>
      <c r="J2">
        <f>Table8[[#This Row],[Paket]]</f>
        <v>1</v>
      </c>
    </row>
    <row r="3" spans="1:10" x14ac:dyDescent="0.25">
      <c r="A3">
        <v>2</v>
      </c>
      <c r="B3" s="2">
        <v>0.4</v>
      </c>
      <c r="C3" s="2">
        <v>15</v>
      </c>
      <c r="D3" s="2">
        <v>20</v>
      </c>
      <c r="E3" s="2">
        <v>0</v>
      </c>
      <c r="F3" s="2" t="s">
        <v>9</v>
      </c>
      <c r="G3" s="2" t="s">
        <v>85</v>
      </c>
      <c r="H3" s="2"/>
      <c r="I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0,415200-OK7</v>
      </c>
      <c r="J3">
        <f>Table8[[#This Row],[Paket]]</f>
        <v>2</v>
      </c>
    </row>
    <row r="4" spans="1:10" x14ac:dyDescent="0.25">
      <c r="A4">
        <v>3</v>
      </c>
      <c r="B4" s="2">
        <v>0.4</v>
      </c>
      <c r="C4" s="2">
        <v>15</v>
      </c>
      <c r="D4" s="2">
        <v>15</v>
      </c>
      <c r="E4" s="2">
        <v>0</v>
      </c>
      <c r="F4" s="2" t="s">
        <v>11</v>
      </c>
      <c r="G4" s="2" t="s">
        <v>85</v>
      </c>
      <c r="H4" s="2"/>
      <c r="I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0,415150PresenningOK7</v>
      </c>
      <c r="J4">
        <f>Table8[[#This Row],[Paket]]</f>
        <v>3</v>
      </c>
    </row>
    <row r="5" spans="1:10" x14ac:dyDescent="0.25">
      <c r="A5">
        <v>4</v>
      </c>
      <c r="B5" s="2">
        <v>0.4</v>
      </c>
      <c r="C5" s="2">
        <v>15</v>
      </c>
      <c r="D5" s="2">
        <v>20</v>
      </c>
      <c r="E5" s="2">
        <v>0</v>
      </c>
      <c r="F5" s="2" t="s">
        <v>11</v>
      </c>
      <c r="G5" s="2" t="s">
        <v>85</v>
      </c>
      <c r="H5" s="2"/>
      <c r="I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0,415200PresenningOK7</v>
      </c>
      <c r="J5">
        <f>Table8[[#This Row],[Paket]]</f>
        <v>4</v>
      </c>
    </row>
    <row r="6" spans="1:10" x14ac:dyDescent="0.25">
      <c r="A6">
        <v>5</v>
      </c>
      <c r="B6" s="2">
        <v>0.4</v>
      </c>
      <c r="C6" s="2">
        <v>20</v>
      </c>
      <c r="D6" s="2">
        <v>5</v>
      </c>
      <c r="E6" s="2">
        <v>0</v>
      </c>
      <c r="F6" s="2">
        <v>50</v>
      </c>
      <c r="G6" s="2" t="s">
        <v>85</v>
      </c>
      <c r="H6" s="2"/>
      <c r="I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0,4205050OK7</v>
      </c>
      <c r="J6">
        <f>Table8[[#This Row],[Paket]]</f>
        <v>5</v>
      </c>
    </row>
    <row r="7" spans="1:10" x14ac:dyDescent="0.25">
      <c r="A7">
        <v>6</v>
      </c>
      <c r="B7" s="2">
        <v>0.4</v>
      </c>
      <c r="C7" s="2">
        <v>20</v>
      </c>
      <c r="D7" s="2">
        <v>5</v>
      </c>
      <c r="E7" s="2">
        <v>20</v>
      </c>
      <c r="F7" s="2">
        <v>10</v>
      </c>
      <c r="G7" s="2" t="s">
        <v>85</v>
      </c>
      <c r="H7" s="2"/>
      <c r="I7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0,42052010OK7</v>
      </c>
      <c r="J7">
        <f>Table8[[#This Row],[Paket]]</f>
        <v>6</v>
      </c>
    </row>
    <row r="8" spans="1:10" x14ac:dyDescent="0.25">
      <c r="A8">
        <v>7</v>
      </c>
      <c r="B8" s="2">
        <v>0.4</v>
      </c>
      <c r="C8" s="2">
        <v>20</v>
      </c>
      <c r="D8" s="2">
        <v>5</v>
      </c>
      <c r="E8" s="2">
        <v>20</v>
      </c>
      <c r="F8" s="2">
        <v>20</v>
      </c>
      <c r="G8" s="2" t="s">
        <v>85</v>
      </c>
      <c r="H8" s="2"/>
      <c r="I8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0,42052020OK7</v>
      </c>
      <c r="J8">
        <f>Table8[[#This Row],[Paket]]</f>
        <v>7</v>
      </c>
    </row>
    <row r="9" spans="1:10" x14ac:dyDescent="0.25">
      <c r="A9">
        <v>8</v>
      </c>
      <c r="B9" s="2">
        <v>0.4</v>
      </c>
      <c r="C9" s="2">
        <v>20</v>
      </c>
      <c r="D9" s="2">
        <v>5</v>
      </c>
      <c r="E9" s="2">
        <v>20</v>
      </c>
      <c r="F9" s="2">
        <v>30</v>
      </c>
      <c r="G9" s="2" t="s">
        <v>85</v>
      </c>
      <c r="H9" s="2"/>
      <c r="I9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0,42052030OK7</v>
      </c>
      <c r="J9">
        <f>Table8[[#This Row],[Paket]]</f>
        <v>8</v>
      </c>
    </row>
    <row r="10" spans="1:10" x14ac:dyDescent="0.25">
      <c r="A10">
        <v>9</v>
      </c>
      <c r="B10" s="2">
        <v>0.4</v>
      </c>
      <c r="C10" s="2">
        <v>20</v>
      </c>
      <c r="D10" s="2">
        <v>5</v>
      </c>
      <c r="E10" s="2">
        <v>20</v>
      </c>
      <c r="F10" s="2">
        <v>50</v>
      </c>
      <c r="G10" s="2" t="s">
        <v>85</v>
      </c>
      <c r="H10" s="2"/>
      <c r="I10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0,42052050OK7</v>
      </c>
      <c r="J10">
        <f>Table8[[#This Row],[Paket]]</f>
        <v>9</v>
      </c>
    </row>
    <row r="11" spans="1:10" x14ac:dyDescent="0.25">
      <c r="A11">
        <v>10</v>
      </c>
      <c r="B11" s="2">
        <v>0.3</v>
      </c>
      <c r="C11" s="2">
        <v>15</v>
      </c>
      <c r="D11" s="2">
        <v>15</v>
      </c>
      <c r="E11" s="2" t="s">
        <v>9</v>
      </c>
      <c r="F11" s="2" t="s">
        <v>9</v>
      </c>
      <c r="G11" s="2" t="s">
        <v>85</v>
      </c>
      <c r="H11" s="2"/>
      <c r="I11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0,31515--OK7</v>
      </c>
      <c r="J11">
        <f>Table8[[#This Row],[Paket]]</f>
        <v>10</v>
      </c>
    </row>
    <row r="12" spans="1:10" x14ac:dyDescent="0.25">
      <c r="A12">
        <v>11</v>
      </c>
      <c r="B12" s="2">
        <v>0.3</v>
      </c>
      <c r="C12" s="2">
        <v>15</v>
      </c>
      <c r="D12" s="2">
        <v>20</v>
      </c>
      <c r="E12" s="2" t="s">
        <v>9</v>
      </c>
      <c r="F12" s="2" t="s">
        <v>9</v>
      </c>
      <c r="G12" s="2" t="s">
        <v>85</v>
      </c>
      <c r="H12" s="2"/>
      <c r="I1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0,31520--OK7</v>
      </c>
      <c r="J12">
        <f>Table8[[#This Row],[Paket]]</f>
        <v>11</v>
      </c>
    </row>
    <row r="13" spans="1:10" x14ac:dyDescent="0.25">
      <c r="A13">
        <v>12</v>
      </c>
      <c r="B13" s="2">
        <v>0.3</v>
      </c>
      <c r="C13" s="2">
        <v>15</v>
      </c>
      <c r="D13" s="2">
        <v>15</v>
      </c>
      <c r="E13" s="2">
        <v>0</v>
      </c>
      <c r="F13" s="2" t="s">
        <v>9</v>
      </c>
      <c r="G13" s="2" t="s">
        <v>85</v>
      </c>
      <c r="H13" s="2"/>
      <c r="I1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0,315150-OK7</v>
      </c>
      <c r="J13">
        <f>Table8[[#This Row],[Paket]]</f>
        <v>12</v>
      </c>
    </row>
    <row r="14" spans="1:10" x14ac:dyDescent="0.25">
      <c r="A14">
        <v>13</v>
      </c>
      <c r="B14" s="2">
        <v>0.3</v>
      </c>
      <c r="C14" s="2">
        <v>15</v>
      </c>
      <c r="D14" s="2">
        <v>15</v>
      </c>
      <c r="E14" s="2">
        <v>0</v>
      </c>
      <c r="F14" s="2" t="s">
        <v>11</v>
      </c>
      <c r="G14" s="2" t="s">
        <v>85</v>
      </c>
      <c r="H14" s="2"/>
      <c r="I1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0,315150PresenningOK7</v>
      </c>
      <c r="J14">
        <f>Table8[[#This Row],[Paket]]</f>
        <v>13</v>
      </c>
    </row>
    <row r="15" spans="1:10" x14ac:dyDescent="0.25">
      <c r="A15">
        <v>14</v>
      </c>
      <c r="B15" s="2">
        <v>0.3</v>
      </c>
      <c r="C15" s="2">
        <v>15</v>
      </c>
      <c r="D15" s="2">
        <v>20</v>
      </c>
      <c r="E15" s="2">
        <v>0</v>
      </c>
      <c r="F15" s="2" t="s">
        <v>11</v>
      </c>
      <c r="G15" s="2" t="s">
        <v>85</v>
      </c>
      <c r="H15" s="2"/>
      <c r="I1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0,315200PresenningOK7</v>
      </c>
      <c r="J15">
        <f>Table8[[#This Row],[Paket]]</f>
        <v>14</v>
      </c>
    </row>
    <row r="16" spans="1:10" x14ac:dyDescent="0.25">
      <c r="A16">
        <v>15</v>
      </c>
      <c r="B16" s="2">
        <v>0.3</v>
      </c>
      <c r="C16" s="2">
        <v>20</v>
      </c>
      <c r="D16" s="2">
        <v>5</v>
      </c>
      <c r="E16" s="2">
        <v>20</v>
      </c>
      <c r="F16" s="2">
        <v>10</v>
      </c>
      <c r="G16" s="2" t="s">
        <v>85</v>
      </c>
      <c r="H16" s="2"/>
      <c r="I1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0,32052010OK7</v>
      </c>
      <c r="J16">
        <f>Table8[[#This Row],[Paket]]</f>
        <v>15</v>
      </c>
    </row>
    <row r="17" spans="1:10" x14ac:dyDescent="0.25">
      <c r="A17">
        <v>16</v>
      </c>
      <c r="B17" s="2">
        <v>0.3</v>
      </c>
      <c r="C17" s="2">
        <v>20</v>
      </c>
      <c r="D17" s="2">
        <v>5</v>
      </c>
      <c r="E17" s="2">
        <v>20</v>
      </c>
      <c r="F17" s="2">
        <v>30</v>
      </c>
      <c r="G17" s="2" t="s">
        <v>85</v>
      </c>
      <c r="H17" s="2"/>
      <c r="I17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0,32052030OK7</v>
      </c>
      <c r="J17">
        <f>Table8[[#This Row],[Paket]]</f>
        <v>16</v>
      </c>
    </row>
    <row r="18" spans="1:10" x14ac:dyDescent="0.25">
      <c r="A18">
        <v>17</v>
      </c>
      <c r="B18" s="2">
        <v>0.3</v>
      </c>
      <c r="C18" s="2">
        <v>20</v>
      </c>
      <c r="D18" s="2">
        <v>5</v>
      </c>
      <c r="E18" s="2">
        <v>20</v>
      </c>
      <c r="F18" s="2">
        <v>50</v>
      </c>
      <c r="G18" s="2" t="s">
        <v>85</v>
      </c>
      <c r="H18" s="2"/>
      <c r="I18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0,32052050OK7</v>
      </c>
      <c r="J18">
        <f>Table8[[#This Row],[Paket]]</f>
        <v>17</v>
      </c>
    </row>
    <row r="19" spans="1:10" x14ac:dyDescent="0.25">
      <c r="A19">
        <v>18</v>
      </c>
      <c r="B19" s="2">
        <v>0.2</v>
      </c>
      <c r="C19" s="2">
        <v>15</v>
      </c>
      <c r="D19" s="2">
        <v>10</v>
      </c>
      <c r="E19" s="2" t="s">
        <v>9</v>
      </c>
      <c r="F19" s="2" t="s">
        <v>9</v>
      </c>
      <c r="G19" s="2" t="s">
        <v>85</v>
      </c>
      <c r="H19" s="2"/>
      <c r="I19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0,21510--OK7</v>
      </c>
      <c r="J19">
        <f>Table8[[#This Row],[Paket]]</f>
        <v>18</v>
      </c>
    </row>
    <row r="20" spans="1:10" x14ac:dyDescent="0.25">
      <c r="A20">
        <v>19</v>
      </c>
      <c r="B20" s="2">
        <v>0.2</v>
      </c>
      <c r="C20" s="2">
        <v>15</v>
      </c>
      <c r="D20" s="2">
        <v>15</v>
      </c>
      <c r="E20" s="2" t="s">
        <v>9</v>
      </c>
      <c r="F20" s="2" t="s">
        <v>9</v>
      </c>
      <c r="G20" s="2" t="s">
        <v>85</v>
      </c>
      <c r="H20" s="2"/>
      <c r="I20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0,21515--OK7</v>
      </c>
      <c r="J20">
        <f>Table8[[#This Row],[Paket]]</f>
        <v>19</v>
      </c>
    </row>
    <row r="21" spans="1:10" x14ac:dyDescent="0.25">
      <c r="A21">
        <v>20</v>
      </c>
      <c r="B21" s="2">
        <v>0.2</v>
      </c>
      <c r="C21" s="2">
        <v>15</v>
      </c>
      <c r="D21" s="2">
        <v>20</v>
      </c>
      <c r="E21" s="2" t="s">
        <v>9</v>
      </c>
      <c r="F21" s="2" t="s">
        <v>9</v>
      </c>
      <c r="G21" s="2" t="s">
        <v>85</v>
      </c>
      <c r="H21" s="2"/>
      <c r="I21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0,21520--OK7</v>
      </c>
      <c r="J21">
        <f>Table8[[#This Row],[Paket]]</f>
        <v>20</v>
      </c>
    </row>
    <row r="22" spans="1:10" x14ac:dyDescent="0.25">
      <c r="A22">
        <v>21</v>
      </c>
      <c r="B22" s="2">
        <v>0.2</v>
      </c>
      <c r="C22" s="2">
        <v>15</v>
      </c>
      <c r="D22" s="2">
        <v>15</v>
      </c>
      <c r="E22" s="2">
        <v>0</v>
      </c>
      <c r="F22" s="2" t="s">
        <v>9</v>
      </c>
      <c r="G22" s="2" t="s">
        <v>85</v>
      </c>
      <c r="H22" s="2"/>
      <c r="I2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0,215150-OK7</v>
      </c>
      <c r="J22">
        <f>Table8[[#This Row],[Paket]]</f>
        <v>21</v>
      </c>
    </row>
    <row r="23" spans="1:10" x14ac:dyDescent="0.25">
      <c r="A23">
        <v>22</v>
      </c>
      <c r="B23" s="2">
        <v>0.2</v>
      </c>
      <c r="C23" s="2">
        <v>15</v>
      </c>
      <c r="D23" s="2">
        <v>10</v>
      </c>
      <c r="E23" s="2">
        <v>0</v>
      </c>
      <c r="F23" s="2" t="s">
        <v>11</v>
      </c>
      <c r="G23" s="2" t="s">
        <v>85</v>
      </c>
      <c r="H23" s="2"/>
      <c r="I2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0,215100PresenningOK7</v>
      </c>
      <c r="J23">
        <f>Table8[[#This Row],[Paket]]</f>
        <v>22</v>
      </c>
    </row>
    <row r="24" spans="1:10" x14ac:dyDescent="0.25">
      <c r="A24">
        <v>23</v>
      </c>
      <c r="B24" s="2">
        <v>0.2</v>
      </c>
      <c r="C24" s="2">
        <v>15</v>
      </c>
      <c r="D24" s="2">
        <v>15</v>
      </c>
      <c r="E24" s="2">
        <v>0</v>
      </c>
      <c r="F24" s="2" t="s">
        <v>11</v>
      </c>
      <c r="G24" s="2" t="s">
        <v>85</v>
      </c>
      <c r="H24" s="2"/>
      <c r="I2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0,215150PresenningOK7</v>
      </c>
      <c r="J24">
        <f>Table8[[#This Row],[Paket]]</f>
        <v>23</v>
      </c>
    </row>
    <row r="25" spans="1:10" x14ac:dyDescent="0.25">
      <c r="A25">
        <v>24</v>
      </c>
      <c r="B25" s="2">
        <v>0.2</v>
      </c>
      <c r="C25" s="2">
        <v>20</v>
      </c>
      <c r="D25" s="2">
        <v>5</v>
      </c>
      <c r="E25" s="2">
        <v>20</v>
      </c>
      <c r="F25" s="2">
        <v>20</v>
      </c>
      <c r="G25" s="2" t="s">
        <v>85</v>
      </c>
      <c r="H25" s="2"/>
      <c r="I2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0,22052020OK7</v>
      </c>
      <c r="J25">
        <f>Table8[[#This Row],[Paket]]</f>
        <v>24</v>
      </c>
    </row>
    <row r="26" spans="1:10" x14ac:dyDescent="0.25">
      <c r="A26">
        <v>25</v>
      </c>
      <c r="B26" s="2">
        <v>0.2</v>
      </c>
      <c r="C26" s="2">
        <v>20</v>
      </c>
      <c r="D26" s="2">
        <v>5</v>
      </c>
      <c r="E26" s="2">
        <v>20</v>
      </c>
      <c r="F26" s="2">
        <v>30</v>
      </c>
      <c r="G26" s="2" t="s">
        <v>85</v>
      </c>
      <c r="H26" s="2"/>
      <c r="I2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0,22052030OK7</v>
      </c>
      <c r="J26">
        <f>Table8[[#This Row],[Paket]]</f>
        <v>25</v>
      </c>
    </row>
    <row r="27" spans="1:10" x14ac:dyDescent="0.25">
      <c r="A27">
        <v>26</v>
      </c>
      <c r="B27" s="2">
        <v>0.2</v>
      </c>
      <c r="C27" s="2">
        <v>20</v>
      </c>
      <c r="D27" s="2">
        <v>5</v>
      </c>
      <c r="E27" s="2">
        <v>20</v>
      </c>
      <c r="F27" s="2">
        <v>50</v>
      </c>
      <c r="G27" s="2" t="s">
        <v>85</v>
      </c>
      <c r="H27" s="2"/>
      <c r="I27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0,22052050OK7</v>
      </c>
      <c r="J27">
        <f>Table8[[#This Row],[Paket]]</f>
        <v>26</v>
      </c>
    </row>
    <row r="28" spans="1:10" x14ac:dyDescent="0.25">
      <c r="A28">
        <v>27</v>
      </c>
      <c r="B28" s="2">
        <v>0.1</v>
      </c>
      <c r="C28" s="2">
        <v>15</v>
      </c>
      <c r="D28" s="2">
        <v>15</v>
      </c>
      <c r="E28" s="2" t="s">
        <v>9</v>
      </c>
      <c r="F28" s="2" t="s">
        <v>9</v>
      </c>
      <c r="G28" s="2" t="s">
        <v>85</v>
      </c>
      <c r="H28" s="2"/>
      <c r="I28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0,11515--OK7</v>
      </c>
      <c r="J28">
        <f>Table8[[#This Row],[Paket]]</f>
        <v>27</v>
      </c>
    </row>
    <row r="29" spans="1:10" x14ac:dyDescent="0.25">
      <c r="A29">
        <v>28</v>
      </c>
      <c r="B29" s="2">
        <v>0.1</v>
      </c>
      <c r="C29" s="2">
        <v>15</v>
      </c>
      <c r="D29" s="2">
        <v>10</v>
      </c>
      <c r="E29" s="2" t="s">
        <v>9</v>
      </c>
      <c r="F29" s="2" t="s">
        <v>9</v>
      </c>
      <c r="G29" s="2" t="s">
        <v>85</v>
      </c>
      <c r="H29" s="2"/>
      <c r="I29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0,11510--OK7</v>
      </c>
      <c r="J29">
        <f>Table8[[#This Row],[Paket]]</f>
        <v>28</v>
      </c>
    </row>
    <row r="30" spans="1:10" x14ac:dyDescent="0.25">
      <c r="A30">
        <v>29</v>
      </c>
      <c r="B30" s="2">
        <v>0.1</v>
      </c>
      <c r="C30" s="2">
        <v>15</v>
      </c>
      <c r="D30" s="2">
        <v>15</v>
      </c>
      <c r="E30" s="2">
        <v>0</v>
      </c>
      <c r="F30" s="2" t="s">
        <v>9</v>
      </c>
      <c r="G30" s="2" t="s">
        <v>85</v>
      </c>
      <c r="H30" s="2"/>
      <c r="I30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0,115150-OK7</v>
      </c>
      <c r="J30">
        <f>Table8[[#This Row],[Paket]]</f>
        <v>29</v>
      </c>
    </row>
    <row r="31" spans="1:10" x14ac:dyDescent="0.25">
      <c r="A31">
        <v>30</v>
      </c>
      <c r="B31" s="2">
        <v>0.1</v>
      </c>
      <c r="C31" s="2">
        <v>15</v>
      </c>
      <c r="D31" s="2">
        <v>15</v>
      </c>
      <c r="E31" s="2">
        <v>0</v>
      </c>
      <c r="F31" s="2" t="s">
        <v>11</v>
      </c>
      <c r="G31" s="2" t="s">
        <v>85</v>
      </c>
      <c r="H31" s="2"/>
      <c r="I31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0,115150PresenningOK7</v>
      </c>
      <c r="J31">
        <f>Table8[[#This Row],[Paket]]</f>
        <v>30</v>
      </c>
    </row>
    <row r="32" spans="1:10" x14ac:dyDescent="0.25">
      <c r="A32">
        <v>31</v>
      </c>
      <c r="B32" s="2">
        <v>0.1</v>
      </c>
      <c r="C32" s="2">
        <v>15</v>
      </c>
      <c r="D32" s="2">
        <v>10</v>
      </c>
      <c r="E32" s="2">
        <v>0</v>
      </c>
      <c r="F32" s="2" t="s">
        <v>11</v>
      </c>
      <c r="G32" s="2" t="s">
        <v>85</v>
      </c>
      <c r="H32" s="2"/>
      <c r="I3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0,115100PresenningOK7</v>
      </c>
      <c r="J32">
        <f>Table8[[#This Row],[Paket]]</f>
        <v>31</v>
      </c>
    </row>
    <row r="33" spans="1:10" x14ac:dyDescent="0.25">
      <c r="A33">
        <v>32</v>
      </c>
      <c r="B33" s="2">
        <v>0.1</v>
      </c>
      <c r="C33" s="2">
        <v>20</v>
      </c>
      <c r="D33" s="2">
        <v>5</v>
      </c>
      <c r="E33" s="2">
        <v>20</v>
      </c>
      <c r="F33" s="2">
        <v>30</v>
      </c>
      <c r="G33" s="2" t="s">
        <v>85</v>
      </c>
      <c r="H33" s="2"/>
      <c r="I3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0,12052030OK7</v>
      </c>
      <c r="J33">
        <f>Table8[[#This Row],[Paket]]</f>
        <v>32</v>
      </c>
    </row>
    <row r="34" spans="1:10" x14ac:dyDescent="0.25">
      <c r="A34">
        <v>33</v>
      </c>
      <c r="B34" s="2">
        <v>0.1</v>
      </c>
      <c r="C34" s="2">
        <v>15</v>
      </c>
      <c r="D34" s="2">
        <v>5</v>
      </c>
      <c r="E34" s="2">
        <v>20</v>
      </c>
      <c r="F34" s="2">
        <v>30</v>
      </c>
      <c r="G34" s="2" t="s">
        <v>85</v>
      </c>
      <c r="H34" s="2"/>
      <c r="I3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0,11552030OK7</v>
      </c>
      <c r="J34">
        <f>Table8[[#This Row],[Paket]]</f>
        <v>33</v>
      </c>
    </row>
    <row r="35" spans="1:10" x14ac:dyDescent="0.25">
      <c r="A35">
        <v>34</v>
      </c>
      <c r="B35" s="2">
        <v>0.1</v>
      </c>
      <c r="C35" s="2">
        <v>20</v>
      </c>
      <c r="D35" s="2">
        <v>5</v>
      </c>
      <c r="E35" s="2">
        <v>20</v>
      </c>
      <c r="F35" s="2">
        <v>50</v>
      </c>
      <c r="G35" s="2" t="s">
        <v>85</v>
      </c>
      <c r="H35" s="2"/>
      <c r="I3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0,12052050OK7</v>
      </c>
      <c r="J35">
        <f>Table8[[#This Row],[Paket]]</f>
        <v>34</v>
      </c>
    </row>
    <row r="36" spans="1:10" x14ac:dyDescent="0.25">
      <c r="A36">
        <v>35</v>
      </c>
      <c r="B36" s="2">
        <v>0.1</v>
      </c>
      <c r="C36" s="2">
        <v>15</v>
      </c>
      <c r="D36" s="2">
        <v>5</v>
      </c>
      <c r="E36" s="2">
        <v>20</v>
      </c>
      <c r="F36" s="2">
        <v>50</v>
      </c>
      <c r="G36" s="2" t="s">
        <v>85</v>
      </c>
      <c r="H36" s="2"/>
      <c r="I3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0,11552050OK7</v>
      </c>
      <c r="J36">
        <f>Table8[[#This Row],[Paket]]</f>
        <v>35</v>
      </c>
    </row>
    <row r="37" spans="1:10" x14ac:dyDescent="0.25">
      <c r="A37">
        <v>36</v>
      </c>
      <c r="B37" s="2">
        <v>0.1</v>
      </c>
      <c r="C37" s="2">
        <v>10</v>
      </c>
      <c r="D37" s="2">
        <v>5</v>
      </c>
      <c r="E37" s="2">
        <v>20</v>
      </c>
      <c r="F37" s="2">
        <v>50</v>
      </c>
      <c r="G37" s="2" t="s">
        <v>85</v>
      </c>
      <c r="H37" s="2"/>
      <c r="I37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0,11052050OK7</v>
      </c>
      <c r="J37">
        <f>Table8[[#This Row],[Paket]]</f>
        <v>36</v>
      </c>
    </row>
    <row r="38" spans="1:10" x14ac:dyDescent="0.25">
      <c r="A38">
        <v>37</v>
      </c>
      <c r="B38" s="2" t="s">
        <v>83</v>
      </c>
      <c r="C38" s="2">
        <v>15</v>
      </c>
      <c r="D38" s="2">
        <v>10</v>
      </c>
      <c r="E38" s="2" t="s">
        <v>9</v>
      </c>
      <c r="F38" s="2" t="s">
        <v>9</v>
      </c>
      <c r="G38" s="2" t="s">
        <v>85</v>
      </c>
      <c r="H38" s="2"/>
      <c r="I38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Bas+0%1510--OK7</v>
      </c>
      <c r="J38">
        <f>Table8[[#This Row],[Paket]]</f>
        <v>37</v>
      </c>
    </row>
    <row r="39" spans="1:10" x14ac:dyDescent="0.25">
      <c r="A39">
        <v>38</v>
      </c>
      <c r="B39" s="2" t="s">
        <v>83</v>
      </c>
      <c r="C39" s="2">
        <v>15</v>
      </c>
      <c r="D39" s="2">
        <v>10</v>
      </c>
      <c r="E39" s="2">
        <v>0</v>
      </c>
      <c r="F39" s="2" t="s">
        <v>9</v>
      </c>
      <c r="G39" s="2" t="s">
        <v>85</v>
      </c>
      <c r="H39" s="2"/>
      <c r="I39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Bas+0%15100-OK7</v>
      </c>
      <c r="J39">
        <f>Table8[[#This Row],[Paket]]</f>
        <v>38</v>
      </c>
    </row>
    <row r="40" spans="1:10" x14ac:dyDescent="0.25">
      <c r="A40">
        <v>39</v>
      </c>
      <c r="B40" s="2" t="s">
        <v>83</v>
      </c>
      <c r="C40" s="2">
        <v>20</v>
      </c>
      <c r="D40" s="2">
        <v>5</v>
      </c>
      <c r="E40" s="2">
        <v>20</v>
      </c>
      <c r="F40" s="2">
        <v>30</v>
      </c>
      <c r="G40" s="2" t="s">
        <v>85</v>
      </c>
      <c r="H40" s="2"/>
      <c r="I40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Bas+0%2052030OK7</v>
      </c>
      <c r="J40">
        <f>Table8[[#This Row],[Paket]]</f>
        <v>39</v>
      </c>
    </row>
    <row r="41" spans="1:10" x14ac:dyDescent="0.25">
      <c r="A41">
        <v>40</v>
      </c>
      <c r="B41" s="2" t="s">
        <v>83</v>
      </c>
      <c r="C41" s="2">
        <v>15</v>
      </c>
      <c r="D41" s="2">
        <v>5</v>
      </c>
      <c r="E41" s="2">
        <v>20</v>
      </c>
      <c r="F41" s="2">
        <v>30</v>
      </c>
      <c r="G41" s="2" t="s">
        <v>85</v>
      </c>
      <c r="H41" s="2"/>
      <c r="I41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Bas+0%1552030OK7</v>
      </c>
      <c r="J41">
        <f>Table8[[#This Row],[Paket]]</f>
        <v>40</v>
      </c>
    </row>
    <row r="42" spans="1:10" x14ac:dyDescent="0.25">
      <c r="A42">
        <v>41</v>
      </c>
      <c r="B42" s="2" t="s">
        <v>83</v>
      </c>
      <c r="C42" s="2">
        <v>20</v>
      </c>
      <c r="D42" s="2">
        <v>5</v>
      </c>
      <c r="E42" s="2">
        <v>20</v>
      </c>
      <c r="F42" s="2">
        <v>50</v>
      </c>
      <c r="G42" s="2" t="s">
        <v>85</v>
      </c>
      <c r="H42" s="2"/>
      <c r="I42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Bas+0%2052050OK7</v>
      </c>
      <c r="J42">
        <f>Table8[[#This Row],[Paket]]</f>
        <v>41</v>
      </c>
    </row>
    <row r="43" spans="1:10" x14ac:dyDescent="0.25">
      <c r="A43">
        <v>42</v>
      </c>
      <c r="B43" s="2" t="s">
        <v>83</v>
      </c>
      <c r="C43" s="2">
        <v>15</v>
      </c>
      <c r="D43" s="2">
        <v>5</v>
      </c>
      <c r="E43" s="2">
        <v>20</v>
      </c>
      <c r="F43" s="2">
        <v>50</v>
      </c>
      <c r="G43" s="2" t="s">
        <v>85</v>
      </c>
      <c r="H43" s="2"/>
      <c r="I43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Bas+0%1552050OK7</v>
      </c>
      <c r="J43">
        <f>Table8[[#This Row],[Paket]]</f>
        <v>42</v>
      </c>
    </row>
    <row r="44" spans="1:10" x14ac:dyDescent="0.25">
      <c r="A44">
        <v>43</v>
      </c>
      <c r="B44" s="2" t="s">
        <v>83</v>
      </c>
      <c r="C44" s="2">
        <v>10</v>
      </c>
      <c r="D44" s="2">
        <v>5</v>
      </c>
      <c r="E44" s="2">
        <v>20</v>
      </c>
      <c r="F44" s="2">
        <v>50</v>
      </c>
      <c r="G44" s="2" t="s">
        <v>85</v>
      </c>
      <c r="H44" s="2"/>
      <c r="I44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Bas+0%1052050OK7</v>
      </c>
      <c r="J44">
        <f>Table8[[#This Row],[Paket]]</f>
        <v>43</v>
      </c>
    </row>
    <row r="45" spans="1:10" x14ac:dyDescent="0.25">
      <c r="A45">
        <v>44</v>
      </c>
      <c r="B45" s="2" t="s">
        <v>9</v>
      </c>
      <c r="C45" s="2" t="s">
        <v>9</v>
      </c>
      <c r="D45" s="2" t="s">
        <v>9</v>
      </c>
      <c r="E45" s="2" t="s">
        <v>9</v>
      </c>
      <c r="F45" s="2" t="s">
        <v>9</v>
      </c>
      <c r="G45" s="2" t="s">
        <v>18</v>
      </c>
      <c r="H45" s="2"/>
      <c r="I45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-----Når ej 70%</v>
      </c>
      <c r="J45">
        <f>Table8[[#This Row],[Paket]]</f>
        <v>44</v>
      </c>
    </row>
    <row r="46" spans="1:10" x14ac:dyDescent="0.25">
      <c r="A46">
        <v>45</v>
      </c>
      <c r="B46" s="2" t="s">
        <v>9</v>
      </c>
      <c r="C46" s="2" t="s">
        <v>9</v>
      </c>
      <c r="D46" s="2" t="s">
        <v>9</v>
      </c>
      <c r="E46" s="2" t="s">
        <v>9</v>
      </c>
      <c r="F46" s="2" t="s">
        <v>9</v>
      </c>
      <c r="G46" s="2" t="s">
        <v>12</v>
      </c>
      <c r="H46" s="2"/>
      <c r="I46" t="str">
        <f>Table8[[#This Row],[Slagg %]]&amp;Table8[[#This Row],[Gjuttemperatur (varmbetong)]]&amp;Table8[[#This Row],[Temperatur motgjutningsyta]]&amp;Table8[[#This Row],[Väderskydd, uppvärmning (ingen vind)]]&amp;Table8[[#This Row],[Täckning '[mm']]]&amp;Table8[[#This Row],[OK under 17 D]]&amp;Table8[[#This Row],[Ok under 21 D]]</f>
        <v>-----Frys innan täck</v>
      </c>
      <c r="J46">
        <f>Table8[[#This Row],[Paket]]</f>
        <v>45</v>
      </c>
    </row>
    <row r="47" spans="1:10" x14ac:dyDescent="0.25">
      <c r="B47" s="2"/>
      <c r="C47" s="2"/>
      <c r="D47" s="2"/>
      <c r="E47" s="2"/>
      <c r="F47" s="2"/>
      <c r="G47" s="2"/>
      <c r="H47" s="2"/>
    </row>
    <row r="48" spans="1:10" x14ac:dyDescent="0.25">
      <c r="B48" s="2"/>
      <c r="C48" s="2"/>
      <c r="D48" s="2"/>
      <c r="E48" s="2"/>
      <c r="F48" s="2"/>
      <c r="G48" s="2"/>
      <c r="H48" s="2"/>
    </row>
    <row r="49" spans="1:10" x14ac:dyDescent="0.25">
      <c r="B49" s="2"/>
      <c r="C49" s="2"/>
      <c r="D49" s="2"/>
      <c r="E49" s="2"/>
      <c r="F49" s="2"/>
      <c r="G49" s="2"/>
      <c r="H49" s="2"/>
    </row>
    <row r="50" spans="1:10" x14ac:dyDescent="0.25">
      <c r="B50" s="2"/>
      <c r="C50" s="2"/>
      <c r="D50" s="2"/>
      <c r="E50" s="2"/>
      <c r="F50" s="2"/>
      <c r="G50" s="2"/>
      <c r="H50" s="2"/>
    </row>
    <row r="51" spans="1:10" x14ac:dyDescent="0.25">
      <c r="B51" s="2"/>
      <c r="C51" s="2"/>
      <c r="D51" s="2"/>
      <c r="E51" s="2"/>
      <c r="F51" s="2"/>
      <c r="G51" s="2"/>
      <c r="H51" s="2"/>
    </row>
    <row r="52" spans="1:10" x14ac:dyDescent="0.25">
      <c r="B52" s="2"/>
      <c r="C52" s="2"/>
      <c r="D52" s="2"/>
      <c r="E52" s="2"/>
      <c r="F52" s="2"/>
      <c r="G52" s="2"/>
      <c r="H52" s="2"/>
    </row>
    <row r="53" spans="1:10" x14ac:dyDescent="0.25">
      <c r="B53" s="2"/>
      <c r="C53" s="2"/>
      <c r="D53" s="2"/>
      <c r="E53" s="2"/>
      <c r="F53" s="2"/>
      <c r="G53" s="2"/>
      <c r="H53" s="2"/>
    </row>
    <row r="54" spans="1:10" x14ac:dyDescent="0.25">
      <c r="B54" s="2"/>
      <c r="C54" s="2"/>
      <c r="D54" s="2"/>
      <c r="E54" s="2"/>
      <c r="F54" s="2"/>
      <c r="G54" s="2"/>
      <c r="H54" s="2"/>
    </row>
    <row r="55" spans="1:10" x14ac:dyDescent="0.25">
      <c r="B55" s="2"/>
      <c r="C55" s="2"/>
      <c r="D55" s="2"/>
      <c r="E55" s="2"/>
      <c r="F55" s="2"/>
      <c r="G55" s="2"/>
      <c r="H55" s="2"/>
    </row>
    <row r="56" spans="1:10" x14ac:dyDescent="0.25">
      <c r="B56" s="2"/>
      <c r="C56" s="2"/>
      <c r="D56" s="2"/>
      <c r="E56" s="2"/>
      <c r="F56" s="2"/>
      <c r="G56" s="2"/>
      <c r="H56" s="2"/>
    </row>
    <row r="63" spans="1:10" x14ac:dyDescent="0.25">
      <c r="I63" t="s">
        <v>70</v>
      </c>
    </row>
    <row r="64" spans="1:10" x14ac:dyDescent="0.25">
      <c r="A64">
        <v>1</v>
      </c>
      <c r="B64">
        <v>0.3</v>
      </c>
      <c r="C64">
        <v>15</v>
      </c>
      <c r="D64">
        <v>20</v>
      </c>
      <c r="E64">
        <v>0</v>
      </c>
      <c r="F64" t="s">
        <v>11</v>
      </c>
      <c r="G64" t="s">
        <v>85</v>
      </c>
      <c r="H64" t="str">
        <f>B64&amp;C64&amp;D64&amp;E64&amp;F64&amp;G64</f>
        <v>0,315200PresenningOK7</v>
      </c>
      <c r="I64" t="s">
        <v>86</v>
      </c>
      <c r="J64">
        <f>MATCH(H64,I64)</f>
        <v>1</v>
      </c>
    </row>
    <row r="65" spans="1:10" x14ac:dyDescent="0.25">
      <c r="A65">
        <v>2</v>
      </c>
      <c r="B65">
        <v>0.2</v>
      </c>
      <c r="C65">
        <v>15</v>
      </c>
      <c r="D65">
        <v>20</v>
      </c>
      <c r="E65">
        <v>0</v>
      </c>
      <c r="F65" t="s">
        <v>11</v>
      </c>
      <c r="G65" t="s">
        <v>85</v>
      </c>
      <c r="H65" t="str">
        <f t="shared" ref="H65:H108" si="0">B65&amp;C65&amp;D65&amp;E65&amp;F65&amp;G65</f>
        <v>0,215200PresenningOK7</v>
      </c>
      <c r="I65" t="s">
        <v>87</v>
      </c>
      <c r="J65">
        <f t="shared" ref="J65:J108" si="1">MATCH(H65,I65)</f>
        <v>1</v>
      </c>
    </row>
    <row r="66" spans="1:10" x14ac:dyDescent="0.25">
      <c r="A66">
        <v>3</v>
      </c>
      <c r="B66">
        <v>0.1</v>
      </c>
      <c r="C66">
        <v>15</v>
      </c>
      <c r="D66">
        <v>15</v>
      </c>
      <c r="E66" t="s">
        <v>9</v>
      </c>
      <c r="F66" t="s">
        <v>9</v>
      </c>
      <c r="G66" t="s">
        <v>85</v>
      </c>
      <c r="H66" t="str">
        <f t="shared" si="0"/>
        <v>0,11515--OK7</v>
      </c>
      <c r="I66" t="s">
        <v>88</v>
      </c>
      <c r="J66">
        <f t="shared" si="1"/>
        <v>1</v>
      </c>
    </row>
    <row r="67" spans="1:10" x14ac:dyDescent="0.25">
      <c r="A67">
        <v>4</v>
      </c>
      <c r="B67">
        <v>0.1</v>
      </c>
      <c r="C67">
        <v>15</v>
      </c>
      <c r="D67">
        <v>15</v>
      </c>
      <c r="E67">
        <v>0</v>
      </c>
      <c r="F67" t="s">
        <v>9</v>
      </c>
      <c r="G67" t="s">
        <v>85</v>
      </c>
      <c r="H67" t="str">
        <f t="shared" si="0"/>
        <v>0,115150-OK7</v>
      </c>
      <c r="I67" t="s">
        <v>89</v>
      </c>
      <c r="J67">
        <f t="shared" si="1"/>
        <v>1</v>
      </c>
    </row>
    <row r="68" spans="1:10" x14ac:dyDescent="0.25">
      <c r="A68">
        <v>5</v>
      </c>
      <c r="B68">
        <v>0.1</v>
      </c>
      <c r="C68">
        <v>15</v>
      </c>
      <c r="D68">
        <v>15</v>
      </c>
      <c r="E68">
        <v>0</v>
      </c>
      <c r="F68" t="s">
        <v>11</v>
      </c>
      <c r="G68" t="s">
        <v>85</v>
      </c>
      <c r="H68" t="str">
        <f t="shared" si="0"/>
        <v>0,115150PresenningOK7</v>
      </c>
      <c r="I68" t="s">
        <v>90</v>
      </c>
      <c r="J68">
        <f t="shared" si="1"/>
        <v>1</v>
      </c>
    </row>
    <row r="69" spans="1:10" x14ac:dyDescent="0.25">
      <c r="A69">
        <v>6</v>
      </c>
      <c r="B69" t="s">
        <v>83</v>
      </c>
      <c r="C69">
        <v>15</v>
      </c>
      <c r="D69">
        <v>10</v>
      </c>
      <c r="E69" t="s">
        <v>9</v>
      </c>
      <c r="F69" t="s">
        <v>9</v>
      </c>
      <c r="G69" t="s">
        <v>85</v>
      </c>
      <c r="H69" t="str">
        <f>B69&amp;C69&amp;D69&amp;E69&amp;F64&amp;G69</f>
        <v>Bas+0%1510-PresenningOK7</v>
      </c>
      <c r="I69" t="s">
        <v>91</v>
      </c>
      <c r="J69">
        <f t="shared" si="1"/>
        <v>1</v>
      </c>
    </row>
    <row r="70" spans="1:10" x14ac:dyDescent="0.25">
      <c r="A70">
        <v>7</v>
      </c>
      <c r="B70" t="s">
        <v>83</v>
      </c>
      <c r="C70">
        <v>15</v>
      </c>
      <c r="D70">
        <v>10</v>
      </c>
      <c r="E70">
        <v>0</v>
      </c>
      <c r="F70" t="s">
        <v>9</v>
      </c>
      <c r="G70" t="s">
        <v>85</v>
      </c>
      <c r="H70" t="str">
        <f t="shared" si="0"/>
        <v>Bas+0%15100-OK7</v>
      </c>
      <c r="I70" t="s">
        <v>92</v>
      </c>
      <c r="J70">
        <f t="shared" si="1"/>
        <v>1</v>
      </c>
    </row>
    <row r="71" spans="1:10" x14ac:dyDescent="0.25">
      <c r="A71">
        <v>8</v>
      </c>
      <c r="B71" t="s">
        <v>9</v>
      </c>
      <c r="C71" t="s">
        <v>9</v>
      </c>
      <c r="D71" t="s">
        <v>9</v>
      </c>
      <c r="E71" t="s">
        <v>9</v>
      </c>
      <c r="F71" t="s">
        <v>9</v>
      </c>
      <c r="G71" t="s">
        <v>18</v>
      </c>
      <c r="H71" t="str">
        <f t="shared" si="0"/>
        <v>-----Når ej 70%</v>
      </c>
      <c r="I71" t="s">
        <v>68</v>
      </c>
      <c r="J71">
        <f t="shared" si="1"/>
        <v>1</v>
      </c>
    </row>
    <row r="72" spans="1:10" x14ac:dyDescent="0.25">
      <c r="A72">
        <v>9</v>
      </c>
      <c r="B72">
        <v>0.4</v>
      </c>
      <c r="C72">
        <v>20</v>
      </c>
      <c r="D72">
        <v>5</v>
      </c>
      <c r="E72">
        <v>20</v>
      </c>
      <c r="F72">
        <v>30</v>
      </c>
      <c r="G72" t="s">
        <v>85</v>
      </c>
      <c r="H72" t="str">
        <f t="shared" si="0"/>
        <v>0,42052030OK7</v>
      </c>
      <c r="I72" t="s">
        <v>93</v>
      </c>
      <c r="J72">
        <f t="shared" si="1"/>
        <v>1</v>
      </c>
    </row>
    <row r="73" spans="1:10" x14ac:dyDescent="0.25">
      <c r="A73">
        <v>10</v>
      </c>
      <c r="B73">
        <v>0.4</v>
      </c>
      <c r="C73">
        <v>20</v>
      </c>
      <c r="D73">
        <v>5</v>
      </c>
      <c r="E73">
        <v>20</v>
      </c>
      <c r="F73">
        <v>50</v>
      </c>
      <c r="G73" t="s">
        <v>85</v>
      </c>
      <c r="H73" t="str">
        <f t="shared" si="0"/>
        <v>0,42052050OK7</v>
      </c>
      <c r="I73" t="s">
        <v>94</v>
      </c>
      <c r="J73">
        <f t="shared" si="1"/>
        <v>1</v>
      </c>
    </row>
    <row r="74" spans="1:10" x14ac:dyDescent="0.25">
      <c r="A74">
        <v>11</v>
      </c>
      <c r="B74">
        <v>0.3</v>
      </c>
      <c r="C74">
        <v>20</v>
      </c>
      <c r="D74">
        <v>5</v>
      </c>
      <c r="E74">
        <v>20</v>
      </c>
      <c r="F74">
        <v>50</v>
      </c>
      <c r="G74" t="s">
        <v>85</v>
      </c>
      <c r="H74" t="str">
        <f t="shared" si="0"/>
        <v>0,32052050OK7</v>
      </c>
      <c r="I74" t="s">
        <v>95</v>
      </c>
      <c r="J74">
        <f t="shared" si="1"/>
        <v>1</v>
      </c>
    </row>
    <row r="75" spans="1:10" x14ac:dyDescent="0.25">
      <c r="A75">
        <v>12</v>
      </c>
      <c r="B75">
        <v>0.2</v>
      </c>
      <c r="C75">
        <v>20</v>
      </c>
      <c r="D75">
        <v>5</v>
      </c>
      <c r="E75">
        <v>20</v>
      </c>
      <c r="F75">
        <v>50</v>
      </c>
      <c r="G75" t="s">
        <v>85</v>
      </c>
      <c r="H75" t="str">
        <f t="shared" si="0"/>
        <v>0,22052050OK7</v>
      </c>
      <c r="I75" t="s">
        <v>96</v>
      </c>
      <c r="J75">
        <f t="shared" si="1"/>
        <v>1</v>
      </c>
    </row>
    <row r="76" spans="1:10" x14ac:dyDescent="0.25">
      <c r="A76">
        <v>13</v>
      </c>
      <c r="B76">
        <v>0.1</v>
      </c>
      <c r="C76">
        <v>20</v>
      </c>
      <c r="D76">
        <v>5</v>
      </c>
      <c r="E76">
        <v>20</v>
      </c>
      <c r="F76">
        <v>30</v>
      </c>
      <c r="G76" t="s">
        <v>85</v>
      </c>
      <c r="H76" t="str">
        <f t="shared" si="0"/>
        <v>0,12052030OK7</v>
      </c>
      <c r="I76" t="s">
        <v>97</v>
      </c>
      <c r="J76">
        <f>MATCH(H76,I76)</f>
        <v>1</v>
      </c>
    </row>
    <row r="77" spans="1:10" x14ac:dyDescent="0.25">
      <c r="A77">
        <v>14</v>
      </c>
      <c r="B77">
        <v>0.1</v>
      </c>
      <c r="C77">
        <v>20</v>
      </c>
      <c r="D77">
        <v>5</v>
      </c>
      <c r="E77">
        <v>20</v>
      </c>
      <c r="F77">
        <v>50</v>
      </c>
      <c r="G77" t="s">
        <v>85</v>
      </c>
      <c r="H77" t="str">
        <f t="shared" si="0"/>
        <v>0,12052050OK7</v>
      </c>
      <c r="I77" t="s">
        <v>98</v>
      </c>
      <c r="J77">
        <f t="shared" si="1"/>
        <v>1</v>
      </c>
    </row>
    <row r="78" spans="1:10" x14ac:dyDescent="0.25">
      <c r="A78">
        <v>15</v>
      </c>
      <c r="B78" t="s">
        <v>83</v>
      </c>
      <c r="C78">
        <v>20</v>
      </c>
      <c r="D78">
        <v>5</v>
      </c>
      <c r="E78">
        <v>20</v>
      </c>
      <c r="F78">
        <v>30</v>
      </c>
      <c r="G78" t="s">
        <v>85</v>
      </c>
      <c r="H78" t="str">
        <f t="shared" si="0"/>
        <v>Bas+0%2052030OK7</v>
      </c>
      <c r="I78" t="s">
        <v>99</v>
      </c>
      <c r="J78">
        <f t="shared" si="1"/>
        <v>1</v>
      </c>
    </row>
    <row r="79" spans="1:10" x14ac:dyDescent="0.25">
      <c r="A79">
        <v>16</v>
      </c>
      <c r="B79" t="s">
        <v>83</v>
      </c>
      <c r="C79">
        <v>20</v>
      </c>
      <c r="D79">
        <v>5</v>
      </c>
      <c r="E79">
        <v>20</v>
      </c>
      <c r="F79">
        <v>50</v>
      </c>
      <c r="G79" t="s">
        <v>85</v>
      </c>
      <c r="H79" t="str">
        <f t="shared" si="0"/>
        <v>Bas+0%2052050OK7</v>
      </c>
      <c r="I79" t="s">
        <v>100</v>
      </c>
      <c r="J79">
        <f t="shared" si="1"/>
        <v>1</v>
      </c>
    </row>
    <row r="80" spans="1:10" x14ac:dyDescent="0.25">
      <c r="A80">
        <v>17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12</v>
      </c>
      <c r="H80" t="str">
        <f t="shared" si="0"/>
        <v>-----Frys innan täck</v>
      </c>
      <c r="I80" t="s">
        <v>67</v>
      </c>
      <c r="J80">
        <f t="shared" si="1"/>
        <v>1</v>
      </c>
    </row>
    <row r="81" spans="1:10" x14ac:dyDescent="0.25">
      <c r="A81">
        <v>18</v>
      </c>
      <c r="B81">
        <v>0.4</v>
      </c>
      <c r="C81">
        <v>15</v>
      </c>
      <c r="D81">
        <v>20</v>
      </c>
      <c r="E81">
        <v>0</v>
      </c>
      <c r="F81" t="s">
        <v>11</v>
      </c>
      <c r="G81" t="s">
        <v>85</v>
      </c>
      <c r="H81" t="str">
        <f t="shared" si="0"/>
        <v>0,415200PresenningOK7</v>
      </c>
      <c r="I81" t="s">
        <v>101</v>
      </c>
      <c r="J81">
        <f t="shared" si="1"/>
        <v>1</v>
      </c>
    </row>
    <row r="82" spans="1:10" x14ac:dyDescent="0.25">
      <c r="A82">
        <v>19</v>
      </c>
      <c r="B82">
        <v>0.3</v>
      </c>
      <c r="C82">
        <v>15</v>
      </c>
      <c r="D82">
        <v>20</v>
      </c>
      <c r="E82" t="s">
        <v>9</v>
      </c>
      <c r="F82" t="s">
        <v>9</v>
      </c>
      <c r="G82" t="s">
        <v>85</v>
      </c>
      <c r="H82" t="str">
        <f t="shared" si="0"/>
        <v>0,31520--OK7</v>
      </c>
      <c r="I82" t="s">
        <v>102</v>
      </c>
      <c r="J82">
        <f t="shared" si="1"/>
        <v>1</v>
      </c>
    </row>
    <row r="83" spans="1:10" x14ac:dyDescent="0.25">
      <c r="A83">
        <v>20</v>
      </c>
      <c r="B83">
        <v>0.4</v>
      </c>
      <c r="C83">
        <v>20</v>
      </c>
      <c r="D83">
        <v>5</v>
      </c>
      <c r="E83">
        <v>20</v>
      </c>
      <c r="F83">
        <v>20</v>
      </c>
      <c r="G83" t="s">
        <v>85</v>
      </c>
      <c r="H83" t="str">
        <f t="shared" si="0"/>
        <v>0,42052020OK7</v>
      </c>
      <c r="I83" t="s">
        <v>103</v>
      </c>
      <c r="J83">
        <f t="shared" si="1"/>
        <v>1</v>
      </c>
    </row>
    <row r="84" spans="1:10" x14ac:dyDescent="0.25">
      <c r="A84">
        <v>21</v>
      </c>
      <c r="B84">
        <v>0.3</v>
      </c>
      <c r="C84">
        <v>20</v>
      </c>
      <c r="D84">
        <v>5</v>
      </c>
      <c r="E84">
        <v>20</v>
      </c>
      <c r="F84">
        <v>30</v>
      </c>
      <c r="G84" t="s">
        <v>85</v>
      </c>
      <c r="H84" t="str">
        <f t="shared" si="0"/>
        <v>0,32052030OK7</v>
      </c>
      <c r="I84" t="s">
        <v>104</v>
      </c>
      <c r="J84">
        <f t="shared" si="1"/>
        <v>1</v>
      </c>
    </row>
    <row r="85" spans="1:10" x14ac:dyDescent="0.25">
      <c r="A85">
        <v>22</v>
      </c>
      <c r="B85">
        <v>0.3</v>
      </c>
      <c r="C85">
        <v>20</v>
      </c>
      <c r="D85">
        <v>5</v>
      </c>
      <c r="E85">
        <v>20</v>
      </c>
      <c r="F85">
        <v>10</v>
      </c>
      <c r="G85" t="s">
        <v>85</v>
      </c>
      <c r="H85" t="str">
        <f t="shared" si="0"/>
        <v>0,32052010OK7</v>
      </c>
      <c r="I85" t="s">
        <v>105</v>
      </c>
      <c r="J85">
        <f t="shared" si="1"/>
        <v>1</v>
      </c>
    </row>
    <row r="86" spans="1:10" x14ac:dyDescent="0.25">
      <c r="A86">
        <v>23</v>
      </c>
      <c r="B86" t="s">
        <v>83</v>
      </c>
      <c r="C86">
        <v>15</v>
      </c>
      <c r="D86">
        <v>5</v>
      </c>
      <c r="E86">
        <v>20</v>
      </c>
      <c r="F86">
        <v>50</v>
      </c>
      <c r="G86" t="s">
        <v>85</v>
      </c>
      <c r="H86" t="str">
        <f t="shared" si="0"/>
        <v>Bas+0%1552050OK7</v>
      </c>
      <c r="I86" t="s">
        <v>106</v>
      </c>
      <c r="J86">
        <f t="shared" si="1"/>
        <v>1</v>
      </c>
    </row>
    <row r="87" spans="1:10" x14ac:dyDescent="0.25">
      <c r="A87">
        <v>24</v>
      </c>
      <c r="B87">
        <v>0.4</v>
      </c>
      <c r="C87">
        <v>15</v>
      </c>
      <c r="D87">
        <v>20</v>
      </c>
      <c r="E87" t="s">
        <v>9</v>
      </c>
      <c r="F87" t="s">
        <v>9</v>
      </c>
      <c r="G87" t="s">
        <v>85</v>
      </c>
      <c r="H87" t="str">
        <f t="shared" si="0"/>
        <v>0,41520--OK7</v>
      </c>
      <c r="I87" t="s">
        <v>107</v>
      </c>
      <c r="J87">
        <f t="shared" si="1"/>
        <v>1</v>
      </c>
    </row>
    <row r="88" spans="1:10" x14ac:dyDescent="0.25">
      <c r="A88">
        <v>25</v>
      </c>
      <c r="B88">
        <v>0.2</v>
      </c>
      <c r="C88">
        <v>15</v>
      </c>
      <c r="D88">
        <v>15</v>
      </c>
      <c r="E88" t="s">
        <v>9</v>
      </c>
      <c r="F88" t="s">
        <v>9</v>
      </c>
      <c r="G88" t="s">
        <v>85</v>
      </c>
      <c r="H88" t="str">
        <f t="shared" si="0"/>
        <v>0,21515--OK7</v>
      </c>
      <c r="I88" t="s">
        <v>108</v>
      </c>
      <c r="J88">
        <f t="shared" si="1"/>
        <v>1</v>
      </c>
    </row>
    <row r="89" spans="1:10" x14ac:dyDescent="0.25">
      <c r="A89">
        <v>26</v>
      </c>
      <c r="B89">
        <v>0.2</v>
      </c>
      <c r="C89">
        <v>15</v>
      </c>
      <c r="D89">
        <v>15</v>
      </c>
      <c r="E89">
        <v>0</v>
      </c>
      <c r="F89" t="s">
        <v>9</v>
      </c>
      <c r="G89" t="s">
        <v>85</v>
      </c>
      <c r="H89" t="str">
        <f t="shared" si="0"/>
        <v>0,215150-OK7</v>
      </c>
      <c r="I89" t="s">
        <v>109</v>
      </c>
      <c r="J89">
        <f t="shared" si="1"/>
        <v>1</v>
      </c>
    </row>
    <row r="90" spans="1:10" x14ac:dyDescent="0.25">
      <c r="A90">
        <v>27</v>
      </c>
      <c r="B90">
        <v>0.1</v>
      </c>
      <c r="C90">
        <v>15</v>
      </c>
      <c r="D90">
        <v>10</v>
      </c>
      <c r="E90" t="s">
        <v>9</v>
      </c>
      <c r="F90" t="s">
        <v>9</v>
      </c>
      <c r="G90" t="s">
        <v>85</v>
      </c>
      <c r="H90" t="str">
        <f t="shared" si="0"/>
        <v>0,11510--OK7</v>
      </c>
      <c r="I90" t="s">
        <v>110</v>
      </c>
      <c r="J90">
        <f t="shared" si="1"/>
        <v>1</v>
      </c>
    </row>
    <row r="91" spans="1:10" x14ac:dyDescent="0.25">
      <c r="A91">
        <v>28</v>
      </c>
      <c r="B91">
        <v>0.4</v>
      </c>
      <c r="C91">
        <v>20</v>
      </c>
      <c r="D91">
        <v>5</v>
      </c>
      <c r="E91">
        <v>20</v>
      </c>
      <c r="F91">
        <v>10</v>
      </c>
      <c r="G91" t="s">
        <v>85</v>
      </c>
      <c r="H91" t="str">
        <f t="shared" si="0"/>
        <v>0,42052010OK7</v>
      </c>
      <c r="I91" t="s">
        <v>111</v>
      </c>
      <c r="J91">
        <f t="shared" si="1"/>
        <v>1</v>
      </c>
    </row>
    <row r="92" spans="1:10" x14ac:dyDescent="0.25">
      <c r="A92">
        <v>29</v>
      </c>
      <c r="B92">
        <v>0.4</v>
      </c>
      <c r="C92">
        <v>15</v>
      </c>
      <c r="D92">
        <v>20</v>
      </c>
      <c r="E92">
        <v>0</v>
      </c>
      <c r="F92" t="s">
        <v>9</v>
      </c>
      <c r="G92" t="s">
        <v>85</v>
      </c>
      <c r="H92" t="str">
        <f t="shared" si="0"/>
        <v>0,415200-OK7</v>
      </c>
      <c r="I92" t="s">
        <v>112</v>
      </c>
      <c r="J92">
        <f t="shared" si="1"/>
        <v>1</v>
      </c>
    </row>
    <row r="93" spans="1:10" x14ac:dyDescent="0.25">
      <c r="A93">
        <v>30</v>
      </c>
      <c r="B93">
        <v>0.2</v>
      </c>
      <c r="C93">
        <v>15</v>
      </c>
      <c r="D93">
        <v>15</v>
      </c>
      <c r="E93">
        <v>0</v>
      </c>
      <c r="F93" t="s">
        <v>11</v>
      </c>
      <c r="G93" t="s">
        <v>85</v>
      </c>
      <c r="H93" t="str">
        <f t="shared" si="0"/>
        <v>0,215150PresenningOK7</v>
      </c>
      <c r="I93" t="s">
        <v>113</v>
      </c>
      <c r="J93">
        <f t="shared" si="1"/>
        <v>1</v>
      </c>
    </row>
    <row r="94" spans="1:10" x14ac:dyDescent="0.25">
      <c r="A94">
        <v>31</v>
      </c>
      <c r="B94">
        <v>0.1</v>
      </c>
      <c r="C94">
        <v>15</v>
      </c>
      <c r="D94">
        <v>10</v>
      </c>
      <c r="E94">
        <v>0</v>
      </c>
      <c r="F94" t="s">
        <v>11</v>
      </c>
      <c r="G94" t="s">
        <v>85</v>
      </c>
      <c r="H94" t="str">
        <f t="shared" si="0"/>
        <v>0,115100PresenningOK7</v>
      </c>
      <c r="I94" t="s">
        <v>114</v>
      </c>
      <c r="J94">
        <f t="shared" si="1"/>
        <v>1</v>
      </c>
    </row>
    <row r="95" spans="1:10" x14ac:dyDescent="0.25">
      <c r="A95">
        <v>32</v>
      </c>
      <c r="B95">
        <v>0.2</v>
      </c>
      <c r="C95">
        <v>20</v>
      </c>
      <c r="D95">
        <v>5</v>
      </c>
      <c r="E95">
        <v>20</v>
      </c>
      <c r="F95">
        <v>30</v>
      </c>
      <c r="G95" t="s">
        <v>85</v>
      </c>
      <c r="H95" t="str">
        <f t="shared" si="0"/>
        <v>0,22052030OK7</v>
      </c>
      <c r="I95" t="s">
        <v>115</v>
      </c>
      <c r="J95">
        <f t="shared" si="1"/>
        <v>1</v>
      </c>
    </row>
    <row r="96" spans="1:10" x14ac:dyDescent="0.25">
      <c r="A96">
        <v>33</v>
      </c>
      <c r="B96" t="s">
        <v>83</v>
      </c>
      <c r="C96">
        <v>15</v>
      </c>
      <c r="D96">
        <v>5</v>
      </c>
      <c r="E96">
        <v>20</v>
      </c>
      <c r="F96">
        <v>30</v>
      </c>
      <c r="G96" t="s">
        <v>85</v>
      </c>
      <c r="H96" t="str">
        <f t="shared" si="0"/>
        <v>Bas+0%1552030OK7</v>
      </c>
      <c r="I96" t="s">
        <v>116</v>
      </c>
      <c r="J96">
        <f t="shared" si="1"/>
        <v>1</v>
      </c>
    </row>
    <row r="97" spans="1:10" x14ac:dyDescent="0.25">
      <c r="A97">
        <v>34</v>
      </c>
      <c r="B97">
        <v>0.3</v>
      </c>
      <c r="C97">
        <v>15</v>
      </c>
      <c r="D97">
        <v>15</v>
      </c>
      <c r="E97">
        <v>0</v>
      </c>
      <c r="F97" t="s">
        <v>11</v>
      </c>
      <c r="G97" t="s">
        <v>85</v>
      </c>
      <c r="H97" t="str">
        <f t="shared" si="0"/>
        <v>0,315150PresenningOK7</v>
      </c>
      <c r="I97" t="s">
        <v>117</v>
      </c>
      <c r="J97">
        <f t="shared" si="1"/>
        <v>1</v>
      </c>
    </row>
    <row r="98" spans="1:10" x14ac:dyDescent="0.25">
      <c r="A98">
        <v>35</v>
      </c>
      <c r="B98">
        <v>0.1</v>
      </c>
      <c r="C98">
        <v>15</v>
      </c>
      <c r="D98">
        <v>5</v>
      </c>
      <c r="E98">
        <v>20</v>
      </c>
      <c r="F98">
        <v>50</v>
      </c>
      <c r="G98" t="s">
        <v>85</v>
      </c>
      <c r="H98" t="str">
        <f t="shared" si="0"/>
        <v>0,11552050OK7</v>
      </c>
      <c r="I98" t="s">
        <v>118</v>
      </c>
      <c r="J98">
        <f t="shared" si="1"/>
        <v>1</v>
      </c>
    </row>
    <row r="99" spans="1:10" x14ac:dyDescent="0.25">
      <c r="A99">
        <v>36</v>
      </c>
      <c r="B99">
        <v>0.3</v>
      </c>
      <c r="C99">
        <v>15</v>
      </c>
      <c r="D99">
        <v>15</v>
      </c>
      <c r="E99" t="s">
        <v>9</v>
      </c>
      <c r="F99" t="s">
        <v>9</v>
      </c>
      <c r="G99" t="s">
        <v>85</v>
      </c>
      <c r="H99" t="str">
        <f t="shared" si="0"/>
        <v>0,31515--OK7</v>
      </c>
      <c r="I99" t="s">
        <v>119</v>
      </c>
      <c r="J99">
        <f t="shared" si="1"/>
        <v>1</v>
      </c>
    </row>
    <row r="100" spans="1:10" x14ac:dyDescent="0.25">
      <c r="A100">
        <v>37</v>
      </c>
      <c r="B100">
        <v>0.2</v>
      </c>
      <c r="C100">
        <v>15</v>
      </c>
      <c r="D100">
        <v>10</v>
      </c>
      <c r="E100" t="s">
        <v>9</v>
      </c>
      <c r="F100" t="s">
        <v>9</v>
      </c>
      <c r="G100" t="s">
        <v>85</v>
      </c>
      <c r="H100" t="str">
        <f t="shared" si="0"/>
        <v>0,21510--OK7</v>
      </c>
      <c r="I100" t="s">
        <v>120</v>
      </c>
      <c r="J100">
        <f t="shared" si="1"/>
        <v>1</v>
      </c>
    </row>
    <row r="101" spans="1:10" x14ac:dyDescent="0.25">
      <c r="A101">
        <v>38</v>
      </c>
      <c r="B101">
        <v>0.2</v>
      </c>
      <c r="C101">
        <v>20</v>
      </c>
      <c r="D101">
        <v>5</v>
      </c>
      <c r="E101">
        <v>20</v>
      </c>
      <c r="F101">
        <v>20</v>
      </c>
      <c r="G101" t="s">
        <v>85</v>
      </c>
      <c r="H101" t="str">
        <f t="shared" si="0"/>
        <v>0,22052020OK7</v>
      </c>
      <c r="I101" t="s">
        <v>121</v>
      </c>
      <c r="J101">
        <f t="shared" si="1"/>
        <v>1</v>
      </c>
    </row>
    <row r="102" spans="1:10" x14ac:dyDescent="0.25">
      <c r="A102">
        <v>39</v>
      </c>
      <c r="B102">
        <v>0.1</v>
      </c>
      <c r="C102">
        <v>10</v>
      </c>
      <c r="D102">
        <v>5</v>
      </c>
      <c r="E102">
        <v>20</v>
      </c>
      <c r="F102">
        <v>50</v>
      </c>
      <c r="G102" t="s">
        <v>85</v>
      </c>
      <c r="H102" t="str">
        <f t="shared" si="0"/>
        <v>0,11052050OK7</v>
      </c>
      <c r="I102" t="s">
        <v>122</v>
      </c>
      <c r="J102">
        <f t="shared" si="1"/>
        <v>1</v>
      </c>
    </row>
    <row r="103" spans="1:10" x14ac:dyDescent="0.25">
      <c r="A103">
        <v>40</v>
      </c>
      <c r="B103">
        <v>0.4</v>
      </c>
      <c r="C103">
        <v>15</v>
      </c>
      <c r="D103">
        <v>15</v>
      </c>
      <c r="E103">
        <v>0</v>
      </c>
      <c r="F103" t="s">
        <v>11</v>
      </c>
      <c r="G103" t="s">
        <v>85</v>
      </c>
      <c r="H103" t="str">
        <f t="shared" si="0"/>
        <v>0,415150PresenningOK7</v>
      </c>
      <c r="I103" t="s">
        <v>123</v>
      </c>
      <c r="J103">
        <f t="shared" si="1"/>
        <v>1</v>
      </c>
    </row>
    <row r="104" spans="1:10" x14ac:dyDescent="0.25">
      <c r="A104">
        <v>41</v>
      </c>
      <c r="B104">
        <v>0.3</v>
      </c>
      <c r="C104">
        <v>15</v>
      </c>
      <c r="D104">
        <v>15</v>
      </c>
      <c r="E104">
        <v>0</v>
      </c>
      <c r="F104" t="s">
        <v>9</v>
      </c>
      <c r="G104" t="s">
        <v>85</v>
      </c>
      <c r="H104" t="str">
        <f t="shared" si="0"/>
        <v>0,315150-OK7</v>
      </c>
      <c r="I104" t="s">
        <v>124</v>
      </c>
      <c r="J104">
        <f t="shared" si="1"/>
        <v>1</v>
      </c>
    </row>
    <row r="105" spans="1:10" x14ac:dyDescent="0.25">
      <c r="A105">
        <v>42</v>
      </c>
      <c r="B105">
        <v>0.2</v>
      </c>
      <c r="C105">
        <v>15</v>
      </c>
      <c r="D105">
        <v>10</v>
      </c>
      <c r="E105">
        <v>0</v>
      </c>
      <c r="F105" t="s">
        <v>11</v>
      </c>
      <c r="G105" t="s">
        <v>85</v>
      </c>
      <c r="H105" t="str">
        <f t="shared" si="0"/>
        <v>0,215100PresenningOK7</v>
      </c>
      <c r="I105" t="s">
        <v>125</v>
      </c>
      <c r="J105">
        <f t="shared" si="1"/>
        <v>1</v>
      </c>
    </row>
    <row r="106" spans="1:10" x14ac:dyDescent="0.25">
      <c r="A106">
        <v>43</v>
      </c>
      <c r="B106">
        <v>0.4</v>
      </c>
      <c r="C106">
        <v>20</v>
      </c>
      <c r="D106">
        <v>5</v>
      </c>
      <c r="E106">
        <v>0</v>
      </c>
      <c r="F106">
        <v>50</v>
      </c>
      <c r="G106" t="s">
        <v>85</v>
      </c>
      <c r="H106" t="str">
        <f t="shared" si="0"/>
        <v>0,4205050OK7</v>
      </c>
      <c r="I106" t="s">
        <v>126</v>
      </c>
      <c r="J106">
        <f t="shared" si="1"/>
        <v>1</v>
      </c>
    </row>
    <row r="107" spans="1:10" x14ac:dyDescent="0.25">
      <c r="A107">
        <v>44</v>
      </c>
      <c r="B107">
        <v>0.1</v>
      </c>
      <c r="C107">
        <v>15</v>
      </c>
      <c r="D107">
        <v>5</v>
      </c>
      <c r="E107">
        <v>20</v>
      </c>
      <c r="F107">
        <v>30</v>
      </c>
      <c r="G107" t="s">
        <v>85</v>
      </c>
      <c r="H107" t="str">
        <f t="shared" si="0"/>
        <v>0,11552030OK7</v>
      </c>
      <c r="I107" t="s">
        <v>127</v>
      </c>
      <c r="J107">
        <f t="shared" si="1"/>
        <v>1</v>
      </c>
    </row>
    <row r="108" spans="1:10" x14ac:dyDescent="0.25">
      <c r="A108">
        <v>45</v>
      </c>
      <c r="B108" t="s">
        <v>83</v>
      </c>
      <c r="C108">
        <v>10</v>
      </c>
      <c r="D108">
        <v>5</v>
      </c>
      <c r="E108">
        <v>20</v>
      </c>
      <c r="F108">
        <v>50</v>
      </c>
      <c r="G108" t="s">
        <v>85</v>
      </c>
      <c r="H108" t="str">
        <f t="shared" si="0"/>
        <v>Bas+0%1052050OK7</v>
      </c>
      <c r="I108" t="s">
        <v>128</v>
      </c>
      <c r="J108">
        <f t="shared" si="1"/>
        <v>1</v>
      </c>
    </row>
  </sheetData>
  <phoneticPr fontId="3" type="noConversion"/>
  <dataValidations count="4">
    <dataValidation type="list" allowBlank="1" showInputMessage="1" showErrorMessage="1" sqref="C2:C46" xr:uid="{17E13913-F335-496B-B2BA-16112119B815}">
      <formula1>"10,15,20,25,-"</formula1>
    </dataValidation>
    <dataValidation type="list" allowBlank="1" showInputMessage="1" showErrorMessage="1" sqref="D2:D46" xr:uid="{B9779B60-0F9E-4898-AFD4-704DCEA47B05}">
      <formula1>"5,10,15,20,-"</formula1>
    </dataValidation>
    <dataValidation type="list" allowBlank="1" showInputMessage="1" showErrorMessage="1" sqref="E2:E46" xr:uid="{540FD120-1526-4F5A-ACAF-2A894C5105C1}">
      <formula1>"0,5,10,15,20,-"</formula1>
    </dataValidation>
    <dataValidation type="list" allowBlank="1" showInputMessage="1" showErrorMessage="1" sqref="F2:F46" xr:uid="{C0A791BA-07B7-46A8-8C12-EAEA8BF1B078}">
      <formula1>"0,Presenning,10,20,30,50,100,-"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1589423-A127-4D6C-A300-B39A4647BF39}">
          <x14:formula1>
            <xm:f>Förutsättningar!$G$2:$G$4</xm:f>
          </x14:formula1>
          <xm:sqref>G2:G46</xm:sqref>
        </x14:dataValidation>
        <x14:dataValidation type="list" allowBlank="1" showInputMessage="1" showErrorMessage="1" xr:uid="{F363F602-EC61-477D-9710-D42E73C53D53}">
          <x14:formula1>
            <xm:f>Förutsättningar!$H$2</xm:f>
          </x14:formula1>
          <xm:sqref>H2:H46</xm:sqref>
        </x14:dataValidation>
        <x14:dataValidation type="list" allowBlank="1" showInputMessage="1" showErrorMessage="1" xr:uid="{D0D63FD0-0223-4363-8FB6-82A0E437943D}">
          <x14:formula1>
            <xm:f>Förutsättningar!$I$2:$I$7</xm:f>
          </x14:formula1>
          <xm:sqref>B2:B46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53D2-7EF9-4EED-ADCE-DED938AD7E2D}">
  <sheetPr codeName="Sheet6"/>
  <dimension ref="A1:S26"/>
  <sheetViews>
    <sheetView workbookViewId="0">
      <selection activeCell="E17" sqref="E17"/>
    </sheetView>
  </sheetViews>
  <sheetFormatPr defaultRowHeight="15" x14ac:dyDescent="0.25"/>
  <cols>
    <col min="1" max="1" width="16.140625" customWidth="1"/>
    <col min="2" max="2" width="20.140625" customWidth="1"/>
    <col min="3" max="3" width="28.5703125" customWidth="1"/>
    <col min="4" max="5" width="22.28515625" customWidth="1"/>
    <col min="6" max="6" width="15.28515625" customWidth="1"/>
    <col min="7" max="7" width="15.140625" customWidth="1"/>
    <col min="8" max="8" width="29.140625" customWidth="1"/>
    <col min="9" max="9" width="22" bestFit="1" customWidth="1"/>
    <col min="10" max="10" width="22.28515625" customWidth="1"/>
    <col min="11" max="11" width="24.5703125" customWidth="1"/>
    <col min="12" max="12" width="21" customWidth="1"/>
    <col min="13" max="13" width="31.140625" customWidth="1"/>
    <col min="14" max="14" width="19.7109375" customWidth="1"/>
    <col min="17" max="17" width="18.7109375" bestFit="1" customWidth="1"/>
    <col min="18" max="18" width="23" bestFit="1" customWidth="1"/>
    <col min="19" max="21" width="12.5703125" customWidth="1"/>
  </cols>
  <sheetData>
    <row r="1" spans="1:19" ht="15.75" thickBot="1" x14ac:dyDescent="0.3">
      <c r="A1" s="96" t="s">
        <v>23</v>
      </c>
      <c r="B1" s="97" t="s">
        <v>0</v>
      </c>
      <c r="C1" t="s">
        <v>1</v>
      </c>
      <c r="D1" t="s">
        <v>2</v>
      </c>
      <c r="E1" t="s">
        <v>3</v>
      </c>
      <c r="F1" t="s">
        <v>84</v>
      </c>
      <c r="G1" t="s">
        <v>36</v>
      </c>
      <c r="H1" t="s">
        <v>37</v>
      </c>
      <c r="I1" t="s">
        <v>51</v>
      </c>
      <c r="J1" t="s">
        <v>65</v>
      </c>
    </row>
    <row r="2" spans="1:19" x14ac:dyDescent="0.25">
      <c r="A2" s="82" t="s">
        <v>9</v>
      </c>
      <c r="B2" t="s">
        <v>9</v>
      </c>
      <c r="C2" t="s">
        <v>143</v>
      </c>
      <c r="D2" t="s">
        <v>58</v>
      </c>
      <c r="E2">
        <v>0</v>
      </c>
      <c r="F2" t="s">
        <v>85</v>
      </c>
      <c r="G2" t="s">
        <v>10</v>
      </c>
      <c r="H2" t="s">
        <v>16</v>
      </c>
      <c r="I2" s="104">
        <v>0.1</v>
      </c>
      <c r="J2" s="104" t="s">
        <v>12</v>
      </c>
      <c r="K2" s="104"/>
    </row>
    <row r="3" spans="1:19" x14ac:dyDescent="0.25">
      <c r="A3" s="98" t="s">
        <v>8</v>
      </c>
      <c r="B3" s="99" t="s">
        <v>144</v>
      </c>
      <c r="C3" t="s">
        <v>144</v>
      </c>
      <c r="D3" t="s">
        <v>148</v>
      </c>
      <c r="E3" t="s">
        <v>11</v>
      </c>
      <c r="G3" s="104" t="s">
        <v>12</v>
      </c>
      <c r="I3" s="103">
        <v>0.2</v>
      </c>
      <c r="J3" s="103" t="s">
        <v>18</v>
      </c>
      <c r="K3" s="103"/>
      <c r="R3" s="81" t="s">
        <v>38</v>
      </c>
      <c r="S3" s="86" t="s">
        <v>39</v>
      </c>
    </row>
    <row r="4" spans="1:19" x14ac:dyDescent="0.25">
      <c r="A4" s="98" t="s">
        <v>17</v>
      </c>
      <c r="B4" s="99" t="s">
        <v>145</v>
      </c>
      <c r="C4" t="s">
        <v>145</v>
      </c>
      <c r="D4" t="s">
        <v>9</v>
      </c>
      <c r="E4" t="s">
        <v>149</v>
      </c>
      <c r="G4" s="103" t="s">
        <v>18</v>
      </c>
      <c r="I4" s="103">
        <v>0.3</v>
      </c>
      <c r="J4" s="103" t="s">
        <v>82</v>
      </c>
      <c r="K4">
        <v>1</v>
      </c>
      <c r="L4" t="s">
        <v>58</v>
      </c>
      <c r="M4" t="s">
        <v>53</v>
      </c>
      <c r="N4" t="s">
        <v>53</v>
      </c>
      <c r="O4" t="s">
        <v>23</v>
      </c>
      <c r="P4" t="s">
        <v>45</v>
      </c>
      <c r="R4" s="80" t="s">
        <v>40</v>
      </c>
      <c r="S4" s="79" t="s">
        <v>41</v>
      </c>
    </row>
    <row r="5" spans="1:19" ht="30" x14ac:dyDescent="0.25">
      <c r="A5" s="98" t="s">
        <v>13</v>
      </c>
      <c r="B5" s="99" t="s">
        <v>146</v>
      </c>
      <c r="C5" t="s">
        <v>146</v>
      </c>
      <c r="D5" s="1" t="s">
        <v>75</v>
      </c>
      <c r="E5" t="s">
        <v>150</v>
      </c>
      <c r="I5" s="103">
        <v>0.4</v>
      </c>
      <c r="J5" s="103"/>
      <c r="K5">
        <v>2</v>
      </c>
      <c r="L5" t="s">
        <v>54</v>
      </c>
      <c r="N5" t="s">
        <v>55</v>
      </c>
      <c r="O5" t="s">
        <v>8</v>
      </c>
      <c r="P5" t="s">
        <v>59</v>
      </c>
      <c r="R5" s="80" t="s">
        <v>42</v>
      </c>
      <c r="S5" s="79" t="s">
        <v>43</v>
      </c>
    </row>
    <row r="6" spans="1:19" x14ac:dyDescent="0.25">
      <c r="A6" s="98" t="s">
        <v>44</v>
      </c>
      <c r="B6" s="99" t="s">
        <v>147</v>
      </c>
      <c r="C6" t="s">
        <v>9</v>
      </c>
      <c r="E6" t="s">
        <v>151</v>
      </c>
      <c r="I6" t="s">
        <v>83</v>
      </c>
      <c r="K6">
        <v>3</v>
      </c>
      <c r="L6" t="s">
        <v>56</v>
      </c>
      <c r="M6" t="s">
        <v>63</v>
      </c>
      <c r="N6" t="s">
        <v>55</v>
      </c>
      <c r="O6" t="s">
        <v>17</v>
      </c>
      <c r="P6">
        <v>21</v>
      </c>
      <c r="R6" s="80" t="s">
        <v>73</v>
      </c>
      <c r="S6" s="79" t="s">
        <v>74</v>
      </c>
    </row>
    <row r="7" spans="1:19" x14ac:dyDescent="0.25">
      <c r="A7" s="98" t="s">
        <v>47</v>
      </c>
      <c r="B7" s="99"/>
      <c r="E7" t="s">
        <v>41</v>
      </c>
      <c r="I7" t="s">
        <v>9</v>
      </c>
      <c r="K7">
        <v>4</v>
      </c>
      <c r="L7" t="s">
        <v>64</v>
      </c>
      <c r="M7" t="s">
        <v>55</v>
      </c>
      <c r="N7" t="s">
        <v>55</v>
      </c>
      <c r="O7" t="s">
        <v>13</v>
      </c>
      <c r="P7" t="s">
        <v>60</v>
      </c>
      <c r="R7" s="80" t="s">
        <v>45</v>
      </c>
      <c r="S7" s="79" t="s">
        <v>46</v>
      </c>
    </row>
    <row r="8" spans="1:19" x14ac:dyDescent="0.25">
      <c r="A8" s="98" t="s">
        <v>14</v>
      </c>
      <c r="B8" s="99"/>
      <c r="E8" t="s">
        <v>152</v>
      </c>
      <c r="K8">
        <v>5</v>
      </c>
      <c r="L8" t="s">
        <v>57</v>
      </c>
      <c r="N8" t="s">
        <v>55</v>
      </c>
      <c r="O8" t="s">
        <v>44</v>
      </c>
      <c r="P8" t="s">
        <v>61</v>
      </c>
      <c r="R8" s="80" t="s">
        <v>48</v>
      </c>
      <c r="S8" s="79"/>
    </row>
    <row r="9" spans="1:19" x14ac:dyDescent="0.25">
      <c r="A9" s="98" t="s">
        <v>15</v>
      </c>
      <c r="E9" t="s">
        <v>9</v>
      </c>
      <c r="O9" t="s">
        <v>47</v>
      </c>
      <c r="P9">
        <v>28</v>
      </c>
      <c r="R9" s="85" t="s">
        <v>49</v>
      </c>
      <c r="S9" s="87" t="s">
        <v>50</v>
      </c>
    </row>
    <row r="10" spans="1:19" ht="45" x14ac:dyDescent="0.25">
      <c r="A10" s="138"/>
      <c r="E10" s="1" t="s">
        <v>76</v>
      </c>
      <c r="F10" s="1"/>
      <c r="O10" t="s">
        <v>14</v>
      </c>
      <c r="P10" t="s">
        <v>62</v>
      </c>
    </row>
    <row r="11" spans="1:19" x14ac:dyDescent="0.25">
      <c r="N11" t="s">
        <v>15</v>
      </c>
      <c r="O11">
        <v>35</v>
      </c>
    </row>
    <row r="17" spans="10:14" x14ac:dyDescent="0.25">
      <c r="J17" s="81" t="s">
        <v>32</v>
      </c>
      <c r="K17" s="82" t="s">
        <v>33</v>
      </c>
      <c r="L17" s="83" t="s">
        <v>34</v>
      </c>
      <c r="M17" s="84" t="s">
        <v>0</v>
      </c>
      <c r="N17" s="16" t="s">
        <v>35</v>
      </c>
    </row>
    <row r="18" spans="10:14" x14ac:dyDescent="0.25">
      <c r="J18" s="78">
        <v>20</v>
      </c>
      <c r="K18" s="92">
        <v>0</v>
      </c>
      <c r="L18" s="110">
        <f t="shared" ref="L18:L26" si="0">K18+J18</f>
        <v>20</v>
      </c>
      <c r="M18" s="112">
        <v>15</v>
      </c>
      <c r="N18" s="114">
        <v>20</v>
      </c>
    </row>
    <row r="19" spans="10:14" x14ac:dyDescent="0.25">
      <c r="J19" s="78">
        <v>15</v>
      </c>
      <c r="K19" s="92">
        <v>0</v>
      </c>
      <c r="L19" s="110">
        <f t="shared" si="0"/>
        <v>15</v>
      </c>
      <c r="M19" s="112">
        <v>15</v>
      </c>
      <c r="N19" s="114">
        <v>15</v>
      </c>
    </row>
    <row r="20" spans="10:14" x14ac:dyDescent="0.25">
      <c r="J20" s="78">
        <v>10</v>
      </c>
      <c r="K20" s="92">
        <v>10</v>
      </c>
      <c r="L20" s="110">
        <f t="shared" si="0"/>
        <v>20</v>
      </c>
      <c r="M20" s="112">
        <v>15</v>
      </c>
      <c r="N20" s="114">
        <v>10</v>
      </c>
    </row>
    <row r="21" spans="10:14" x14ac:dyDescent="0.25">
      <c r="J21" s="78">
        <v>5</v>
      </c>
      <c r="K21" s="92">
        <v>15</v>
      </c>
      <c r="L21" s="110">
        <f t="shared" si="0"/>
        <v>20</v>
      </c>
      <c r="M21" s="112">
        <v>20</v>
      </c>
      <c r="N21" s="114">
        <v>5</v>
      </c>
    </row>
    <row r="22" spans="10:14" x14ac:dyDescent="0.25">
      <c r="J22" s="78">
        <v>0</v>
      </c>
      <c r="K22" s="92">
        <v>20</v>
      </c>
      <c r="L22" s="110">
        <f t="shared" si="0"/>
        <v>20</v>
      </c>
      <c r="M22" s="112">
        <v>20</v>
      </c>
      <c r="N22" s="114">
        <v>5</v>
      </c>
    </row>
    <row r="23" spans="10:14" x14ac:dyDescent="0.25">
      <c r="J23" s="78">
        <v>-5</v>
      </c>
      <c r="K23" s="92">
        <v>20</v>
      </c>
      <c r="L23" s="110">
        <f t="shared" si="0"/>
        <v>15</v>
      </c>
      <c r="M23" s="112">
        <v>20</v>
      </c>
      <c r="N23" s="114">
        <v>5</v>
      </c>
    </row>
    <row r="24" spans="10:14" x14ac:dyDescent="0.25">
      <c r="J24" s="78">
        <v>-10</v>
      </c>
      <c r="K24" s="92">
        <v>20</v>
      </c>
      <c r="L24" s="110">
        <f t="shared" si="0"/>
        <v>10</v>
      </c>
      <c r="M24" s="112">
        <v>20</v>
      </c>
      <c r="N24" s="114">
        <v>5</v>
      </c>
    </row>
    <row r="25" spans="10:14" x14ac:dyDescent="0.25">
      <c r="J25" s="78">
        <v>-15</v>
      </c>
      <c r="K25" s="92">
        <v>20</v>
      </c>
      <c r="L25" s="110">
        <f t="shared" si="0"/>
        <v>5</v>
      </c>
      <c r="M25" s="112">
        <v>15</v>
      </c>
      <c r="N25" s="114">
        <v>5</v>
      </c>
    </row>
    <row r="26" spans="10:14" x14ac:dyDescent="0.25">
      <c r="J26" s="90">
        <v>-20</v>
      </c>
      <c r="K26" s="94">
        <v>20</v>
      </c>
      <c r="L26" s="111">
        <f t="shared" si="0"/>
        <v>0</v>
      </c>
      <c r="M26" s="113">
        <v>10</v>
      </c>
      <c r="N26" s="114">
        <v>5</v>
      </c>
    </row>
  </sheetData>
  <pageMargins left="0.7" right="0.7" top="0.75" bottom="0.75" header="0.3" footer="0.3"/>
  <pageSetup paperSize="9" orientation="portrait" horizontalDpi="300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800367-2c34-4d12-acc1-86a7242367eb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E79A143C9F2C74AAD242243980CE1B5" ma:contentTypeVersion="11" ma:contentTypeDescription="Skapa ett nytt dokument." ma:contentTypeScope="" ma:versionID="1ee207cd575e33b9d7fea9f6bff6ddd4">
  <xsd:schema xmlns:xsd="http://www.w3.org/2001/XMLSchema" xmlns:xs="http://www.w3.org/2001/XMLSchema" xmlns:p="http://schemas.microsoft.com/office/2006/metadata/properties" xmlns:ns3="1e800367-2c34-4d12-acc1-86a7242367eb" xmlns:ns4="07b9f31b-60f6-4aad-8cdf-b09de99c40f0" targetNamespace="http://schemas.microsoft.com/office/2006/metadata/properties" ma:root="true" ma:fieldsID="e42f79f7ee4ae68e4e16498ec8499a6a" ns3:_="" ns4:_="">
    <xsd:import namespace="1e800367-2c34-4d12-acc1-86a7242367eb"/>
    <xsd:import namespace="07b9f31b-60f6-4aad-8cdf-b09de99c40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00367-2c34-4d12-acc1-86a7242367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9f31b-60f6-4aad-8cdf-b09de99c4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Delar tips,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AA580D-6ACC-4B8F-873B-22BA6ACC56E7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07b9f31b-60f6-4aad-8cdf-b09de99c40f0"/>
    <ds:schemaRef ds:uri="http://schemas.microsoft.com/office/infopath/2007/PartnerControls"/>
    <ds:schemaRef ds:uri="http://schemas.openxmlformats.org/package/2006/metadata/core-properties"/>
    <ds:schemaRef ds:uri="1e800367-2c34-4d12-acc1-86a7242367e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F9B9517-FD18-42CD-AB9A-43245484BC6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6358045-51DD-45AF-9AB3-C98E8BE32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800367-2c34-4d12-acc1-86a7242367eb"/>
    <ds:schemaRef ds:uri="07b9f31b-60f6-4aad-8cdf-b09de99c4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842B396-40D5-42B2-A081-0937C7F84EB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Bjälklag (C20-25)</vt:lpstr>
      <vt:lpstr>Bjälklag (C25-30)</vt:lpstr>
      <vt:lpstr>Bjälklag (C28-35)</vt:lpstr>
      <vt:lpstr>Bjälklag (C30-37)</vt:lpstr>
      <vt:lpstr>Bjälklag (C32-40)</vt:lpstr>
      <vt:lpstr>Bjälklag (C35-45)</vt:lpstr>
      <vt:lpstr>Bjälklag (C40-50)</vt:lpstr>
      <vt:lpstr>Data till Lathund, Kådgenererin</vt:lpstr>
      <vt:lpstr>Lathund</vt:lpstr>
      <vt:lpstr>Data till lathund Åtgärder</vt:lpstr>
      <vt:lpstr>Förutsättningar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Jonatan Jerström</dc:creator>
  <cp:keywords/>
  <dc:description/>
  <cp:lastModifiedBy>Jonatan Jerström</cp:lastModifiedBy>
  <cp:revision/>
  <cp:lastPrinted>2026-04-23T07:52:32Z</cp:lastPrinted>
  <dcterms:created xsi:type="dcterms:W3CDTF">2026-04-13T11:50:47Z</dcterms:created>
  <dcterms:modified xsi:type="dcterms:W3CDTF">2026-05-07T19:26:37Z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0x010100FE79A143C9F2C74AAD242243980CE1B5</vt:lpwstr>
  </property>
</Properties>
</file>