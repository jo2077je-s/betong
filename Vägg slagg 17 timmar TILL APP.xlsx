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ola\Exjobb\Parameterstudie\Bas\"/>
    </mc:Choice>
  </mc:AlternateContent>
  <xr:revisionPtr revIDLastSave="0" documentId="8_{FC86DFB8-33AF-43F4-9AE3-FF75A550B9B6}" xr6:coauthVersionLast="47" xr6:coauthVersionMax="47" xr10:uidLastSave="{00000000-0000-0000-0000-000000000000}"/>
  <bookViews>
    <workbookView xWindow="28680" yWindow="-120" windowWidth="29040" windowHeight="15840" tabRatio="774" xr2:uid="{3000DFAE-FC4D-4193-A0F9-3BF5B0CC613D}"/>
  </bookViews>
  <sheets>
    <sheet name="Bjälklag (Bas+0% slagg)" sheetId="11" r:id="rId1"/>
    <sheet name="Bjälklag (10% slagg)" sheetId="1" r:id="rId2"/>
    <sheet name="Bjälklag (20% slagg)" sheetId="2" r:id="rId3"/>
    <sheet name="Bjälklag (30% slagg)" sheetId="3" r:id="rId4"/>
    <sheet name="Bjälklag (40% slagg)" sheetId="4" r:id="rId5"/>
    <sheet name="Data till Lathund, Kådgenererin" sheetId="5" r:id="rId6"/>
    <sheet name="Data till lathund Åtgärder" sheetId="6" r:id="rId7"/>
    <sheet name="Lathund" sheetId="7" r:id="rId8"/>
    <sheet name="Förutsättningar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1" l="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L26" i="10"/>
  <c r="L25" i="10"/>
  <c r="L24" i="10"/>
  <c r="L23" i="10"/>
  <c r="L22" i="10"/>
  <c r="L21" i="10"/>
  <c r="L20" i="10"/>
  <c r="L19" i="10"/>
  <c r="L18" i="10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H52" i="7" l="1"/>
  <c r="I52" i="7"/>
  <c r="J52" i="7"/>
  <c r="K52" i="7"/>
  <c r="L52" i="7"/>
  <c r="M52" i="7"/>
  <c r="N52" i="7"/>
  <c r="O52" i="7"/>
  <c r="H53" i="7"/>
  <c r="I53" i="7"/>
  <c r="J53" i="7"/>
  <c r="K53" i="7"/>
  <c r="L53" i="7"/>
  <c r="M53" i="7"/>
  <c r="N53" i="7"/>
  <c r="O53" i="7"/>
  <c r="H54" i="7"/>
  <c r="I54" i="7"/>
  <c r="J54" i="7"/>
  <c r="K54" i="7"/>
  <c r="L54" i="7"/>
  <c r="M54" i="7"/>
  <c r="N54" i="7"/>
  <c r="O54" i="7"/>
  <c r="H55" i="7"/>
  <c r="I55" i="7"/>
  <c r="J55" i="7"/>
  <c r="K55" i="7"/>
  <c r="L55" i="7"/>
  <c r="M55" i="7"/>
  <c r="N55" i="7"/>
  <c r="O55" i="7"/>
  <c r="H56" i="7"/>
  <c r="I56" i="7"/>
  <c r="J56" i="7"/>
  <c r="K56" i="7"/>
  <c r="L56" i="7"/>
  <c r="M56" i="7"/>
  <c r="N56" i="7"/>
  <c r="O56" i="7"/>
  <c r="H57" i="7"/>
  <c r="I57" i="7"/>
  <c r="J57" i="7"/>
  <c r="K57" i="7"/>
  <c r="L57" i="7"/>
  <c r="M57" i="7"/>
  <c r="N57" i="7"/>
  <c r="O57" i="7"/>
  <c r="H58" i="7"/>
  <c r="I58" i="7"/>
  <c r="J58" i="7"/>
  <c r="K58" i="7"/>
  <c r="L58" i="7"/>
  <c r="M58" i="7"/>
  <c r="N58" i="7"/>
  <c r="O58" i="7"/>
  <c r="H59" i="7"/>
  <c r="I59" i="7"/>
  <c r="J59" i="7"/>
  <c r="K59" i="7"/>
  <c r="L59" i="7"/>
  <c r="M59" i="7"/>
  <c r="N59" i="7"/>
  <c r="O59" i="7"/>
  <c r="H60" i="7"/>
  <c r="I60" i="7"/>
  <c r="J60" i="7"/>
  <c r="K60" i="7"/>
  <c r="L60" i="7"/>
  <c r="M60" i="7"/>
  <c r="N60" i="7"/>
  <c r="O60" i="7"/>
  <c r="H61" i="7"/>
  <c r="I61" i="7"/>
  <c r="J61" i="7"/>
  <c r="K61" i="7"/>
  <c r="L61" i="7"/>
  <c r="M61" i="7"/>
  <c r="N61" i="7"/>
  <c r="O61" i="7"/>
  <c r="H62" i="7"/>
  <c r="I62" i="7"/>
  <c r="J62" i="7"/>
  <c r="K62" i="7"/>
  <c r="L62" i="7"/>
  <c r="M62" i="7"/>
  <c r="N62" i="7"/>
  <c r="O62" i="7"/>
  <c r="H63" i="7"/>
  <c r="I63" i="7"/>
  <c r="J63" i="7"/>
  <c r="K63" i="7"/>
  <c r="L63" i="7"/>
  <c r="M63" i="7"/>
  <c r="N63" i="7"/>
  <c r="O63" i="7"/>
  <c r="H64" i="7"/>
  <c r="I64" i="7"/>
  <c r="J64" i="7"/>
  <c r="K64" i="7"/>
  <c r="L64" i="7"/>
  <c r="M64" i="7"/>
  <c r="N64" i="7"/>
  <c r="O64" i="7"/>
  <c r="H65" i="7"/>
  <c r="I65" i="7"/>
  <c r="J65" i="7"/>
  <c r="K65" i="7"/>
  <c r="L65" i="7"/>
  <c r="M65" i="7"/>
  <c r="N65" i="7"/>
  <c r="O65" i="7"/>
  <c r="H66" i="7"/>
  <c r="I66" i="7"/>
  <c r="J66" i="7"/>
  <c r="K66" i="7"/>
  <c r="L66" i="7"/>
  <c r="M66" i="7"/>
  <c r="N66" i="7"/>
  <c r="O66" i="7"/>
  <c r="H67" i="7"/>
  <c r="I67" i="7"/>
  <c r="J67" i="7"/>
  <c r="K67" i="7"/>
  <c r="L67" i="7"/>
  <c r="M67" i="7"/>
  <c r="N67" i="7"/>
  <c r="O67" i="7"/>
  <c r="H68" i="7"/>
  <c r="I68" i="7"/>
  <c r="J68" i="7"/>
  <c r="K68" i="7"/>
  <c r="L68" i="7"/>
  <c r="M68" i="7"/>
  <c r="N68" i="7"/>
  <c r="O68" i="7"/>
  <c r="H69" i="7"/>
  <c r="I69" i="7"/>
  <c r="J69" i="7"/>
  <c r="K69" i="7"/>
  <c r="L69" i="7"/>
  <c r="M69" i="7"/>
  <c r="N69" i="7"/>
  <c r="O69" i="7"/>
  <c r="H70" i="7"/>
  <c r="I70" i="7"/>
  <c r="J70" i="7"/>
  <c r="K70" i="7"/>
  <c r="L70" i="7"/>
  <c r="M70" i="7"/>
  <c r="N70" i="7"/>
  <c r="O70" i="7"/>
  <c r="H71" i="7"/>
  <c r="I71" i="7"/>
  <c r="J71" i="7"/>
  <c r="K71" i="7"/>
  <c r="L71" i="7"/>
  <c r="M71" i="7"/>
  <c r="N71" i="7"/>
  <c r="O71" i="7"/>
  <c r="H72" i="7"/>
  <c r="I72" i="7"/>
  <c r="J72" i="7"/>
  <c r="K72" i="7"/>
  <c r="L72" i="7"/>
  <c r="M72" i="7"/>
  <c r="N72" i="7"/>
  <c r="O72" i="7"/>
  <c r="H73" i="7"/>
  <c r="I73" i="7"/>
  <c r="J73" i="7"/>
  <c r="K73" i="7"/>
  <c r="L73" i="7"/>
  <c r="M73" i="7"/>
  <c r="N73" i="7"/>
  <c r="O73" i="7"/>
  <c r="H74" i="7"/>
  <c r="I74" i="7"/>
  <c r="J74" i="7"/>
  <c r="K74" i="7"/>
  <c r="L74" i="7"/>
  <c r="M74" i="7"/>
  <c r="N74" i="7"/>
  <c r="O74" i="7"/>
  <c r="H75" i="7"/>
  <c r="I75" i="7"/>
  <c r="J75" i="7"/>
  <c r="K75" i="7"/>
  <c r="L75" i="7"/>
  <c r="M75" i="7"/>
  <c r="N75" i="7"/>
  <c r="O75" i="7"/>
  <c r="H76" i="7"/>
  <c r="I76" i="7"/>
  <c r="J76" i="7"/>
  <c r="K76" i="7"/>
  <c r="L76" i="7"/>
  <c r="M76" i="7"/>
  <c r="N76" i="7"/>
  <c r="O76" i="7"/>
  <c r="H77" i="7"/>
  <c r="I77" i="7"/>
  <c r="J77" i="7"/>
  <c r="K77" i="7"/>
  <c r="L77" i="7"/>
  <c r="M77" i="7"/>
  <c r="N77" i="7"/>
  <c r="O77" i="7"/>
  <c r="H78" i="7"/>
  <c r="I78" i="7"/>
  <c r="J78" i="7"/>
  <c r="K78" i="7"/>
  <c r="L78" i="7"/>
  <c r="M78" i="7"/>
  <c r="N78" i="7"/>
  <c r="O78" i="7"/>
  <c r="H79" i="7"/>
  <c r="I79" i="7"/>
  <c r="J79" i="7"/>
  <c r="K79" i="7"/>
  <c r="L79" i="7"/>
  <c r="M79" i="7"/>
  <c r="N79" i="7"/>
  <c r="O79" i="7"/>
  <c r="H80" i="7"/>
  <c r="I80" i="7"/>
  <c r="J80" i="7"/>
  <c r="K80" i="7"/>
  <c r="L80" i="7"/>
  <c r="M80" i="7"/>
  <c r="N80" i="7"/>
  <c r="O80" i="7"/>
  <c r="H81" i="7"/>
  <c r="I81" i="7"/>
  <c r="J81" i="7"/>
  <c r="K81" i="7"/>
  <c r="L81" i="7"/>
  <c r="M81" i="7"/>
  <c r="N81" i="7"/>
  <c r="O81" i="7"/>
  <c r="H82" i="7"/>
  <c r="I82" i="7"/>
  <c r="J82" i="7"/>
  <c r="K82" i="7"/>
  <c r="L82" i="7"/>
  <c r="M82" i="7"/>
  <c r="N82" i="7"/>
  <c r="O82" i="7"/>
  <c r="H83" i="7"/>
  <c r="I83" i="7"/>
  <c r="J83" i="7"/>
  <c r="K83" i="7"/>
  <c r="L83" i="7"/>
  <c r="M83" i="7"/>
  <c r="N83" i="7"/>
  <c r="O83" i="7"/>
  <c r="H84" i="7"/>
  <c r="I84" i="7"/>
  <c r="J84" i="7"/>
  <c r="K84" i="7"/>
  <c r="L84" i="7"/>
  <c r="M84" i="7"/>
  <c r="N84" i="7"/>
  <c r="O84" i="7"/>
  <c r="H85" i="7"/>
  <c r="I85" i="7"/>
  <c r="J85" i="7"/>
  <c r="K85" i="7"/>
  <c r="L85" i="7"/>
  <c r="M85" i="7"/>
  <c r="N85" i="7"/>
  <c r="O85" i="7"/>
  <c r="H86" i="7"/>
  <c r="I86" i="7"/>
  <c r="J86" i="7"/>
  <c r="K86" i="7"/>
  <c r="L86" i="7"/>
  <c r="M86" i="7"/>
  <c r="N86" i="7"/>
  <c r="O86" i="7"/>
  <c r="H87" i="7"/>
  <c r="I87" i="7"/>
  <c r="J87" i="7"/>
  <c r="K87" i="7"/>
  <c r="L87" i="7"/>
  <c r="M87" i="7"/>
  <c r="N87" i="7"/>
  <c r="O87" i="7"/>
  <c r="O51" i="7"/>
  <c r="N51" i="7"/>
  <c r="M51" i="7"/>
  <c r="L51" i="7"/>
  <c r="K51" i="7"/>
  <c r="J51" i="7"/>
  <c r="I51" i="7"/>
  <c r="H51" i="7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I24" i="6"/>
  <c r="K24" i="5" s="1"/>
  <c r="I28" i="6"/>
  <c r="K28" i="5" s="1"/>
  <c r="I6" i="6"/>
  <c r="K6" i="5" s="1"/>
  <c r="I12" i="6"/>
  <c r="K12" i="5" s="1"/>
  <c r="I26" i="6"/>
  <c r="K26" i="5" s="1"/>
  <c r="I30" i="6"/>
  <c r="K30" i="5" s="1"/>
  <c r="I31" i="6"/>
  <c r="K31" i="5" s="1"/>
  <c r="I14" i="6"/>
  <c r="K14" i="5" s="1"/>
  <c r="I36" i="6"/>
  <c r="K36" i="5" s="1"/>
  <c r="I13" i="6"/>
  <c r="K13" i="5" s="1"/>
  <c r="I18" i="6"/>
  <c r="K18" i="5" s="1"/>
  <c r="I20" i="6"/>
  <c r="K20" i="5" s="1"/>
  <c r="I35" i="6"/>
  <c r="K35" i="5" s="1"/>
  <c r="I33" i="6"/>
  <c r="K33" i="5" s="1"/>
  <c r="J24" i="6"/>
  <c r="L24" i="5" s="1"/>
  <c r="J28" i="6"/>
  <c r="L28" i="5" s="1"/>
  <c r="J6" i="6"/>
  <c r="L6" i="5" s="1"/>
  <c r="J12" i="6"/>
  <c r="L12" i="5" s="1"/>
  <c r="J26" i="6"/>
  <c r="L26" i="5" s="1"/>
  <c r="J30" i="6"/>
  <c r="L30" i="5" s="1"/>
  <c r="J31" i="6"/>
  <c r="L31" i="5" s="1"/>
  <c r="J14" i="6"/>
  <c r="L14" i="5" s="1"/>
  <c r="J36" i="6"/>
  <c r="L36" i="5" s="1"/>
  <c r="J13" i="6"/>
  <c r="L13" i="5" s="1"/>
  <c r="J18" i="6"/>
  <c r="L18" i="5" s="1"/>
  <c r="J20" i="6"/>
  <c r="L20" i="5" s="1"/>
  <c r="J35" i="6"/>
  <c r="L35" i="5" s="1"/>
  <c r="J33" i="6"/>
  <c r="L33" i="5" s="1"/>
  <c r="K39" i="5" l="1"/>
  <c r="K191" i="5" l="1"/>
  <c r="F19" i="5"/>
  <c r="K195" i="5"/>
  <c r="F23" i="5"/>
  <c r="F27" i="5"/>
  <c r="K199" i="5"/>
  <c r="K203" i="5"/>
  <c r="F31" i="5"/>
  <c r="F18" i="5"/>
  <c r="K190" i="5"/>
  <c r="K194" i="5"/>
  <c r="F22" i="5"/>
  <c r="F26" i="5"/>
  <c r="K198" i="5"/>
  <c r="K202" i="5"/>
  <c r="F30" i="5"/>
  <c r="F20" i="5"/>
  <c r="K192" i="5"/>
  <c r="F24" i="5"/>
  <c r="K196" i="5"/>
  <c r="K200" i="5"/>
  <c r="F28" i="5"/>
  <c r="K201" i="5"/>
  <c r="F29" i="5"/>
  <c r="K193" i="5"/>
  <c r="F21" i="5"/>
  <c r="K208" i="5"/>
  <c r="F36" i="5"/>
  <c r="F43" i="5"/>
  <c r="K215" i="5"/>
  <c r="F35" i="5"/>
  <c r="K207" i="5"/>
  <c r="K197" i="5"/>
  <c r="F25" i="5"/>
  <c r="K189" i="5"/>
  <c r="F17" i="5"/>
  <c r="F42" i="5"/>
  <c r="K214" i="5"/>
  <c r="F39" i="5"/>
  <c r="K211" i="5"/>
  <c r="K213" i="5"/>
  <c r="F41" i="5"/>
  <c r="F40" i="5"/>
  <c r="K212" i="5"/>
  <c r="F46" i="5"/>
  <c r="K218" i="5"/>
  <c r="K217" i="5"/>
  <c r="F45" i="5"/>
  <c r="K216" i="5"/>
  <c r="F44" i="5"/>
  <c r="K210" i="5"/>
  <c r="F38" i="5"/>
  <c r="F37" i="5"/>
  <c r="K209" i="5"/>
  <c r="F34" i="5"/>
  <c r="K206" i="5"/>
  <c r="K205" i="5"/>
  <c r="F33" i="5"/>
  <c r="F32" i="5"/>
  <c r="K204" i="5"/>
  <c r="K188" i="5"/>
  <c r="F16" i="5"/>
  <c r="K187" i="5"/>
  <c r="F15" i="5"/>
  <c r="F13" i="5"/>
  <c r="K185" i="5"/>
  <c r="K184" i="5"/>
  <c r="F12" i="5"/>
  <c r="K186" i="5"/>
  <c r="F14" i="5"/>
  <c r="K183" i="5"/>
  <c r="F11" i="5"/>
  <c r="F9" i="5"/>
  <c r="K181" i="5"/>
  <c r="K180" i="5"/>
  <c r="F8" i="5"/>
  <c r="K182" i="5"/>
  <c r="F10" i="5"/>
  <c r="K179" i="5"/>
  <c r="F7" i="5"/>
  <c r="F4" i="5"/>
  <c r="K176" i="5"/>
  <c r="F3" i="5"/>
  <c r="K175" i="5"/>
  <c r="K177" i="5"/>
  <c r="F5" i="5"/>
  <c r="F6" i="5"/>
  <c r="K178" i="5"/>
  <c r="K174" i="5"/>
  <c r="F2" i="5"/>
  <c r="M35" i="7"/>
  <c r="M34" i="7"/>
  <c r="M33" i="7"/>
  <c r="M32" i="7"/>
  <c r="M20" i="7"/>
  <c r="M19" i="7"/>
  <c r="N19" i="7" s="1"/>
  <c r="M18" i="7"/>
  <c r="M17" i="7"/>
  <c r="M5" i="7"/>
  <c r="M4" i="7"/>
  <c r="M3" i="7"/>
  <c r="M2" i="7"/>
  <c r="I2" i="6"/>
  <c r="K2" i="5" s="1"/>
  <c r="I3" i="6"/>
  <c r="K3" i="5" s="1"/>
  <c r="I4" i="6"/>
  <c r="K4" i="5" s="1"/>
  <c r="I5" i="6"/>
  <c r="K5" i="5" s="1"/>
  <c r="I16" i="6"/>
  <c r="K16" i="5" s="1"/>
  <c r="I22" i="6"/>
  <c r="K22" i="5" s="1"/>
  <c r="I25" i="6"/>
  <c r="K25" i="5" s="1"/>
  <c r="I7" i="6"/>
  <c r="K7" i="5" s="1"/>
  <c r="I8" i="6"/>
  <c r="K8" i="5" s="1"/>
  <c r="I9" i="6"/>
  <c r="K9" i="5" s="1"/>
  <c r="I10" i="6"/>
  <c r="K10" i="5" s="1"/>
  <c r="I11" i="6"/>
  <c r="K11" i="5" s="1"/>
  <c r="I15" i="6"/>
  <c r="K15" i="5" s="1"/>
  <c r="I21" i="6"/>
  <c r="K21" i="5" s="1"/>
  <c r="I37" i="6"/>
  <c r="I27" i="6"/>
  <c r="K27" i="5" s="1"/>
  <c r="I32" i="6"/>
  <c r="K32" i="5" s="1"/>
  <c r="I38" i="6"/>
  <c r="I17" i="6"/>
  <c r="K17" i="5" s="1"/>
  <c r="I19" i="6"/>
  <c r="K19" i="5" s="1"/>
  <c r="I23" i="6"/>
  <c r="K23" i="5" s="1"/>
  <c r="I29" i="6"/>
  <c r="K29" i="5" s="1"/>
  <c r="I34" i="6"/>
  <c r="K34" i="5" s="1"/>
  <c r="K41" i="5"/>
  <c r="K42" i="5"/>
  <c r="K43" i="5"/>
  <c r="K45" i="5"/>
  <c r="K46" i="5"/>
  <c r="K47" i="5"/>
  <c r="K50" i="5"/>
  <c r="K51" i="5"/>
  <c r="C16" i="5"/>
  <c r="K55" i="5"/>
  <c r="C19" i="5"/>
  <c r="C20" i="5"/>
  <c r="C21" i="5"/>
  <c r="K59" i="5"/>
  <c r="K62" i="5"/>
  <c r="K63" i="5"/>
  <c r="C28" i="5"/>
  <c r="K66" i="5"/>
  <c r="C30" i="5"/>
  <c r="C32" i="5"/>
  <c r="C34" i="5"/>
  <c r="C35" i="5"/>
  <c r="C36" i="5"/>
  <c r="K74" i="5"/>
  <c r="C38" i="5"/>
  <c r="C40" i="5"/>
  <c r="K78" i="5"/>
  <c r="C42" i="5"/>
  <c r="C43" i="5"/>
  <c r="C44" i="5"/>
  <c r="C45" i="5"/>
  <c r="D2" i="5"/>
  <c r="D4" i="5"/>
  <c r="D5" i="5"/>
  <c r="D8" i="5"/>
  <c r="K91" i="5"/>
  <c r="K95" i="5"/>
  <c r="D14" i="5"/>
  <c r="K99" i="5"/>
  <c r="K100" i="5"/>
  <c r="K102" i="5"/>
  <c r="D21" i="5"/>
  <c r="D22" i="5"/>
  <c r="K106" i="5"/>
  <c r="K107" i="5"/>
  <c r="K108" i="5"/>
  <c r="K110" i="5"/>
  <c r="K111" i="5"/>
  <c r="K112" i="5"/>
  <c r="D32" i="5"/>
  <c r="K115" i="5"/>
  <c r="K117" i="5"/>
  <c r="K118" i="5"/>
  <c r="K119" i="5"/>
  <c r="K120" i="5"/>
  <c r="D40" i="5"/>
  <c r="D41" i="5"/>
  <c r="D44" i="5"/>
  <c r="D45" i="5"/>
  <c r="K128" i="5"/>
  <c r="E4" i="5"/>
  <c r="K132" i="5"/>
  <c r="K136" i="5"/>
  <c r="K143" i="5"/>
  <c r="K144" i="5"/>
  <c r="E21" i="5"/>
  <c r="E24" i="5"/>
  <c r="K152" i="5"/>
  <c r="E29" i="5"/>
  <c r="K157" i="5"/>
  <c r="E34" i="5"/>
  <c r="K162" i="5"/>
  <c r="E36" i="5"/>
  <c r="K164" i="5"/>
  <c r="K165" i="5"/>
  <c r="K167" i="5"/>
  <c r="K168" i="5"/>
  <c r="K169" i="5"/>
  <c r="E45" i="5"/>
  <c r="K173" i="5"/>
  <c r="K135" i="5"/>
  <c r="E11" i="5"/>
  <c r="K139" i="5"/>
  <c r="E13" i="5"/>
  <c r="E20" i="5"/>
  <c r="K150" i="5"/>
  <c r="K154" i="5"/>
  <c r="E28" i="5"/>
  <c r="K158" i="5"/>
  <c r="K159" i="5"/>
  <c r="K160" i="5"/>
  <c r="K170" i="5"/>
  <c r="K84" i="5"/>
  <c r="K85" i="5"/>
  <c r="K89" i="5"/>
  <c r="K92" i="5"/>
  <c r="K93" i="5"/>
  <c r="K94" i="5"/>
  <c r="K97" i="5"/>
  <c r="D18" i="5"/>
  <c r="D19" i="5"/>
  <c r="D27" i="5"/>
  <c r="D31" i="5"/>
  <c r="K116" i="5"/>
  <c r="D39" i="5"/>
  <c r="D42" i="5"/>
  <c r="K125" i="5"/>
  <c r="C17" i="5"/>
  <c r="K70" i="5"/>
  <c r="C24" i="5"/>
  <c r="J92" i="7"/>
  <c r="J100" i="7"/>
  <c r="J99" i="7"/>
  <c r="J98" i="7"/>
  <c r="J97" i="7"/>
  <c r="J96" i="7"/>
  <c r="J95" i="7"/>
  <c r="J94" i="7"/>
  <c r="J93" i="7"/>
  <c r="J5" i="6"/>
  <c r="L5" i="5" s="1"/>
  <c r="J16" i="6"/>
  <c r="L16" i="5" s="1"/>
  <c r="J22" i="6"/>
  <c r="L22" i="5" s="1"/>
  <c r="J25" i="6"/>
  <c r="L25" i="5" s="1"/>
  <c r="J7" i="6"/>
  <c r="L7" i="5" s="1"/>
  <c r="J8" i="6"/>
  <c r="L8" i="5" s="1"/>
  <c r="J9" i="6"/>
  <c r="L9" i="5" s="1"/>
  <c r="J10" i="6"/>
  <c r="L10" i="5" s="1"/>
  <c r="J11" i="6"/>
  <c r="L11" i="5" s="1"/>
  <c r="J15" i="6"/>
  <c r="L15" i="5" s="1"/>
  <c r="J21" i="6"/>
  <c r="L21" i="5" s="1"/>
  <c r="J37" i="6"/>
  <c r="J27" i="6"/>
  <c r="L27" i="5" s="1"/>
  <c r="J32" i="6"/>
  <c r="L32" i="5" s="1"/>
  <c r="J38" i="6"/>
  <c r="J17" i="6"/>
  <c r="L17" i="5" s="1"/>
  <c r="J19" i="6"/>
  <c r="L19" i="5" s="1"/>
  <c r="J23" i="6"/>
  <c r="L23" i="5" s="1"/>
  <c r="J29" i="6"/>
  <c r="L29" i="5" s="1"/>
  <c r="J34" i="6"/>
  <c r="L34" i="5" s="1"/>
  <c r="J3" i="6"/>
  <c r="L3" i="5" s="1"/>
  <c r="J4" i="6"/>
  <c r="L4" i="5" s="1"/>
  <c r="J2" i="6"/>
  <c r="L2" i="5" s="1"/>
  <c r="K133" i="5"/>
  <c r="K137" i="5"/>
  <c r="K141" i="5"/>
  <c r="K145" i="5"/>
  <c r="K149" i="5"/>
  <c r="K153" i="5"/>
  <c r="K161" i="5"/>
  <c r="K104" i="5"/>
  <c r="E6" i="5"/>
  <c r="D10" i="5"/>
  <c r="E10" i="5"/>
  <c r="E2" i="5"/>
  <c r="E44" i="5"/>
  <c r="K166" i="5"/>
  <c r="E26" i="5"/>
  <c r="E25" i="5"/>
  <c r="E22" i="5"/>
  <c r="E19" i="5"/>
  <c r="E18" i="5"/>
  <c r="E15" i="5"/>
  <c r="E14" i="5"/>
  <c r="K140" i="5"/>
  <c r="E7" i="5"/>
  <c r="E3" i="5"/>
  <c r="K129" i="5"/>
  <c r="K88" i="5"/>
  <c r="D16" i="5"/>
  <c r="K105" i="5"/>
  <c r="C31" i="5"/>
  <c r="C3" i="5"/>
  <c r="C7" i="5"/>
  <c r="C11" i="5"/>
  <c r="K49" i="5"/>
  <c r="C15" i="5"/>
  <c r="C23" i="5"/>
  <c r="C27" i="5"/>
  <c r="C39" i="5"/>
  <c r="C46" i="5"/>
  <c r="K38" i="5" l="1"/>
  <c r="K37" i="5"/>
  <c r="L38" i="5"/>
  <c r="L37" i="5"/>
  <c r="D46" i="5"/>
  <c r="C8" i="5"/>
  <c r="E42" i="5"/>
  <c r="E38" i="5"/>
  <c r="E30" i="5"/>
  <c r="E46" i="5"/>
  <c r="K103" i="5"/>
  <c r="D37" i="5"/>
  <c r="K123" i="5"/>
  <c r="K87" i="5"/>
  <c r="D25" i="5"/>
  <c r="E17" i="5"/>
  <c r="K124" i="5"/>
  <c r="D35" i="5"/>
  <c r="K113" i="5"/>
  <c r="K109" i="5"/>
  <c r="K96" i="5"/>
  <c r="K131" i="5"/>
  <c r="E37" i="5"/>
  <c r="K172" i="5"/>
  <c r="K156" i="5"/>
  <c r="E33" i="5"/>
  <c r="E41" i="5"/>
  <c r="D9" i="5"/>
  <c r="D13" i="5"/>
  <c r="D33" i="5"/>
  <c r="D29" i="5"/>
  <c r="K127" i="5"/>
  <c r="D17" i="5"/>
  <c r="E35" i="5"/>
  <c r="E27" i="5"/>
  <c r="K142" i="5"/>
  <c r="K138" i="5"/>
  <c r="K134" i="5"/>
  <c r="E32" i="5"/>
  <c r="E16" i="5"/>
  <c r="E43" i="5"/>
  <c r="E40" i="5"/>
  <c r="E31" i="5"/>
  <c r="E23" i="5"/>
  <c r="E12" i="5"/>
  <c r="E9" i="5"/>
  <c r="E5" i="5"/>
  <c r="K171" i="5"/>
  <c r="K163" i="5"/>
  <c r="K155" i="5"/>
  <c r="K151" i="5"/>
  <c r="K130" i="5"/>
  <c r="E39" i="5"/>
  <c r="E8" i="5"/>
  <c r="D12" i="5"/>
  <c r="D3" i="5"/>
  <c r="K114" i="5"/>
  <c r="D38" i="5"/>
  <c r="D36" i="5"/>
  <c r="D34" i="5"/>
  <c r="D30" i="5"/>
  <c r="D28" i="5"/>
  <c r="D26" i="5"/>
  <c r="D20" i="5"/>
  <c r="D15" i="5"/>
  <c r="D11" i="5"/>
  <c r="K126" i="5"/>
  <c r="K122" i="5"/>
  <c r="K98" i="5"/>
  <c r="K90" i="5"/>
  <c r="D43" i="5"/>
  <c r="K86" i="5"/>
  <c r="D6" i="5"/>
  <c r="K82" i="5"/>
  <c r="K77" i="5"/>
  <c r="C41" i="5"/>
  <c r="C18" i="5"/>
  <c r="K73" i="5"/>
  <c r="K40" i="5"/>
  <c r="C22" i="5"/>
  <c r="C37" i="5"/>
  <c r="C14" i="5"/>
  <c r="K69" i="5"/>
  <c r="C6" i="5"/>
  <c r="C33" i="5"/>
  <c r="C10" i="5"/>
  <c r="K81" i="5"/>
  <c r="K65" i="5"/>
  <c r="K58" i="5"/>
  <c r="K54" i="5"/>
  <c r="C13" i="5"/>
  <c r="C9" i="5"/>
  <c r="C5" i="5"/>
  <c r="K80" i="5"/>
  <c r="K76" i="5"/>
  <c r="K72" i="5"/>
  <c r="K68" i="5"/>
  <c r="K64" i="5"/>
  <c r="K57" i="5"/>
  <c r="K53" i="5"/>
  <c r="K48" i="5"/>
  <c r="K44" i="5"/>
  <c r="C29" i="5"/>
  <c r="C12" i="5"/>
  <c r="C4" i="5"/>
  <c r="K83" i="5"/>
  <c r="K79" i="5"/>
  <c r="K75" i="5"/>
  <c r="K71" i="5"/>
  <c r="K67" i="5"/>
  <c r="K60" i="5"/>
  <c r="K56" i="5"/>
  <c r="K52" i="5"/>
  <c r="K121" i="5"/>
  <c r="C26" i="5"/>
  <c r="C25" i="5"/>
  <c r="K61" i="5"/>
  <c r="K148" i="5"/>
  <c r="K147" i="5"/>
  <c r="K146" i="5"/>
  <c r="D23" i="5"/>
  <c r="D7" i="5"/>
  <c r="D24" i="5"/>
  <c r="K101" i="5"/>
  <c r="C2" i="5"/>
  <c r="M41" i="5" l="1"/>
  <c r="M60" i="5"/>
  <c r="C23" i="7" s="1"/>
  <c r="M79" i="5"/>
  <c r="C42" i="7" s="1"/>
  <c r="M81" i="5"/>
  <c r="C44" i="7" s="1"/>
  <c r="M47" i="5"/>
  <c r="M51" i="5"/>
  <c r="C14" i="7" s="1"/>
  <c r="M83" i="5"/>
  <c r="C46" i="7" s="1"/>
  <c r="M80" i="5"/>
  <c r="C43" i="7" s="1"/>
  <c r="M73" i="5"/>
  <c r="M82" i="5"/>
  <c r="C45" i="7" s="1"/>
  <c r="M55" i="5"/>
  <c r="C18" i="7" s="1"/>
  <c r="M43" i="5"/>
  <c r="C6" i="7" s="1"/>
  <c r="M74" i="5"/>
  <c r="M63" i="5"/>
  <c r="C26" i="7" s="1"/>
  <c r="M57" i="5"/>
  <c r="C20" i="7" s="1"/>
  <c r="M77" i="5"/>
  <c r="C40" i="7" s="1"/>
  <c r="M45" i="5"/>
  <c r="M44" i="5"/>
  <c r="C7" i="7" s="1"/>
  <c r="M54" i="5"/>
  <c r="C17" i="7" s="1"/>
  <c r="M61" i="5"/>
  <c r="C24" i="7" s="1"/>
  <c r="M52" i="5"/>
  <c r="M71" i="5"/>
  <c r="C34" i="7" s="1"/>
  <c r="M48" i="5"/>
  <c r="C11" i="7" s="1"/>
  <c r="M68" i="5"/>
  <c r="C31" i="7" s="1"/>
  <c r="M58" i="5"/>
  <c r="M59" i="5"/>
  <c r="C22" i="7" s="1"/>
  <c r="M62" i="5"/>
  <c r="C25" i="7" s="1"/>
  <c r="M46" i="5"/>
  <c r="C9" i="7" s="1"/>
  <c r="M76" i="5"/>
  <c r="M69" i="5"/>
  <c r="C32" i="7" s="1"/>
  <c r="M40" i="5"/>
  <c r="C3" i="7" s="1"/>
  <c r="M6" i="5"/>
  <c r="M22" i="5"/>
  <c r="M38" i="5"/>
  <c r="M97" i="5"/>
  <c r="D15" i="7" s="1"/>
  <c r="M113" i="5"/>
  <c r="D31" i="7" s="1"/>
  <c r="M129" i="5"/>
  <c r="E2" i="7" s="1"/>
  <c r="M145" i="5"/>
  <c r="E18" i="7" s="1"/>
  <c r="M161" i="5"/>
  <c r="E34" i="7" s="1"/>
  <c r="M177" i="5"/>
  <c r="F5" i="7" s="1"/>
  <c r="M193" i="5"/>
  <c r="F21" i="7" s="1"/>
  <c r="M209" i="5"/>
  <c r="F37" i="7" s="1"/>
  <c r="M5" i="5"/>
  <c r="M96" i="5"/>
  <c r="D14" i="7" s="1"/>
  <c r="M144" i="5"/>
  <c r="E17" i="7" s="1"/>
  <c r="M192" i="5"/>
  <c r="F20" i="7" s="1"/>
  <c r="M7" i="5"/>
  <c r="M23" i="5"/>
  <c r="M98" i="5"/>
  <c r="D16" i="7" s="1"/>
  <c r="M114" i="5"/>
  <c r="D32" i="7" s="1"/>
  <c r="M130" i="5"/>
  <c r="E3" i="7" s="1"/>
  <c r="M146" i="5"/>
  <c r="E19" i="7" s="1"/>
  <c r="M162" i="5"/>
  <c r="E35" i="7" s="1"/>
  <c r="M178" i="5"/>
  <c r="F6" i="7" s="1"/>
  <c r="M194" i="5"/>
  <c r="F22" i="7" s="1"/>
  <c r="M210" i="5"/>
  <c r="F38" i="7" s="1"/>
  <c r="M33" i="5"/>
  <c r="M124" i="5"/>
  <c r="D42" i="7" s="1"/>
  <c r="M172" i="5"/>
  <c r="E45" i="7" s="1"/>
  <c r="M4" i="5"/>
  <c r="M20" i="5"/>
  <c r="M36" i="5"/>
  <c r="M95" i="5"/>
  <c r="D13" i="7" s="1"/>
  <c r="M111" i="5"/>
  <c r="D29" i="7" s="1"/>
  <c r="M127" i="5"/>
  <c r="D45" i="7" s="1"/>
  <c r="M143" i="5"/>
  <c r="E16" i="7" s="1"/>
  <c r="M159" i="5"/>
  <c r="E32" i="7" s="1"/>
  <c r="M175" i="5"/>
  <c r="F3" i="7" s="1"/>
  <c r="M191" i="5"/>
  <c r="F19" i="7" s="1"/>
  <c r="M207" i="5"/>
  <c r="F35" i="7" s="1"/>
  <c r="M25" i="5"/>
  <c r="M116" i="5"/>
  <c r="D34" i="7" s="1"/>
  <c r="M164" i="5"/>
  <c r="E37" i="7" s="1"/>
  <c r="M212" i="5"/>
  <c r="F40" i="7" s="1"/>
  <c r="M176" i="5"/>
  <c r="F4" i="7" s="1"/>
  <c r="M30" i="5"/>
  <c r="M105" i="5"/>
  <c r="D23" i="7" s="1"/>
  <c r="M121" i="5"/>
  <c r="D39" i="7" s="1"/>
  <c r="M153" i="5"/>
  <c r="E26" i="7" s="1"/>
  <c r="M185" i="5"/>
  <c r="F13" i="7" s="1"/>
  <c r="M217" i="5"/>
  <c r="F45" i="7" s="1"/>
  <c r="M120" i="5"/>
  <c r="D38" i="7" s="1"/>
  <c r="M216" i="5"/>
  <c r="F44" i="7" s="1"/>
  <c r="M31" i="5"/>
  <c r="M106" i="5"/>
  <c r="D24" i="7" s="1"/>
  <c r="M138" i="5"/>
  <c r="E11" i="7" s="1"/>
  <c r="M170" i="5"/>
  <c r="E43" i="7" s="1"/>
  <c r="M202" i="5"/>
  <c r="F30" i="7" s="1"/>
  <c r="M100" i="5"/>
  <c r="D18" i="7" s="1"/>
  <c r="M196" i="5"/>
  <c r="F24" i="7" s="1"/>
  <c r="M28" i="5"/>
  <c r="M103" i="5"/>
  <c r="D21" i="7" s="1"/>
  <c r="M119" i="5"/>
  <c r="D37" i="7" s="1"/>
  <c r="M151" i="5"/>
  <c r="E24" i="7" s="1"/>
  <c r="M183" i="5"/>
  <c r="F11" i="7" s="1"/>
  <c r="M215" i="5"/>
  <c r="F43" i="7" s="1"/>
  <c r="M140" i="5"/>
  <c r="E13" i="7" s="1"/>
  <c r="M18" i="5"/>
  <c r="M93" i="5"/>
  <c r="D11" i="7" s="1"/>
  <c r="M125" i="5"/>
  <c r="D43" i="7" s="1"/>
  <c r="M157" i="5"/>
  <c r="E30" i="7" s="1"/>
  <c r="M189" i="5"/>
  <c r="F17" i="7" s="1"/>
  <c r="M218" i="5"/>
  <c r="F46" i="7" s="1"/>
  <c r="M132" i="5"/>
  <c r="E5" i="7" s="1"/>
  <c r="M3" i="5"/>
  <c r="M35" i="5"/>
  <c r="M110" i="5"/>
  <c r="D28" i="7" s="1"/>
  <c r="M142" i="5"/>
  <c r="E15" i="7" s="1"/>
  <c r="M158" i="5"/>
  <c r="E31" i="7" s="1"/>
  <c r="M190" i="5"/>
  <c r="F18" i="7" s="1"/>
  <c r="M21" i="5"/>
  <c r="M160" i="5"/>
  <c r="E33" i="7" s="1"/>
  <c r="M16" i="5"/>
  <c r="M91" i="5"/>
  <c r="D9" i="7" s="1"/>
  <c r="M123" i="5"/>
  <c r="D41" i="7" s="1"/>
  <c r="M10" i="5"/>
  <c r="M26" i="5"/>
  <c r="M85" i="5"/>
  <c r="M101" i="5"/>
  <c r="D19" i="7" s="1"/>
  <c r="M117" i="5"/>
  <c r="D35" i="7" s="1"/>
  <c r="M133" i="5"/>
  <c r="E6" i="7" s="1"/>
  <c r="M149" i="5"/>
  <c r="E22" i="7" s="1"/>
  <c r="M165" i="5"/>
  <c r="E38" i="7" s="1"/>
  <c r="M181" i="5"/>
  <c r="F9" i="7" s="1"/>
  <c r="M197" i="5"/>
  <c r="F25" i="7" s="1"/>
  <c r="M213" i="5"/>
  <c r="F41" i="7" s="1"/>
  <c r="M17" i="5"/>
  <c r="M108" i="5"/>
  <c r="D26" i="7" s="1"/>
  <c r="M156" i="5"/>
  <c r="E29" i="7" s="1"/>
  <c r="M204" i="5"/>
  <c r="F32" i="7" s="1"/>
  <c r="M11" i="5"/>
  <c r="M27" i="5"/>
  <c r="M86" i="5"/>
  <c r="D4" i="7" s="1"/>
  <c r="M102" i="5"/>
  <c r="D20" i="7" s="1"/>
  <c r="M118" i="5"/>
  <c r="D36" i="7" s="1"/>
  <c r="M134" i="5"/>
  <c r="E7" i="7" s="1"/>
  <c r="M150" i="5"/>
  <c r="E23" i="7" s="1"/>
  <c r="M166" i="5"/>
  <c r="E39" i="7" s="1"/>
  <c r="M182" i="5"/>
  <c r="F10" i="7" s="1"/>
  <c r="M198" i="5"/>
  <c r="F26" i="7" s="1"/>
  <c r="M214" i="5"/>
  <c r="F42" i="7" s="1"/>
  <c r="M88" i="5"/>
  <c r="D6" i="7" s="1"/>
  <c r="M136" i="5"/>
  <c r="E9" i="7" s="1"/>
  <c r="M184" i="5"/>
  <c r="F12" i="7" s="1"/>
  <c r="M8" i="5"/>
  <c r="M24" i="5"/>
  <c r="M39" i="5"/>
  <c r="C2" i="7" s="1"/>
  <c r="M99" i="5"/>
  <c r="D17" i="7" s="1"/>
  <c r="M115" i="5"/>
  <c r="D33" i="7" s="1"/>
  <c r="M131" i="5"/>
  <c r="E4" i="7" s="1"/>
  <c r="M147" i="5"/>
  <c r="E20" i="7" s="1"/>
  <c r="M163" i="5"/>
  <c r="E36" i="7" s="1"/>
  <c r="M179" i="5"/>
  <c r="F7" i="7" s="1"/>
  <c r="M195" i="5"/>
  <c r="F23" i="7" s="1"/>
  <c r="M211" i="5"/>
  <c r="F39" i="7" s="1"/>
  <c r="M37" i="5"/>
  <c r="M128" i="5"/>
  <c r="D46" i="7" s="1"/>
  <c r="M14" i="5"/>
  <c r="M89" i="5"/>
  <c r="D7" i="7" s="1"/>
  <c r="M137" i="5"/>
  <c r="E10" i="7" s="1"/>
  <c r="M169" i="5"/>
  <c r="E42" i="7" s="1"/>
  <c r="M201" i="5"/>
  <c r="F29" i="7" s="1"/>
  <c r="M29" i="5"/>
  <c r="M168" i="5"/>
  <c r="E41" i="7" s="1"/>
  <c r="M15" i="5"/>
  <c r="M90" i="5"/>
  <c r="D8" i="7" s="1"/>
  <c r="M122" i="5"/>
  <c r="D40" i="7" s="1"/>
  <c r="M154" i="5"/>
  <c r="E27" i="7" s="1"/>
  <c r="M186" i="5"/>
  <c r="M13" i="5"/>
  <c r="M148" i="5"/>
  <c r="E21" i="7" s="1"/>
  <c r="M12" i="5"/>
  <c r="M87" i="5"/>
  <c r="D5" i="7" s="1"/>
  <c r="M135" i="5"/>
  <c r="E8" i="7" s="1"/>
  <c r="M167" i="5"/>
  <c r="E40" i="7" s="1"/>
  <c r="M199" i="5"/>
  <c r="F27" i="7" s="1"/>
  <c r="M92" i="5"/>
  <c r="D10" i="7" s="1"/>
  <c r="M188" i="5"/>
  <c r="F16" i="7" s="1"/>
  <c r="M34" i="5"/>
  <c r="M109" i="5"/>
  <c r="D27" i="7" s="1"/>
  <c r="M141" i="5"/>
  <c r="E14" i="7" s="1"/>
  <c r="M173" i="5"/>
  <c r="E46" i="7" s="1"/>
  <c r="M205" i="5"/>
  <c r="F33" i="7" s="1"/>
  <c r="M84" i="5"/>
  <c r="D2" i="7" s="1"/>
  <c r="M180" i="5"/>
  <c r="F8" i="7" s="1"/>
  <c r="M19" i="5"/>
  <c r="M94" i="5"/>
  <c r="D12" i="7" s="1"/>
  <c r="M126" i="5"/>
  <c r="D44" i="7" s="1"/>
  <c r="M174" i="5"/>
  <c r="F2" i="7" s="1"/>
  <c r="M206" i="5"/>
  <c r="F34" i="7" s="1"/>
  <c r="M112" i="5"/>
  <c r="D30" i="7" s="1"/>
  <c r="M208" i="5"/>
  <c r="F36" i="7" s="1"/>
  <c r="M32" i="5"/>
  <c r="M107" i="5"/>
  <c r="D25" i="7" s="1"/>
  <c r="M139" i="5"/>
  <c r="E12" i="7" s="1"/>
  <c r="M155" i="5"/>
  <c r="E28" i="7" s="1"/>
  <c r="M9" i="5"/>
  <c r="M171" i="5"/>
  <c r="E44" i="7" s="1"/>
  <c r="M104" i="5"/>
  <c r="D22" i="7" s="1"/>
  <c r="M187" i="5"/>
  <c r="F15" i="7" s="1"/>
  <c r="M152" i="5"/>
  <c r="E25" i="7" s="1"/>
  <c r="M200" i="5"/>
  <c r="F28" i="7" s="1"/>
  <c r="M203" i="5"/>
  <c r="F31" i="7" s="1"/>
  <c r="M49" i="5"/>
  <c r="C12" i="7" s="1"/>
  <c r="M67" i="5"/>
  <c r="C30" i="7" s="1"/>
  <c r="M64" i="5"/>
  <c r="C27" i="7" s="1"/>
  <c r="M56" i="5"/>
  <c r="C19" i="7" s="1"/>
  <c r="M75" i="5"/>
  <c r="C38" i="7" s="1"/>
  <c r="M53" i="5"/>
  <c r="C16" i="7" s="1"/>
  <c r="M72" i="5"/>
  <c r="C35" i="7" s="1"/>
  <c r="M65" i="5"/>
  <c r="C28" i="7" s="1"/>
  <c r="M42" i="5"/>
  <c r="C5" i="7" s="1"/>
  <c r="M66" i="5"/>
  <c r="C29" i="7" s="1"/>
  <c r="M78" i="5"/>
  <c r="C41" i="7" s="1"/>
  <c r="M50" i="5"/>
  <c r="C13" i="7" s="1"/>
  <c r="M70" i="5"/>
  <c r="C33" i="7" s="1"/>
  <c r="L78" i="5"/>
  <c r="L67" i="5"/>
  <c r="L212" i="5"/>
  <c r="L187" i="5"/>
  <c r="L179" i="5"/>
  <c r="L61" i="5"/>
  <c r="L52" i="5"/>
  <c r="L71" i="5"/>
  <c r="L48" i="5"/>
  <c r="L68" i="5"/>
  <c r="L58" i="5"/>
  <c r="L197" i="5"/>
  <c r="L188" i="5"/>
  <c r="L174" i="5"/>
  <c r="L74" i="5"/>
  <c r="L42" i="5"/>
  <c r="L211" i="5"/>
  <c r="L49" i="5"/>
  <c r="L192" i="5"/>
  <c r="L209" i="5"/>
  <c r="L204" i="5"/>
  <c r="L194" i="5"/>
  <c r="L189" i="5"/>
  <c r="L184" i="5"/>
  <c r="L47" i="5"/>
  <c r="L178" i="5"/>
  <c r="L44" i="5"/>
  <c r="L80" i="5"/>
  <c r="L73" i="5"/>
  <c r="L205" i="5"/>
  <c r="L63" i="5"/>
  <c r="L196" i="5"/>
  <c r="L198" i="5"/>
  <c r="L41" i="5"/>
  <c r="L208" i="5"/>
  <c r="L75" i="5"/>
  <c r="L65" i="5"/>
  <c r="L191" i="5"/>
  <c r="L213" i="5"/>
  <c r="L186" i="5"/>
  <c r="L45" i="5"/>
  <c r="L176" i="5"/>
  <c r="L55" i="5"/>
  <c r="L206" i="5"/>
  <c r="L199" i="5"/>
  <c r="L215" i="5"/>
  <c r="L185" i="5"/>
  <c r="L43" i="5"/>
  <c r="L202" i="5"/>
  <c r="L217" i="5"/>
  <c r="L183" i="5"/>
  <c r="L66" i="5"/>
  <c r="L83" i="5"/>
  <c r="L64" i="5"/>
  <c r="L54" i="5"/>
  <c r="L82" i="5"/>
  <c r="L193" i="5"/>
  <c r="L177" i="5"/>
  <c r="L70" i="5"/>
  <c r="L50" i="5"/>
  <c r="L218" i="5"/>
  <c r="L203" i="5"/>
  <c r="L56" i="5"/>
  <c r="L53" i="5"/>
  <c r="L72" i="5"/>
  <c r="L60" i="5"/>
  <c r="L79" i="5"/>
  <c r="L57" i="5"/>
  <c r="L76" i="5"/>
  <c r="L81" i="5"/>
  <c r="L69" i="5"/>
  <c r="L40" i="5"/>
  <c r="L87" i="5"/>
  <c r="L103" i="5"/>
  <c r="L119" i="5"/>
  <c r="L135" i="5"/>
  <c r="L151" i="5"/>
  <c r="L167" i="5"/>
  <c r="L88" i="5"/>
  <c r="L104" i="5"/>
  <c r="L120" i="5"/>
  <c r="L136" i="5"/>
  <c r="L172" i="5"/>
  <c r="L97" i="5"/>
  <c r="L113" i="5"/>
  <c r="L129" i="5"/>
  <c r="L145" i="5"/>
  <c r="L161" i="5"/>
  <c r="L86" i="5"/>
  <c r="L106" i="5"/>
  <c r="L134" i="5"/>
  <c r="L162" i="5"/>
  <c r="L160" i="5"/>
  <c r="L130" i="5"/>
  <c r="L170" i="5"/>
  <c r="L99" i="5"/>
  <c r="L131" i="5"/>
  <c r="L163" i="5"/>
  <c r="L100" i="5"/>
  <c r="L132" i="5"/>
  <c r="L125" i="5"/>
  <c r="L157" i="5"/>
  <c r="L102" i="5"/>
  <c r="L126" i="5"/>
  <c r="L158" i="5"/>
  <c r="L148" i="5"/>
  <c r="L122" i="5"/>
  <c r="L154" i="5"/>
  <c r="L91" i="5"/>
  <c r="L107" i="5"/>
  <c r="L123" i="5"/>
  <c r="L139" i="5"/>
  <c r="L155" i="5"/>
  <c r="L171" i="5"/>
  <c r="L92" i="5"/>
  <c r="L108" i="5"/>
  <c r="L124" i="5"/>
  <c r="L156" i="5"/>
  <c r="L85" i="5"/>
  <c r="L101" i="5"/>
  <c r="L117" i="5"/>
  <c r="L133" i="5"/>
  <c r="L149" i="5"/>
  <c r="L165" i="5"/>
  <c r="L90" i="5"/>
  <c r="L110" i="5"/>
  <c r="L142" i="5"/>
  <c r="L166" i="5"/>
  <c r="L98" i="5"/>
  <c r="L138" i="5"/>
  <c r="L152" i="5"/>
  <c r="L95" i="5"/>
  <c r="L111" i="5"/>
  <c r="L127" i="5"/>
  <c r="L143" i="5"/>
  <c r="L159" i="5"/>
  <c r="L39" i="5"/>
  <c r="L96" i="5"/>
  <c r="L112" i="5"/>
  <c r="L128" i="5"/>
  <c r="L168" i="5"/>
  <c r="L89" i="5"/>
  <c r="L105" i="5"/>
  <c r="L121" i="5"/>
  <c r="L137" i="5"/>
  <c r="L153" i="5"/>
  <c r="L169" i="5"/>
  <c r="L94" i="5"/>
  <c r="L118" i="5"/>
  <c r="L150" i="5"/>
  <c r="L140" i="5"/>
  <c r="L114" i="5"/>
  <c r="L146" i="5"/>
  <c r="L164" i="5"/>
  <c r="L115" i="5"/>
  <c r="L147" i="5"/>
  <c r="L84" i="5"/>
  <c r="L116" i="5"/>
  <c r="L144" i="5"/>
  <c r="L93" i="5"/>
  <c r="L109" i="5"/>
  <c r="L141" i="5"/>
  <c r="L173" i="5"/>
  <c r="L77" i="5"/>
  <c r="L200" i="5"/>
  <c r="L216" i="5"/>
  <c r="L182" i="5"/>
  <c r="L51" i="5"/>
  <c r="L46" i="5"/>
  <c r="L59" i="5"/>
  <c r="L175" i="5"/>
  <c r="L190" i="5"/>
  <c r="L214" i="5"/>
  <c r="L181" i="5"/>
  <c r="L195" i="5"/>
  <c r="L201" i="5"/>
  <c r="L210" i="5"/>
  <c r="L180" i="5"/>
  <c r="L207" i="5"/>
  <c r="L62" i="5"/>
  <c r="F14" i="7"/>
  <c r="D3" i="7"/>
  <c r="C15" i="7"/>
  <c r="C21" i="7"/>
  <c r="C39" i="7"/>
  <c r="C37" i="7"/>
  <c r="M2" i="5"/>
  <c r="C8" i="7"/>
  <c r="C10" i="7"/>
  <c r="C36" i="7"/>
  <c r="C4" i="7"/>
  <c r="L219" i="5" l="1"/>
  <c r="M219" i="5"/>
</calcChain>
</file>

<file path=xl/sharedStrings.xml><?xml version="1.0" encoding="utf-8"?>
<sst xmlns="http://schemas.openxmlformats.org/spreadsheetml/2006/main" count="1442" uniqueCount="133">
  <si>
    <t>Kvalitet</t>
  </si>
  <si>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</si>
  <si>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</si>
  <si>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</si>
  <si>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</si>
  <si>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</si>
  <si>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</si>
  <si>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</si>
  <si>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</si>
  <si>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</si>
  <si>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</si>
  <si>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Presenning</t>
  </si>
  <si>
    <t>C28/35</t>
  </si>
  <si>
    <t>C35/45</t>
  </si>
  <si>
    <t>C40/50</t>
  </si>
  <si>
    <t>Fryser innan täck</t>
  </si>
  <si>
    <t>C25/30</t>
  </si>
  <si>
    <t>Når ej 70%</t>
  </si>
  <si>
    <t>10%</t>
  </si>
  <si>
    <t>20%</t>
  </si>
  <si>
    <t>30%</t>
  </si>
  <si>
    <t>40%</t>
  </si>
  <si>
    <t>Column1</t>
  </si>
  <si>
    <t>Åtgärdssvårighet</t>
  </si>
  <si>
    <t>Nummer</t>
  </si>
  <si>
    <t>Total antal paket</t>
  </si>
  <si>
    <t>Paket</t>
  </si>
  <si>
    <t>Betongkvalitet</t>
  </si>
  <si>
    <t>Gjuttemperatur (varmbetong)</t>
  </si>
  <si>
    <t>Jobbighetsnivå</t>
  </si>
  <si>
    <t>Temperatur [°C]</t>
  </si>
  <si>
    <t>Vind [m/s]</t>
  </si>
  <si>
    <t>10% Slagg</t>
  </si>
  <si>
    <t>20% Slagg</t>
  </si>
  <si>
    <t>30% Slagg</t>
  </si>
  <si>
    <t>40% Slagg</t>
  </si>
  <si>
    <t>Väderskydd med uppvärmning</t>
  </si>
  <si>
    <t>Utomhustemperatur</t>
  </si>
  <si>
    <t>Väderskydd</t>
  </si>
  <si>
    <t>Riktig temp under</t>
  </si>
  <si>
    <t>Temperatur motgjutiningsyta</t>
  </si>
  <si>
    <t>Utgångspunkt</t>
  </si>
  <si>
    <t>Värden</t>
  </si>
  <si>
    <t>C30/37</t>
  </si>
  <si>
    <t>70% hållfasthet</t>
  </si>
  <si>
    <t>C32/40</t>
  </si>
  <si>
    <t>Täckning</t>
  </si>
  <si>
    <t>Påläggning efter 1 timme</t>
  </si>
  <si>
    <t>0-20</t>
  </si>
  <si>
    <t>Innan beteongvinter</t>
  </si>
  <si>
    <t>2-20</t>
  </si>
  <si>
    <t>7-20</t>
  </si>
  <si>
    <t>12-20</t>
  </si>
  <si>
    <t>Betongvinter innan frys</t>
  </si>
  <si>
    <t>När de börjar frysa</t>
  </si>
  <si>
    <t>OK7</t>
  </si>
  <si>
    <t>17.5</t>
  </si>
  <si>
    <t>24.5</t>
  </si>
  <si>
    <t>25.9</t>
  </si>
  <si>
    <t>31.5</t>
  </si>
  <si>
    <t>Komentar</t>
  </si>
  <si>
    <t>C20/251520--</t>
  </si>
  <si>
    <t>C20/251515--</t>
  </si>
  <si>
    <t>C20/2515150-</t>
  </si>
  <si>
    <t>C20/2515150Presenning</t>
  </si>
  <si>
    <t>C28/351510--</t>
  </si>
  <si>
    <t>C30/3715100Presenning</t>
  </si>
  <si>
    <t>C32/4015100Presenning</t>
  </si>
  <si>
    <t>C20/2520520-</t>
  </si>
  <si>
    <t>C20/252052010</t>
  </si>
  <si>
    <t>C20/252052020</t>
  </si>
  <si>
    <t>C20/252052030</t>
  </si>
  <si>
    <t>C20/252052050</t>
  </si>
  <si>
    <t>C25/302052050</t>
  </si>
  <si>
    <t>C28/352052050</t>
  </si>
  <si>
    <t>-----Fryser innan täck</t>
  </si>
  <si>
    <t>C32/401552050</t>
  </si>
  <si>
    <t>C35/451552050</t>
  </si>
  <si>
    <t>-----Når ej 70%</t>
  </si>
  <si>
    <t>C28/351515--</t>
  </si>
  <si>
    <t>C28/3515150-</t>
  </si>
  <si>
    <t>C30/3715150Presenning</t>
  </si>
  <si>
    <t>C35/451510--</t>
  </si>
  <si>
    <t>C40/5015100Presenning</t>
  </si>
  <si>
    <t>C30/372052050</t>
  </si>
  <si>
    <t>C32/402052050</t>
  </si>
  <si>
    <t>C20/2515200Presenning</t>
  </si>
  <si>
    <t>C25/301520--</t>
  </si>
  <si>
    <t>C32/4015150Presenning</t>
  </si>
  <si>
    <t>C35/451515--</t>
  </si>
  <si>
    <t>C35/4515150Presenning</t>
  </si>
  <si>
    <t>C25/302052010</t>
  </si>
  <si>
    <t>C40/502052050</t>
  </si>
  <si>
    <t>C25/3015200Presenning</t>
  </si>
  <si>
    <t>C28/351520--</t>
  </si>
  <si>
    <t>C28/3515200Presenning</t>
  </si>
  <si>
    <t>C40/5015150Presenning</t>
  </si>
  <si>
    <t>C35/452052050</t>
  </si>
  <si>
    <t>OK under 7 D</t>
  </si>
  <si>
    <t>OK&lt;7D</t>
  </si>
  <si>
    <t>&lt;17 Timmar och &gt;6 Mpa</t>
  </si>
  <si>
    <t>OK&lt;17 Timamr</t>
  </si>
  <si>
    <t>OK under 17</t>
  </si>
  <si>
    <t>OK17</t>
  </si>
  <si>
    <t>Tjocklek Vägg</t>
  </si>
  <si>
    <t>Tjocklek motgjutningsyta</t>
  </si>
  <si>
    <t>6 Mpa</t>
  </si>
  <si>
    <t>17 Timmar</t>
  </si>
  <si>
    <t>Värmekabel</t>
  </si>
  <si>
    <t>Antal värmekablar</t>
  </si>
  <si>
    <t>Formisolering [mm]</t>
  </si>
  <si>
    <t>Plywood 15, oisolerat</t>
  </si>
  <si>
    <t>Plywood 15 cellplast 30</t>
  </si>
  <si>
    <t>Når ej 6 MPa</t>
  </si>
  <si>
    <t>Plywood 12-19  cellplast 50</t>
  </si>
  <si>
    <t>200 mm</t>
  </si>
  <si>
    <t>Plywood 12-19 cellplast 70</t>
  </si>
  <si>
    <t>240 mm</t>
  </si>
  <si>
    <t>Plywood 12-19 cellplast 100</t>
  </si>
  <si>
    <t>Plywood 12-19 cellplast 120</t>
  </si>
  <si>
    <t>Avstånd i x-led</t>
  </si>
  <si>
    <t>Avstånd i y-led</t>
  </si>
  <si>
    <t>Vägghöjd</t>
  </si>
  <si>
    <t>2400 mm</t>
  </si>
  <si>
    <t>Värmekablar</t>
  </si>
  <si>
    <t>1 St</t>
  </si>
  <si>
    <t>2 St</t>
  </si>
  <si>
    <t>3 St</t>
  </si>
  <si>
    <t>Startpunkt x:</t>
  </si>
  <si>
    <t>Startpunkt y:</t>
  </si>
  <si>
    <t>Avstånd i x led</t>
  </si>
  <si>
    <t>Tidpunkt påslagning</t>
  </si>
  <si>
    <t>Direkt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</si>
</sst>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9" fontId="0" fillId="0" borderId="24" xfId="0" applyNumberFormat="1" applyBorder="1"/>
    <xf numFmtId="9" fontId="0" fillId="0" borderId="25" xfId="0" applyNumberFormat="1" applyBorder="1"/>
    <xf numFmtId="0" fontId="1" fillId="0" borderId="26" xfId="0" applyFont="1" applyBorder="1"/>
    <xf numFmtId="0" fontId="1" fillId="0" borderId="27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3" xfId="0" applyBorder="1"/>
    <xf numFmtId="0" fontId="0" fillId="0" borderId="40" xfId="0" applyBorder="1"/>
    <xf numFmtId="0" fontId="0" fillId="0" borderId="4" xfId="0" applyBorder="1"/>
    <xf numFmtId="0" fontId="0" fillId="0" borderId="36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3" xfId="0" applyBorder="1"/>
    <xf numFmtId="0" fontId="0" fillId="0" borderId="51" xfId="0" applyBorder="1"/>
    <xf numFmtId="0" fontId="4" fillId="0" borderId="42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6" fillId="0" borderId="42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/>
    <xf numFmtId="0" fontId="0" fillId="0" borderId="52" xfId="0" applyBorder="1" applyAlignment="1">
      <alignment wrapText="1"/>
    </xf>
    <xf numFmtId="0" fontId="0" fillId="0" borderId="42" xfId="0" applyBorder="1"/>
    <xf numFmtId="0" fontId="6" fillId="0" borderId="42" xfId="0" applyFont="1" applyBorder="1" applyAlignment="1">
      <alignment horizontal="right" wrapText="1"/>
    </xf>
    <xf numFmtId="0" fontId="6" fillId="0" borderId="22" xfId="0" applyFont="1" applyBorder="1" applyAlignment="1">
      <alignment wrapText="1"/>
    </xf>
    <xf numFmtId="0" fontId="6" fillId="0" borderId="48" xfId="0" applyFont="1" applyBorder="1" applyAlignment="1">
      <alignment wrapText="1"/>
    </xf>
    <xf numFmtId="0" fontId="6" fillId="0" borderId="48" xfId="0" applyFont="1" applyBorder="1" applyAlignment="1">
      <alignment horizontal="right" wrapText="1"/>
    </xf>
    <xf numFmtId="0" fontId="0" fillId="0" borderId="48" xfId="0" applyBorder="1"/>
    <xf numFmtId="0" fontId="0" fillId="0" borderId="29" xfId="0" applyBorder="1"/>
    <xf numFmtId="0" fontId="0" fillId="0" borderId="34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156"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7" tint="0.39994506668294322"/>
        </patternFill>
      </fill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B7B0F3C-B822-4E2C-B562-9A6A5148E1DD}" name="Table155" displayName="Table155" ref="A1:M46" totalsRowShown="0" headerRowDxfId="13" headerRowBorderDxfId="12">
  <autoFilter ref="A1:M46" xr:uid="{2B80540F-6D64-4945-8E3A-E73BBAD63E67}"/>
  <sortState xmlns:xlrd2="http://schemas.microsoft.com/office/spreadsheetml/2017/richdata2" ref="A2:L46">
    <sortCondition descending="1" ref="H1:H46"/>
  </sortState>
  <tableColumns count="13">
    <tableColumn id="1" xr3:uid="{3A98C113-1F9A-4357-BC4C-038E3240979E}" name="Kvalitet" dataDxfId="11"/>
    <tableColumn id="2" xr3:uid="{3830F3AB-D261-4FFA-B567-6A1DB2ECCD33}" name="Gjuttemperatur" dataDxfId="10"/>
    <tableColumn id="3" xr3:uid="{8B9FF544-8817-4A42-BE04-DE2CEEC71366}" name="Temperatur motgjutningsyta" dataDxfId="9"/>
    <tableColumn id="4" xr3:uid="{98A14BC5-381C-4D30-9F59-92FA8701D2E6}" name="Värmekabel" dataDxfId="8"/>
    <tableColumn id="8" xr3:uid="{2EB9C832-6707-4D6B-A968-06BD90E153B9}" name="Antal värmekablar" dataDxfId="7"/>
    <tableColumn id="5" xr3:uid="{61BED203-711E-49C7-8137-BF5037BF065E}" name="Täckning [mm]" dataDxfId="6"/>
    <tableColumn id="12" xr3:uid="{3C02B721-B73C-49A4-9DF4-51CF7123B4EA}" name="Formisolering [mm]" dataDxfId="5"/>
    <tableColumn id="6" xr3:uid="{6171B6BE-CDEF-48E9-AC7B-BFEDFD0469EE}" name="Temperatur" dataDxfId="4"/>
    <tableColumn id="7" xr3:uid="{C1A56AD8-14A6-4305-B98D-87A79093EF55}" name="Vind" dataDxfId="3"/>
    <tableColumn id="11" xr3:uid="{A409434A-AA76-4F98-9BE5-A4EEA2E7E580}" name="&lt;17 Timmar och &gt;6 Mpa"/>
    <tableColumn id="15" xr3:uid="{C4C712A8-3AE6-4E52-9382-3285257A37A8}" name="OK&lt;17 Timamr" dataDxfId="2"/>
    <tableColumn id="10" xr3:uid="{933D12A7-3905-4A48-A6E1-E4DED56E4500}" name="Kommentar" dataDxfId="1"/>
    <tableColumn id="9" xr3:uid="{75F2C162-D18B-4308-9CE2-A94D8518B979}" name="Åtgärdskåd" dataDxfId="0">
      <calculatedColumnFormula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540F-6D64-4945-8E3A-E73BBAD63E67}" name="Table1" displayName="Table1" ref="A1:M46" totalsRowShown="0" headerRowDxfId="155" headerRowBorderDxfId="154">
  <autoFilter ref="A1:M46" xr:uid="{2B80540F-6D64-4945-8E3A-E73BBAD63E67}"/>
  <sortState xmlns:xlrd2="http://schemas.microsoft.com/office/spreadsheetml/2017/richdata2" ref="A2:L46">
    <sortCondition descending="1" ref="H1:H46"/>
  </sortState>
  <tableColumns count="13">
    <tableColumn id="1" xr3:uid="{0E53E477-0967-4F6F-96B9-F1AA9FD6ABF0}" name="Kvalitet" dataDxfId="153"/>
    <tableColumn id="2" xr3:uid="{7EF9335F-5969-4D60-8910-65291F04DF13}" name="Gjuttemperatur" dataDxfId="152"/>
    <tableColumn id="3" xr3:uid="{408875C2-6864-4EFF-BC50-F3F73998A347}" name="Temperatur motgjutningsyta" dataDxfId="151"/>
    <tableColumn id="4" xr3:uid="{7A967A59-52B2-406B-AB0B-2694B01629B4}" name="Värmekabel" dataDxfId="150"/>
    <tableColumn id="8" xr3:uid="{067F7D4E-2A19-4786-B28E-0ABF225F96A6}" name="Antal värmekablar" dataDxfId="149"/>
    <tableColumn id="5" xr3:uid="{FE767540-FD09-4273-AF43-FFCD27CB8638}" name="Täckning [mm]" dataDxfId="148"/>
    <tableColumn id="12" xr3:uid="{3DD0F386-D6E4-46FE-8B40-F6157D9154C4}" name="Formisolering [mm]" dataDxfId="147"/>
    <tableColumn id="6" xr3:uid="{71B41BEC-1B5C-4116-9897-39A895780B63}" name="Temperatur" dataDxfId="146"/>
    <tableColumn id="7" xr3:uid="{C14D33D7-E3FD-4189-96AD-84399BF97A50}" name="Vind" dataDxfId="145"/>
    <tableColumn id="11" xr3:uid="{E923C651-E993-4753-9C70-0F57F46598FA}" name="&lt;17 Timmar och &gt;6 Mpa"/>
    <tableColumn id="15" xr3:uid="{B2B8E958-C311-41CE-973D-15498A52F017}" name="OK&lt;17 Timamr" dataDxfId="144"/>
    <tableColumn id="10" xr3:uid="{B6838A42-C44C-43F8-8009-3E08AB125187}" name="Kommentar" dataDxfId="143"/>
    <tableColumn id="9" xr3:uid="{41B5EBBE-A99A-4DFD-9522-7B2BD7286E8E}" name="Åtgärdskåd" dataDxfId="142">
      <calculatedColumnFormula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8A5175E-DF12-4EA8-B2C5-86D5B9F95148}" name="Table123" displayName="Table123" ref="A1:M46" totalsRowShown="0" headerRowDxfId="141" headerRowBorderDxfId="140">
  <autoFilter ref="A1:M46" xr:uid="{F8A5175E-DF12-4EA8-B2C5-86D5B9F95148}"/>
  <sortState xmlns:xlrd2="http://schemas.microsoft.com/office/spreadsheetml/2017/richdata2" ref="A2:L46">
    <sortCondition descending="1" ref="H1:H46"/>
  </sortState>
  <tableColumns count="13">
    <tableColumn id="1" xr3:uid="{755FD660-22B0-4799-B1E5-87CC09319C08}" name="Kvalitet" dataDxfId="139"/>
    <tableColumn id="2" xr3:uid="{F1E59D86-904F-4902-B2C7-F51169C01D6F}" name="Gjuttemperatur" dataDxfId="138"/>
    <tableColumn id="3" xr3:uid="{CD3B5F0C-66FD-4077-BFAF-42DF2C033AE7}" name="Temperatur motgjutningsyta" dataDxfId="137"/>
    <tableColumn id="4" xr3:uid="{D2F55B82-E671-45C2-99C8-C06C610A64D3}" name="Värmekabel" dataDxfId="136"/>
    <tableColumn id="8" xr3:uid="{56329828-71D1-4D3F-8A63-030A2A29C12E}" name="Antal värmekablar" dataDxfId="135"/>
    <tableColumn id="5" xr3:uid="{24771496-EEA0-4318-9F67-4A94E987EFDC}" name="Täckning [mm]" dataDxfId="134"/>
    <tableColumn id="12" xr3:uid="{2024C397-FD3A-4CBE-BBC2-A382304CD8A5}" name="Formisolering [mm]" dataDxfId="133"/>
    <tableColumn id="6" xr3:uid="{DB3FBA32-22D6-4005-9B5F-4A0EC58CF043}" name="Temperatur" dataDxfId="132"/>
    <tableColumn id="7" xr3:uid="{D4EB5B56-0519-4704-B44F-C633472604C6}" name="Vind" dataDxfId="131"/>
    <tableColumn id="11" xr3:uid="{F43D3EAB-297B-459D-BDEF-54A7480C7412}" name="&lt;17 Timmar och &gt;6 Mpa"/>
    <tableColumn id="15" xr3:uid="{55C285CE-D56C-46A7-98A5-EE2E17CECED8}" name="OK&lt;17 Timamr" dataDxfId="130"/>
    <tableColumn id="10" xr3:uid="{AE738F8A-8788-472A-88E4-09FF96B5019E}" name="Kommentar" dataDxfId="129"/>
    <tableColumn id="9" xr3:uid="{B05910D9-3B0C-4CD5-BDC2-22EC3F8F2D69}" name="Åtgärdskåd" dataDxfId="128">
      <calculatedColumnFormula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75FA71-86D4-4272-B7C7-FEB4CFFB4527}" name="Table145" displayName="Table145" ref="A1:M46" totalsRowShown="0" headerRowDxfId="127" headerRowBorderDxfId="126">
  <autoFilter ref="A1:M46" xr:uid="{3C75FA71-86D4-4272-B7C7-FEB4CFFB4527}"/>
  <sortState xmlns:xlrd2="http://schemas.microsoft.com/office/spreadsheetml/2017/richdata2" ref="A2:J46">
    <sortCondition descending="1" ref="F1:F46"/>
  </sortState>
  <tableColumns count="13">
    <tableColumn id="1" xr3:uid="{F2AF4A17-AF7E-41FD-8D3A-09D6F8EDDD65}" name="Kvalitet" dataDxfId="125"/>
    <tableColumn id="2" xr3:uid="{2C65FF1D-1DBB-4F4F-A3F4-D152F7309381}" name="Gjuttemperatur" dataDxfId="124"/>
    <tableColumn id="3" xr3:uid="{6DF62D48-AD6B-4C65-B664-E877072C8EE6}" name="Temperatur motgjutningsyta" dataDxfId="123"/>
    <tableColumn id="4" xr3:uid="{3CE7F9A0-D8C9-4F52-9F8D-FC711C649117}" name="Värmekabel" dataDxfId="122"/>
    <tableColumn id="5" xr3:uid="{3CD1A1A7-51F2-4A66-AD4C-0B239CFE1ACD}" name="Antal värmekablar" dataDxfId="121"/>
    <tableColumn id="6" xr3:uid="{A9AF63EA-6197-44FB-839B-35EC2AB8FB47}" name="Täckning [mm]" dataDxfId="120"/>
    <tableColumn id="7" xr3:uid="{E2EB5F49-6C5E-4932-A0F1-47F12E55C1D4}" name="Formisolering [mm]" dataDxfId="119"/>
    <tableColumn id="8" xr3:uid="{E8A72898-A406-4BB4-90C6-E79A1D958AB6}" name="Temperatur" dataDxfId="118"/>
    <tableColumn id="11" xr3:uid="{4BFD28AD-5ACE-4CE7-A836-439B3FD3510E}" name="Vind" dataDxfId="117"/>
    <tableColumn id="10" xr3:uid="{6A910B7C-B5FA-4219-A6A1-3B71B80977D7}" name="&lt;17 Timmar och &gt;6 Mpa" dataDxfId="116"/>
    <tableColumn id="9" xr3:uid="{CA38B271-D4D5-49E6-98F7-97AEC8AEEED5}" name="OK&lt;17 Timamr" dataDxfId="115"/>
    <tableColumn id="12" xr3:uid="{01CE9D65-BB98-441E-8293-F02FDFAE777A}" name="Kommentar" dataDxfId="114"/>
    <tableColumn id="13" xr3:uid="{CD8F4054-42AB-4501-88E9-813C0096C2F7}" name="Åtgärdskåd" dataDxfId="113">
      <calculatedColumnFormula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292C2B1-8F05-49E1-B227-41ED00F01F42}" name="Table124" displayName="Table124" ref="A1:M46" totalsRowShown="0" headerRowDxfId="112" headerRowBorderDxfId="111">
  <autoFilter ref="A1:M46" xr:uid="{A292C2B1-8F05-49E1-B227-41ED00F01F42}"/>
  <sortState xmlns:xlrd2="http://schemas.microsoft.com/office/spreadsheetml/2017/richdata2" ref="A2:L46">
    <sortCondition descending="1" ref="H1:H46"/>
  </sortState>
  <tableColumns count="13">
    <tableColumn id="1" xr3:uid="{ED0C7F50-F393-4100-BADD-84D0913C5F5A}" name="Kvalitet" dataDxfId="110"/>
    <tableColumn id="2" xr3:uid="{6F4B2962-2F1B-4F82-B165-35E3B4327016}" name="Gjuttemperatur" dataDxfId="109"/>
    <tableColumn id="3" xr3:uid="{1C0A64D5-1562-49B6-AB6A-19E047FD639D}" name="Temperatur motgjutningsyta" dataDxfId="108"/>
    <tableColumn id="4" xr3:uid="{7AC3D9F9-FB14-4481-A339-DFAC20FA8FA3}" name="Värmekabel" dataDxfId="107"/>
    <tableColumn id="8" xr3:uid="{3B61FD8A-6AE5-4E4F-AF07-18E22CAE26DC}" name="Antal värmekablar" dataDxfId="106"/>
    <tableColumn id="5" xr3:uid="{631A2AD2-F6D9-47DD-92F7-34DB2E315BAA}" name="Täckning [mm]" dataDxfId="105"/>
    <tableColumn id="12" xr3:uid="{6A70055E-7E47-4BDF-A49E-9ECCC0E642AD}" name="Formisolering [mm]" dataDxfId="104"/>
    <tableColumn id="6" xr3:uid="{4BB0833C-6143-45F4-AC0F-C5135BAFDC7A}" name="Temperatur" dataDxfId="103"/>
    <tableColumn id="7" xr3:uid="{042A4A3E-6A1F-4A2B-986E-4A170BCB47BB}" name="Vind" dataDxfId="102"/>
    <tableColumn id="11" xr3:uid="{EE6FB1D1-104D-4FC1-810B-603240912386}" name="&lt;17 Timmar och &gt;6 Mpa"/>
    <tableColumn id="15" xr3:uid="{8D0A3F2A-279F-43B2-A604-38406431553D}" name="OK&lt;17 Timamr" dataDxfId="101"/>
    <tableColumn id="10" xr3:uid="{D9E7A135-4CA7-470A-9A38-D0C8AA4ABCB0}" name="Kommentar" dataDxfId="100"/>
    <tableColumn id="9" xr3:uid="{4F810B6C-DE29-4E14-A9DE-5E8A8D52001D}" name="Åtgärdskåd" dataDxfId="99">
      <calculatedColumnFormula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F46" totalsRowShown="0" headerRowDxfId="98" headerRowBorderDxfId="97">
  <autoFilter ref="A1:F46" xr:uid="{0BB1120E-CE91-4CD8-997C-2DE938FBF407}"/>
  <tableColumns count="6">
    <tableColumn id="1" xr3:uid="{3F8D47DC-CBE8-4175-9913-E0176FBABB41}" name="Temperatur"/>
    <tableColumn id="2" xr3:uid="{D90A8870-A10A-4C74-9279-24BA802D4AFB}" name="Vind"/>
    <tableColumn id="3" xr3:uid="{54D04A45-64DD-41A4-BCA6-A63F01E2A82A}" name="10%">
      <calculatedColumnFormula>'Bjälklag (10% slagg)'!M2</calculatedColumnFormula>
    </tableColumn>
    <tableColumn id="4" xr3:uid="{DD3D3939-6716-48E7-8CF9-62934939AD1B}" name="20%">
      <calculatedColumnFormula>'Bjälklag (20% slagg)'!K2</calculatedColumnFormula>
    </tableColumn>
    <tableColumn id="5" xr3:uid="{012579F0-B509-46A8-AFE0-45B71C4993DF}" name="30%">
      <calculatedColumnFormula>'Bjälklag (30% slagg)'!K2</calculatedColumnFormula>
    </tableColumn>
    <tableColumn id="6" xr3:uid="{CAF851EB-0542-4EE8-B6C9-F4565289114F}" name="40%" dataDxfId="96">
      <calculatedColumnFormula>#REF!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H1:M236" totalsRowShown="0">
  <autoFilter ref="H1:M236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95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38" totalsRowShown="0">
  <autoFilter ref="A1:J38" xr:uid="{345810A4-7D11-4B48-8FD9-43D48A738560}"/>
  <sortState xmlns:xlrd2="http://schemas.microsoft.com/office/spreadsheetml/2017/richdata2" ref="A2:J39">
    <sortCondition ref="B1:B39"/>
  </sortState>
  <tableColumns count="10">
    <tableColumn id="1" xr3:uid="{C350A2E8-4EA1-41E6-8B6D-2094DD6E81BF}" name="Paket"/>
    <tableColumn id="2" xr3:uid="{378D9ABC-063A-43E7-98CA-1E7510FFE6E4}" name="Betongkvalitet" dataDxfId="94"/>
    <tableColumn id="3" xr3:uid="{0C95AF02-4E12-467D-A075-EBD74310392E}" name="Gjuttemperatur (varmbetong)" dataDxfId="93"/>
    <tableColumn id="4" xr3:uid="{027178B4-01F4-4A7A-B491-89025E93544A}" name="Temperatur motgjutningsyta" dataDxfId="92"/>
    <tableColumn id="5" xr3:uid="{F71E9080-36C8-491D-ABC4-930CD82755ED}" name="Väderskydd, uppvärmning (ingen vind)" dataDxfId="91"/>
    <tableColumn id="6" xr3:uid="{B3939368-0769-4EFD-BA0D-50EFD1725AAD}" name="Täckning [mm]" dataDxfId="90"/>
    <tableColumn id="7" xr3:uid="{7942FDE3-4E64-4DD1-BBA2-558353403018}" name="OK under 7 D" dataDxfId="89"/>
    <tableColumn id="10" xr3:uid="{5D6EB567-B659-4051-AF9A-1995EA165204}" name="Kommentar" dataDxfId="88"/>
    <tableColumn id="9" xr3:uid="{59158F46-AEE7-4140-9237-B99D678EAFF6}" name="Column1" dataDxfId="87">
      <calculatedColumnFormula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F46" totalsRowShown="0" headerRowDxfId="86" tableBorderDxfId="85">
  <autoFilter ref="A1:F46" xr:uid="{AA5D34C1-BEBA-41FB-9B95-289E1153E716}"/>
  <tableColumns count="6">
    <tableColumn id="1" xr3:uid="{D95FC912-C274-4441-A328-D7D7043D77D9}" name="Temperatur [°C]" dataDxfId="84"/>
    <tableColumn id="2" xr3:uid="{E5739E17-063A-4BFD-A7B1-BFF9B650C437}" name="Vind [m/s]" dataDxfId="83"/>
    <tableColumn id="3" xr3:uid="{608630C1-A48B-4156-8AD8-EB99E69EE3A6}" name="10% Slagg" dataDxfId="82">
      <calculatedColumnFormula>'Data till Lathund, Kådgenererin'!M39</calculatedColumnFormula>
    </tableColumn>
    <tableColumn id="4" xr3:uid="{951BD516-0DEA-4229-9895-5A7E0B0E1A33}" name="20% Slagg" dataDxfId="81">
      <calculatedColumnFormula>'Data till Lathund, Kådgenererin'!M84</calculatedColumnFormula>
    </tableColumn>
    <tableColumn id="5" xr3:uid="{C0AC1345-4710-4D44-B13B-9625EC5F4A88}" name="30% Slagg" dataDxfId="80">
      <calculatedColumnFormula>'Data till Lathund, Kådgenererin'!M129</calculatedColumnFormula>
    </tableColumn>
    <tableColumn id="6" xr3:uid="{FF64E311-DB46-4FC0-95C8-D41C6C004423}" name="40% Slagg" dataDxfId="79">
      <calculatedColumnFormula>'Data till Lathund, Kådgenererin'!M174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H50:O87" totalsRowShown="0" headerRowDxfId="78" dataDxfId="76" headerRowBorderDxfId="77" tableBorderDxfId="75" totalsRowBorderDxfId="74">
  <autoFilter ref="H50:O87" xr:uid="{F589F66F-79C3-47D1-9981-3883A7DD1338}"/>
  <sortState xmlns:xlrd2="http://schemas.microsoft.com/office/spreadsheetml/2017/richdata2" ref="H51:M73">
    <sortCondition ref="H50:H73"/>
  </sortState>
  <tableColumns count="8">
    <tableColumn id="1" xr3:uid="{22BBB2E0-222C-4E4C-A6CC-1344E94A72BA}" name="Paket" dataDxfId="73">
      <calculatedColumnFormula>'Data till lathund Åtgärder'!J2</calculatedColumnFormula>
    </tableColumn>
    <tableColumn id="2" xr3:uid="{94394B0E-7624-4B96-8382-5A629E6E6217}" name="Betongkvalitet" dataDxfId="72">
      <calculatedColumnFormula>'Data till lathund Åtgärder'!B2</calculatedColumnFormula>
    </tableColumn>
    <tableColumn id="3" xr3:uid="{017ED356-F79A-489F-97CC-35463042223C}" name="Gjuttemperatur" dataDxfId="71">
      <calculatedColumnFormula>'Data till lathund Åtgärder'!C2</calculatedColumnFormula>
    </tableColumn>
    <tableColumn id="4" xr3:uid="{69392CC2-8AC5-44C2-9E12-F9DD96A8C2BA}" name="Temperatur motgjutningsyta" dataDxfId="70">
      <calculatedColumnFormula>'Data till lathund Åtgärder'!D2</calculatedColumnFormula>
    </tableColumn>
    <tableColumn id="5" xr3:uid="{8B9303D9-BF87-48FE-8822-AC1CECC9E4F0}" name="Väderskydd med uppvärmning" dataDxfId="69">
      <calculatedColumnFormula>'Data till lathund Åtgärder'!E2</calculatedColumnFormula>
    </tableColumn>
    <tableColumn id="6" xr3:uid="{B7483DE5-C4F9-475F-8D0D-F96122DA7E14}" name="Täckning [mm]" dataDxfId="68">
      <calculatedColumnFormula>'Data till lathund Åtgärder'!F2</calculatedColumnFormula>
    </tableColumn>
    <tableColumn id="7" xr3:uid="{4D5A30EE-1649-42C0-8899-3E0B54D7DF86}" name="OK&lt;7D" dataDxfId="67">
      <calculatedColumnFormula>'Data till lathund Åtgärder'!G2</calculatedColumnFormula>
    </tableColumn>
    <tableColumn id="8" xr3:uid="{CDEDF46B-FDBB-441F-8820-C39B910B9BF2}" name="Kommentar" dataDxfId="66">
      <calculatedColumnFormula>'Data till lathund Åtgärder'!H2</calculatedColumnFormula>
    </tableColumn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H91:L100" totalsRowShown="0" dataDxfId="65" tableBorderDxfId="64">
  <autoFilter ref="H91:L100" xr:uid="{E22BB4E2-23A1-4EA7-9081-1344A1661165}"/>
  <tableColumns count="5">
    <tableColumn id="1" xr3:uid="{FE9C781D-1694-4C5A-9F19-04719DEF522A}" name="Utomhustemperatur" dataDxfId="63"/>
    <tableColumn id="2" xr3:uid="{1125BDF9-5B0F-4AB0-B0BA-E26D3B52DFC0}" name="Väderskydd" dataDxfId="62"/>
    <tableColumn id="3" xr3:uid="{BCB07AE1-66ED-4F64-B08A-F6D7C88B3976}" name="Riktig temp under" dataDxfId="61">
      <calculatedColumnFormula>I92+H92</calculatedColumnFormula>
    </tableColumn>
    <tableColumn id="4" xr3:uid="{1ED68B08-8197-403D-8231-4BAB34D022EF}" name="Temperatur motgjutiningsyta" dataDxfId="60"/>
    <tableColumn id="5" xr3:uid="{34EF6F0F-A0DA-4728-88D1-A412521A4138}" name="Gjuttemperatur" dataDxfId="59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C98D8E-AD35-4C17-977B-73A45E514475}" name="Table9" displayName="Table9" ref="A1:A9" totalsRowShown="0" headerRowDxfId="54" dataDxfId="53" headerRowBorderDxfId="51" tableBorderDxfId="52">
  <autoFilter ref="A1:A9" xr:uid="{82C98D8E-AD35-4C17-977B-73A45E514475}"/>
  <tableColumns count="1">
    <tableColumn id="1" xr3:uid="{2623680D-5E93-4AC5-BB3A-E57A26A21FE5}" name="Betongkvalitet" dataDxfId="5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B06457-543B-4C3E-8C7D-AD156BA3536E}" name="Table10" displayName="Table10" ref="B1:B6" totalsRowShown="0" headerRowDxfId="14" dataDxfId="15" headerRowBorderDxfId="17" tableBorderDxfId="57">
  <autoFilter ref="B1:B6" xr:uid="{9EB06457-543B-4C3E-8C7D-AD156BA3536E}"/>
  <tableColumns count="1">
    <tableColumn id="1" xr3:uid="{F3554C0F-86C5-4C70-8CC3-CBF98B5EB718}" name="Gjuttemperatur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D294667-0C05-41F9-A52D-0528D4E955F0}" name="Table245" displayName="Table245" ref="J17:N26" totalsRowShown="0" dataDxfId="50" tableBorderDxfId="49">
  <autoFilter ref="J17:N26" xr:uid="{5D294667-0C05-41F9-A52D-0528D4E955F0}"/>
  <tableColumns count="5">
    <tableColumn id="1" xr3:uid="{BCDAB972-4367-48F1-ACF5-D78D46CB3E0B}" name="Utomhustemperatur" dataDxfId="48"/>
    <tableColumn id="2" xr3:uid="{1D8C6228-38FB-407D-8B59-8D305FFBEFD1}" name="Väderskydd" dataDxfId="47"/>
    <tableColumn id="3" xr3:uid="{ED372757-4EB6-498D-AD78-0108633AE01B}" name="Riktig temp under" dataDxfId="46">
      <calculatedColumnFormula>K18+J18</calculatedColumnFormula>
    </tableColumn>
    <tableColumn id="4" xr3:uid="{EBBEAD10-C32F-4543-A2DE-0EC8BDAB4015}" name="Temperatur motgjutiningsyta" dataDxfId="45"/>
    <tableColumn id="5" xr3:uid="{1E529DCD-847E-4365-801D-9456BD49806E}" name="Gjuttemperatur" dataDxfId="4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57FA3D7-54F6-4873-AA1C-F907BD863DEE}" name="Table1146" displayName="Table1146" ref="J3:K10" totalsRowShown="0" headerRowDxfId="43" headerRowBorderDxfId="41" tableBorderDxfId="42" totalsRowBorderDxfId="40">
  <autoFilter ref="J3:K10" xr:uid="{057FA3D7-54F6-4873-AA1C-F907BD863DEE}"/>
  <tableColumns count="2">
    <tableColumn id="1" xr3:uid="{F4FD7A6E-6EC1-4971-BE28-FC7BD14746A9}" name="Utgångspunkt" dataDxfId="39"/>
    <tableColumn id="2" xr3:uid="{09387F6D-6A5D-43A2-B483-218E62504EBE}" name="Värden" dataDxfId="3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FACB03F-4A20-488C-91CF-223B9F157906}" name="Table1547" displayName="Table1547" ref="C1:C6" totalsRowShown="0" headerRowBorderDxfId="36" tableBorderDxfId="37">
  <autoFilter ref="C1:C6" xr:uid="{7FACB03F-4A20-488C-91CF-223B9F157906}"/>
  <tableColumns count="1">
    <tableColumn id="1" xr3:uid="{6127CA1A-634B-451F-9E4D-F10FB0D2A36F}" name="Temperatur motgjutningsyta" dataDxfId="3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C5F356D-6A4A-42B3-A809-7E1142352441}" name="Table1648" displayName="Table1648" ref="D1:D7" totalsRowShown="0" headerRowBorderDxfId="33" tableBorderDxfId="34">
  <autoFilter ref="D1:D7" xr:uid="{0C5F356D-6A4A-42B3-A809-7E1142352441}"/>
  <tableColumns count="1">
    <tableColumn id="1" xr3:uid="{F69A9D21-9C64-4FB8-839E-3233EAEC051A}" name="Värmekabel" dataDxfId="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4E2DA8D-63B8-4ECD-9630-DB0CBEDC2075}" name="Table1749" displayName="Table1749" ref="E1:E5" totalsRowShown="0" headerRowBorderDxfId="30" tableBorderDxfId="31">
  <autoFilter ref="E1:E5" xr:uid="{C4E2DA8D-63B8-4ECD-9630-DB0CBEDC2075}"/>
  <tableColumns count="1">
    <tableColumn id="1" xr3:uid="{B37EDDF5-D3C2-4607-BEFD-E4F53FAFEE65}" name="Antal värmekabla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1894BE3-AB10-4070-AE8C-5C4C4561E6ED}" name="Table1850" displayName="Table1850" ref="F1:F7" totalsRowShown="0" headerRowBorderDxfId="28" tableBorderDxfId="29">
  <autoFilter ref="F1:F7" xr:uid="{11894BE3-AB10-4070-AE8C-5C4C4561E6ED}"/>
  <tableColumns count="1">
    <tableColumn id="1" xr3:uid="{6697CEE0-7995-4804-AE7F-12B399DCDEF8}" name="Täckning [mm]" dataDxfId="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ECF65CF-75A3-4EDE-89E1-BBE2F6294323}" name="Table1951" displayName="Table1951" ref="G1:G8" totalsRowShown="0" headerRowBorderDxfId="25" tableBorderDxfId="26" totalsRowBorderDxfId="24">
  <autoFilter ref="G1:G8" xr:uid="{6ECF65CF-75A3-4EDE-89E1-BBE2F6294323}"/>
  <tableColumns count="1">
    <tableColumn id="1" xr3:uid="{56C99B29-F424-4CD2-8DE7-88EA367823A0}" name="Formisolering [mm]" dataDxfId="2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23391C9-1B8C-4482-ACC5-75CA6F85351C}" name="Table2052" displayName="Table2052" ref="H1:H3" totalsRowShown="0" headerRowBorderDxfId="21" tableBorderDxfId="22">
  <autoFilter ref="H1:H3" xr:uid="{A23391C9-1B8C-4482-ACC5-75CA6F85351C}"/>
  <tableColumns count="1">
    <tableColumn id="1" xr3:uid="{61158077-D2AD-4C56-8848-06CD82BEAC9E}" name="Komenta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7B3067C-5937-4595-9C11-85FA4BF3A682}" name="Table2153" displayName="Table2153" ref="I1:I2" totalsRowShown="0" headerRowBorderDxfId="19" tableBorderDxfId="20">
  <autoFilter ref="I1:I2" xr:uid="{27B3067C-5937-4595-9C11-85FA4BF3A682}"/>
  <tableColumns count="1">
    <tableColumn id="1" xr3:uid="{85F427A9-1DB1-45A6-A652-5C6D3DB799AD}" name="OK under 17" dataDxfId="1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519F109-E36F-4FD7-968D-9A6AC1486BC8}" name="Table33" displayName="Table33" ref="J29:M34" totalsRowShown="0">
  <autoFilter ref="J29:M34" xr:uid="{B519F109-E36F-4FD7-968D-9A6AC1486BC8}"/>
  <tableColumns count="4">
    <tableColumn id="1" xr3:uid="{D3BA56E2-8CAC-455E-9C09-BFF876390108}" name="Värmekablar"/>
    <tableColumn id="2" xr3:uid="{6177EECA-7313-47F8-87B7-8F262F67E118}" name="1 St"/>
    <tableColumn id="3" xr3:uid="{1EE8B961-04DA-483B-870F-991E04F9AA69}" name="2 St"/>
    <tableColumn id="4" xr3:uid="{63995F5B-EEE7-45DF-9B21-9BB4A81FF8C1}" name="3 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989C-2063-4835-8672-9906F74137D3}">
  <dimension ref="A1:V46"/>
  <sheetViews>
    <sheetView tabSelected="1" zoomScaleNormal="100" workbookViewId="0">
      <selection activeCell="J27" sqref="J27"/>
    </sheetView>
  </sheetViews>
  <sheetFormatPr defaultRowHeight="15" x14ac:dyDescent="0.25"/>
  <cols>
    <col min="1" max="1" width="10.140625" bestFit="1" customWidth="1"/>
    <col min="2" max="2" width="17.42578125" style="2" bestFit="1" customWidth="1"/>
    <col min="3" max="3" width="17.5703125" style="2" customWidth="1"/>
    <col min="4" max="4" width="14" style="2" customWidth="1"/>
    <col min="5" max="5" width="18" style="2" customWidth="1"/>
    <col min="6" max="6" width="16.5703125" style="2" bestFit="1" customWidth="1"/>
    <col min="7" max="7" width="32.85546875" style="2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6.75" customHeight="1" thickBot="1" x14ac:dyDescent="0.3">
      <c r="A1" s="112" t="s">
        <v>0</v>
      </c>
      <c r="B1" s="113" t="s">
        <v>1</v>
      </c>
      <c r="C1" s="113" t="s">
        <v>2</v>
      </c>
      <c r="D1" s="113" t="s">
        <v>108</v>
      </c>
      <c r="E1" s="113" t="s">
        <v>109</v>
      </c>
      <c r="F1" s="113" t="s">
        <v>4</v>
      </c>
      <c r="G1" s="113" t="s">
        <v>110</v>
      </c>
      <c r="H1" s="13" t="s">
        <v>5</v>
      </c>
      <c r="I1" s="13" t="s">
        <v>6</v>
      </c>
      <c r="J1" s="104" t="s">
        <v>100</v>
      </c>
      <c r="K1" s="13" t="s">
        <v>101</v>
      </c>
      <c r="L1" s="13" t="s">
        <v>7</v>
      </c>
      <c r="M1" s="14" t="s">
        <v>8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16</v>
      </c>
      <c r="B2" s="114">
        <v>15</v>
      </c>
      <c r="C2" s="114">
        <v>20</v>
      </c>
      <c r="D2" s="115" t="s">
        <v>10</v>
      </c>
      <c r="E2" s="115" t="s">
        <v>10</v>
      </c>
      <c r="F2" s="114" t="s">
        <v>10</v>
      </c>
      <c r="G2" s="116" t="s">
        <v>111</v>
      </c>
      <c r="H2" s="5">
        <v>20</v>
      </c>
      <c r="I2" s="7">
        <v>0</v>
      </c>
      <c r="J2">
        <v>15.3</v>
      </c>
      <c r="K2" s="6"/>
      <c r="L2" s="7"/>
      <c r="M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  <c r="Q2" s="1"/>
    </row>
    <row r="3" spans="1:22" x14ac:dyDescent="0.25">
      <c r="A3" s="8" t="s">
        <v>16</v>
      </c>
      <c r="B3" s="117">
        <v>15</v>
      </c>
      <c r="C3" s="117">
        <v>20</v>
      </c>
      <c r="D3" s="117" t="s">
        <v>10</v>
      </c>
      <c r="E3" s="117" t="s">
        <v>10</v>
      </c>
      <c r="F3" s="117" t="s">
        <v>10</v>
      </c>
      <c r="G3" s="118" t="s">
        <v>111</v>
      </c>
      <c r="H3" s="8">
        <v>20</v>
      </c>
      <c r="I3" s="9">
        <v>2</v>
      </c>
      <c r="J3">
        <v>15.3</v>
      </c>
      <c r="L3" s="9"/>
      <c r="M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4" spans="1:22" x14ac:dyDescent="0.25">
      <c r="A4" s="8" t="s">
        <v>16</v>
      </c>
      <c r="B4" s="117">
        <v>15</v>
      </c>
      <c r="C4" s="117">
        <v>20</v>
      </c>
      <c r="D4" s="117" t="s">
        <v>10</v>
      </c>
      <c r="E4" s="117" t="s">
        <v>10</v>
      </c>
      <c r="F4" s="117" t="s">
        <v>10</v>
      </c>
      <c r="G4" s="118" t="s">
        <v>111</v>
      </c>
      <c r="H4" s="8">
        <v>20</v>
      </c>
      <c r="I4" s="9">
        <v>7</v>
      </c>
      <c r="J4">
        <v>15.3</v>
      </c>
      <c r="L4" s="9"/>
      <c r="M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5" spans="1:22" x14ac:dyDescent="0.25">
      <c r="A5" s="8" t="s">
        <v>16</v>
      </c>
      <c r="B5" s="117">
        <v>15</v>
      </c>
      <c r="C5" s="117">
        <v>20</v>
      </c>
      <c r="D5" s="117" t="s">
        <v>10</v>
      </c>
      <c r="E5" s="117" t="s">
        <v>10</v>
      </c>
      <c r="F5" s="117" t="s">
        <v>10</v>
      </c>
      <c r="G5" s="118" t="s">
        <v>111</v>
      </c>
      <c r="H5" s="8">
        <v>20</v>
      </c>
      <c r="I5" s="9">
        <v>12</v>
      </c>
      <c r="J5">
        <v>15.3</v>
      </c>
      <c r="L5" s="9"/>
      <c r="M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6" spans="1:22" ht="15.75" thickBot="1" x14ac:dyDescent="0.3">
      <c r="A6" s="10" t="s">
        <v>16</v>
      </c>
      <c r="B6" s="119">
        <v>15</v>
      </c>
      <c r="C6" s="119">
        <v>20</v>
      </c>
      <c r="D6" s="119" t="s">
        <v>10</v>
      </c>
      <c r="E6" s="119" t="s">
        <v>10</v>
      </c>
      <c r="F6" s="119" t="s">
        <v>10</v>
      </c>
      <c r="G6" s="120" t="s">
        <v>111</v>
      </c>
      <c r="H6" s="10">
        <v>20</v>
      </c>
      <c r="I6" s="12">
        <v>20</v>
      </c>
      <c r="J6">
        <v>15.3</v>
      </c>
      <c r="L6" s="12"/>
      <c r="M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C25/301520--</v>
      </c>
    </row>
    <row r="7" spans="1:22" x14ac:dyDescent="0.25">
      <c r="A7" s="8" t="s">
        <v>12</v>
      </c>
      <c r="B7" s="117">
        <v>15</v>
      </c>
      <c r="C7" s="117">
        <v>15</v>
      </c>
      <c r="D7" s="117" t="s">
        <v>10</v>
      </c>
      <c r="E7" s="117" t="s">
        <v>10</v>
      </c>
      <c r="F7" s="117" t="s">
        <v>10</v>
      </c>
      <c r="G7" s="117" t="s">
        <v>111</v>
      </c>
      <c r="H7" s="5">
        <v>15</v>
      </c>
      <c r="I7" s="7">
        <v>0</v>
      </c>
      <c r="J7" s="5">
        <v>15.7</v>
      </c>
      <c r="K7" s="6"/>
      <c r="L7" s="7"/>
      <c r="M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8" spans="1:22" x14ac:dyDescent="0.25">
      <c r="A8" s="8" t="s">
        <v>12</v>
      </c>
      <c r="B8" s="117">
        <v>15</v>
      </c>
      <c r="C8" s="117">
        <v>15</v>
      </c>
      <c r="D8" s="117" t="s">
        <v>10</v>
      </c>
      <c r="E8" s="117" t="s">
        <v>10</v>
      </c>
      <c r="F8" s="117" t="s">
        <v>10</v>
      </c>
      <c r="G8" s="117" t="s">
        <v>111</v>
      </c>
      <c r="H8" s="8">
        <v>15</v>
      </c>
      <c r="I8" s="9">
        <v>2</v>
      </c>
      <c r="J8" s="8">
        <v>15.9</v>
      </c>
      <c r="L8" s="9"/>
      <c r="M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9" spans="1:22" x14ac:dyDescent="0.25">
      <c r="A9" s="8" t="s">
        <v>12</v>
      </c>
      <c r="B9" s="117">
        <v>15</v>
      </c>
      <c r="C9" s="117">
        <v>15</v>
      </c>
      <c r="D9" s="117" t="s">
        <v>10</v>
      </c>
      <c r="E9" s="117" t="s">
        <v>10</v>
      </c>
      <c r="F9" s="117" t="s">
        <v>10</v>
      </c>
      <c r="G9" s="117" t="s">
        <v>111</v>
      </c>
      <c r="H9" s="8">
        <v>15</v>
      </c>
      <c r="I9" s="9">
        <v>7</v>
      </c>
      <c r="J9" s="8">
        <v>16</v>
      </c>
      <c r="L9" s="9"/>
      <c r="M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0" spans="1:22" x14ac:dyDescent="0.25">
      <c r="A10" s="8" t="s">
        <v>12</v>
      </c>
      <c r="B10" s="117">
        <v>15</v>
      </c>
      <c r="C10" s="117">
        <v>15</v>
      </c>
      <c r="D10" s="117" t="s">
        <v>10</v>
      </c>
      <c r="E10" s="117" t="s">
        <v>10</v>
      </c>
      <c r="F10" s="117" t="s">
        <v>10</v>
      </c>
      <c r="G10" s="117" t="s">
        <v>111</v>
      </c>
      <c r="H10" s="8">
        <v>15</v>
      </c>
      <c r="I10" s="9">
        <v>12</v>
      </c>
      <c r="J10" s="8">
        <v>16.100000000000001</v>
      </c>
      <c r="L10" s="9"/>
      <c r="M1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1" spans="1:22" ht="15.75" thickBot="1" x14ac:dyDescent="0.3">
      <c r="A11" s="8" t="s">
        <v>12</v>
      </c>
      <c r="B11" s="117">
        <v>15</v>
      </c>
      <c r="C11" s="117">
        <v>15</v>
      </c>
      <c r="D11" s="117" t="s">
        <v>10</v>
      </c>
      <c r="E11" s="117" t="s">
        <v>10</v>
      </c>
      <c r="F11" s="117" t="s">
        <v>10</v>
      </c>
      <c r="G11" s="117" t="s">
        <v>111</v>
      </c>
      <c r="H11" s="10">
        <v>15</v>
      </c>
      <c r="I11" s="12">
        <v>20</v>
      </c>
      <c r="J11" s="10">
        <v>16.100000000000001</v>
      </c>
      <c r="K11" s="11"/>
      <c r="L11" s="12"/>
      <c r="M1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C28/351515--</v>
      </c>
    </row>
    <row r="12" spans="1:22" x14ac:dyDescent="0.25">
      <c r="A12" s="5" t="s">
        <v>45</v>
      </c>
      <c r="B12" s="114">
        <v>15</v>
      </c>
      <c r="C12" s="114">
        <v>10</v>
      </c>
      <c r="D12" s="114" t="s">
        <v>10</v>
      </c>
      <c r="E12" s="114" t="s">
        <v>10</v>
      </c>
      <c r="F12" s="114" t="s">
        <v>10</v>
      </c>
      <c r="G12" s="121" t="s">
        <v>111</v>
      </c>
      <c r="H12" s="5">
        <v>10</v>
      </c>
      <c r="I12" s="7">
        <v>0</v>
      </c>
      <c r="J12" s="5">
        <v>16.7</v>
      </c>
      <c r="K12" s="6"/>
      <c r="L12" s="7"/>
      <c r="M1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C32/401510--</v>
      </c>
    </row>
    <row r="13" spans="1:22" x14ac:dyDescent="0.25">
      <c r="A13" s="8" t="s">
        <v>13</v>
      </c>
      <c r="B13" s="117">
        <v>15</v>
      </c>
      <c r="C13" s="117">
        <v>10</v>
      </c>
      <c r="D13" s="117" t="s">
        <v>10</v>
      </c>
      <c r="E13" s="117" t="s">
        <v>10</v>
      </c>
      <c r="F13" s="117" t="s">
        <v>10</v>
      </c>
      <c r="G13" s="118" t="s">
        <v>111</v>
      </c>
      <c r="H13" s="8">
        <v>10</v>
      </c>
      <c r="I13" s="9">
        <v>2</v>
      </c>
      <c r="J13" s="8">
        <v>16.100000000000001</v>
      </c>
      <c r="L13" s="9"/>
      <c r="M1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C35/451510--</v>
      </c>
    </row>
    <row r="14" spans="1:22" x14ac:dyDescent="0.25">
      <c r="A14" s="8" t="s">
        <v>13</v>
      </c>
      <c r="B14" s="117">
        <v>15</v>
      </c>
      <c r="C14" s="117">
        <v>10</v>
      </c>
      <c r="D14" s="117" t="s">
        <v>10</v>
      </c>
      <c r="E14" s="117" t="s">
        <v>10</v>
      </c>
      <c r="F14" s="117" t="s">
        <v>11</v>
      </c>
      <c r="G14" s="118" t="s">
        <v>111</v>
      </c>
      <c r="H14" s="8">
        <v>10</v>
      </c>
      <c r="I14" s="9">
        <v>7</v>
      </c>
      <c r="J14" s="8">
        <v>16.3</v>
      </c>
      <c r="L14" s="9"/>
      <c r="M1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5" spans="1:22" x14ac:dyDescent="0.25">
      <c r="A15" s="8" t="s">
        <v>13</v>
      </c>
      <c r="B15" s="117">
        <v>15</v>
      </c>
      <c r="C15" s="117">
        <v>10</v>
      </c>
      <c r="D15" s="117" t="s">
        <v>10</v>
      </c>
      <c r="E15" s="117" t="s">
        <v>10</v>
      </c>
      <c r="F15" s="117" t="s">
        <v>11</v>
      </c>
      <c r="G15" s="118" t="s">
        <v>111</v>
      </c>
      <c r="H15" s="8">
        <v>10</v>
      </c>
      <c r="I15" s="9">
        <v>12</v>
      </c>
      <c r="J15" s="8">
        <v>16.5</v>
      </c>
      <c r="L15" s="9"/>
      <c r="M1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6" spans="1:22" ht="15.75" thickBot="1" x14ac:dyDescent="0.3">
      <c r="A16" s="10" t="s">
        <v>13</v>
      </c>
      <c r="B16" s="119">
        <v>15</v>
      </c>
      <c r="C16" s="119">
        <v>10</v>
      </c>
      <c r="D16" s="119" t="s">
        <v>10</v>
      </c>
      <c r="E16" s="119" t="s">
        <v>10</v>
      </c>
      <c r="F16" s="119" t="s">
        <v>11</v>
      </c>
      <c r="G16" s="120" t="s">
        <v>111</v>
      </c>
      <c r="H16" s="10">
        <v>10</v>
      </c>
      <c r="I16" s="12">
        <v>20</v>
      </c>
      <c r="J16" s="10">
        <v>16.5</v>
      </c>
      <c r="K16" s="11"/>
      <c r="L16" s="12"/>
      <c r="M1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C35/451510-Presenning</v>
      </c>
    </row>
    <row r="17" spans="1:13" x14ac:dyDescent="0.25">
      <c r="A17" s="8" t="s">
        <v>9</v>
      </c>
      <c r="B17" s="117">
        <v>20</v>
      </c>
      <c r="C17" s="117">
        <v>5</v>
      </c>
      <c r="D17" s="117">
        <v>40</v>
      </c>
      <c r="E17" s="117">
        <v>2</v>
      </c>
      <c r="F17" s="117" t="s">
        <v>10</v>
      </c>
      <c r="G17" s="117" t="s">
        <v>114</v>
      </c>
      <c r="H17" s="5">
        <v>5</v>
      </c>
      <c r="I17" s="7">
        <v>0</v>
      </c>
      <c r="J17" s="6">
        <v>17</v>
      </c>
      <c r="K17" s="6"/>
      <c r="L17" s="7"/>
      <c r="M1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C20/2520540-</v>
      </c>
    </row>
    <row r="18" spans="1:13" x14ac:dyDescent="0.25">
      <c r="A18" s="8" t="s">
        <v>9</v>
      </c>
      <c r="B18" s="117">
        <v>20</v>
      </c>
      <c r="C18" s="117">
        <v>5</v>
      </c>
      <c r="D18" s="117">
        <v>40</v>
      </c>
      <c r="E18" s="117">
        <v>2</v>
      </c>
      <c r="F18" s="117">
        <v>10</v>
      </c>
      <c r="G18" s="117" t="s">
        <v>119</v>
      </c>
      <c r="H18" s="8">
        <v>5</v>
      </c>
      <c r="I18" s="9">
        <v>2</v>
      </c>
      <c r="J18">
        <v>17</v>
      </c>
      <c r="L18" s="9"/>
      <c r="M1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C20/252054010</v>
      </c>
    </row>
    <row r="19" spans="1:13" x14ac:dyDescent="0.25">
      <c r="A19" s="8" t="s">
        <v>16</v>
      </c>
      <c r="B19" s="117">
        <v>20</v>
      </c>
      <c r="C19" s="117">
        <v>5</v>
      </c>
      <c r="D19" s="117">
        <v>40</v>
      </c>
      <c r="E19" s="117">
        <v>1</v>
      </c>
      <c r="F19" s="117">
        <v>10</v>
      </c>
      <c r="G19" s="117" t="s">
        <v>114</v>
      </c>
      <c r="H19" s="8">
        <v>5</v>
      </c>
      <c r="I19" s="9">
        <v>7</v>
      </c>
      <c r="J19">
        <v>16.899999999999999</v>
      </c>
      <c r="L19" s="9"/>
      <c r="M1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0" spans="1:13" x14ac:dyDescent="0.25">
      <c r="A20" s="8" t="s">
        <v>16</v>
      </c>
      <c r="B20" s="117">
        <v>20</v>
      </c>
      <c r="C20" s="117">
        <v>5</v>
      </c>
      <c r="D20" s="117">
        <v>40</v>
      </c>
      <c r="E20" s="117">
        <v>1</v>
      </c>
      <c r="F20" s="117">
        <v>10</v>
      </c>
      <c r="G20" s="117" t="s">
        <v>116</v>
      </c>
      <c r="H20" s="8">
        <v>5</v>
      </c>
      <c r="I20" s="9">
        <v>12</v>
      </c>
      <c r="J20">
        <v>16.899999999999999</v>
      </c>
      <c r="L20" s="9"/>
      <c r="M2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1" spans="1:13" ht="15.75" thickBot="1" x14ac:dyDescent="0.3">
      <c r="A21" s="8" t="s">
        <v>16</v>
      </c>
      <c r="B21" s="117">
        <v>20</v>
      </c>
      <c r="C21" s="117">
        <v>5</v>
      </c>
      <c r="D21" s="117">
        <v>40</v>
      </c>
      <c r="E21" s="117">
        <v>1</v>
      </c>
      <c r="F21" s="117">
        <v>10</v>
      </c>
      <c r="G21" s="117" t="s">
        <v>118</v>
      </c>
      <c r="H21" s="10">
        <v>5</v>
      </c>
      <c r="I21" s="12">
        <v>20</v>
      </c>
      <c r="J21" s="11">
        <v>17</v>
      </c>
      <c r="K21" s="11"/>
      <c r="L21" s="12"/>
      <c r="M2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2" spans="1:13" x14ac:dyDescent="0.25">
      <c r="A22" s="5" t="s">
        <v>9</v>
      </c>
      <c r="B22" s="114">
        <v>20</v>
      </c>
      <c r="C22" s="114">
        <v>5</v>
      </c>
      <c r="D22" s="114">
        <v>40</v>
      </c>
      <c r="E22" s="114">
        <v>3</v>
      </c>
      <c r="F22" s="114">
        <v>10</v>
      </c>
      <c r="G22" s="121" t="s">
        <v>116</v>
      </c>
      <c r="H22" s="5">
        <v>0</v>
      </c>
      <c r="I22" s="7">
        <v>0</v>
      </c>
      <c r="J22" s="6">
        <v>16.899999999999999</v>
      </c>
      <c r="K22" s="6"/>
      <c r="L22" s="7"/>
      <c r="M2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C20/252054010</v>
      </c>
    </row>
    <row r="23" spans="1:13" x14ac:dyDescent="0.25">
      <c r="A23" s="8" t="s">
        <v>16</v>
      </c>
      <c r="B23" s="117">
        <v>20</v>
      </c>
      <c r="C23" s="117">
        <v>5</v>
      </c>
      <c r="D23" s="117">
        <v>40</v>
      </c>
      <c r="E23" s="117">
        <v>1</v>
      </c>
      <c r="F23" s="117">
        <v>10</v>
      </c>
      <c r="G23" s="118" t="s">
        <v>119</v>
      </c>
      <c r="H23" s="8">
        <v>0</v>
      </c>
      <c r="I23" s="9">
        <v>2</v>
      </c>
      <c r="J23">
        <v>17</v>
      </c>
      <c r="L23" s="9"/>
      <c r="M2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4" spans="1:13" x14ac:dyDescent="0.25">
      <c r="A24" s="8" t="s">
        <v>16</v>
      </c>
      <c r="B24" s="117">
        <v>20</v>
      </c>
      <c r="C24" s="117">
        <v>5</v>
      </c>
      <c r="D24" s="117">
        <v>40</v>
      </c>
      <c r="E24" s="117">
        <v>2</v>
      </c>
      <c r="F24" s="117">
        <v>10</v>
      </c>
      <c r="G24" s="118" t="s">
        <v>116</v>
      </c>
      <c r="H24" s="8">
        <v>0</v>
      </c>
      <c r="I24" s="9">
        <v>7</v>
      </c>
      <c r="J24">
        <v>16.8</v>
      </c>
      <c r="L24" s="9"/>
      <c r="M2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5" spans="1:13" x14ac:dyDescent="0.25">
      <c r="A25" s="8" t="s">
        <v>16</v>
      </c>
      <c r="B25" s="117">
        <v>20</v>
      </c>
      <c r="C25" s="117">
        <v>5</v>
      </c>
      <c r="D25" s="117">
        <v>40</v>
      </c>
      <c r="E25" s="117">
        <v>2</v>
      </c>
      <c r="F25" s="117">
        <v>10</v>
      </c>
      <c r="G25" s="118" t="s">
        <v>119</v>
      </c>
      <c r="H25" s="8">
        <v>0</v>
      </c>
      <c r="I25" s="9">
        <v>12</v>
      </c>
      <c r="J25">
        <v>17</v>
      </c>
      <c r="L25" s="9"/>
      <c r="M2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6" spans="1:13" ht="15.75" thickBot="1" x14ac:dyDescent="0.3">
      <c r="A26" s="10" t="s">
        <v>16</v>
      </c>
      <c r="B26" s="119">
        <v>20</v>
      </c>
      <c r="C26" s="119">
        <v>5</v>
      </c>
      <c r="D26" s="119">
        <v>40</v>
      </c>
      <c r="E26" s="119">
        <v>3</v>
      </c>
      <c r="F26" s="119">
        <v>10</v>
      </c>
      <c r="G26" s="120" t="s">
        <v>118</v>
      </c>
      <c r="H26" s="10">
        <v>0</v>
      </c>
      <c r="I26" s="12">
        <v>20</v>
      </c>
      <c r="J26" s="11">
        <v>17</v>
      </c>
      <c r="K26" s="11"/>
      <c r="L26" s="12"/>
      <c r="M2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7" spans="1:13" x14ac:dyDescent="0.25">
      <c r="A27" s="5" t="s">
        <v>16</v>
      </c>
      <c r="B27" s="114">
        <v>20</v>
      </c>
      <c r="C27" s="114">
        <v>5</v>
      </c>
      <c r="D27" s="114">
        <v>40</v>
      </c>
      <c r="E27" s="114">
        <v>1</v>
      </c>
      <c r="F27" s="114">
        <v>10</v>
      </c>
      <c r="G27" s="121" t="s">
        <v>118</v>
      </c>
      <c r="H27" s="5">
        <v>-5</v>
      </c>
      <c r="I27" s="7">
        <v>0</v>
      </c>
      <c r="J27" s="6">
        <v>17</v>
      </c>
      <c r="K27" s="6"/>
      <c r="L27" s="7"/>
      <c r="M2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8" spans="1:13" x14ac:dyDescent="0.25">
      <c r="A28" s="8" t="s">
        <v>16</v>
      </c>
      <c r="B28" s="117">
        <v>20</v>
      </c>
      <c r="C28" s="117">
        <v>5</v>
      </c>
      <c r="D28" s="117">
        <v>40</v>
      </c>
      <c r="E28" s="117">
        <v>2</v>
      </c>
      <c r="F28" s="117">
        <v>10</v>
      </c>
      <c r="G28" s="118" t="s">
        <v>116</v>
      </c>
      <c r="H28" s="8">
        <v>-5</v>
      </c>
      <c r="I28" s="9">
        <v>2</v>
      </c>
      <c r="J28">
        <v>16.8</v>
      </c>
      <c r="L28" s="9"/>
      <c r="M2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29" spans="1:13" x14ac:dyDescent="0.25">
      <c r="A29" s="8" t="s">
        <v>12</v>
      </c>
      <c r="B29" s="117">
        <v>20</v>
      </c>
      <c r="C29" s="117">
        <v>5</v>
      </c>
      <c r="D29" s="117">
        <v>40</v>
      </c>
      <c r="E29" s="117">
        <v>1</v>
      </c>
      <c r="F29" s="117">
        <v>10</v>
      </c>
      <c r="G29" s="118" t="s">
        <v>118</v>
      </c>
      <c r="H29" s="8">
        <v>-5</v>
      </c>
      <c r="I29" s="9">
        <v>7</v>
      </c>
      <c r="J29">
        <v>16.7</v>
      </c>
      <c r="L29" s="9"/>
      <c r="M2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0" spans="1:13" x14ac:dyDescent="0.25">
      <c r="A30" s="8" t="s">
        <v>12</v>
      </c>
      <c r="B30" s="117">
        <v>20</v>
      </c>
      <c r="C30" s="117">
        <v>5</v>
      </c>
      <c r="D30" s="117">
        <v>40</v>
      </c>
      <c r="E30" s="117">
        <v>2</v>
      </c>
      <c r="F30" s="117">
        <v>10</v>
      </c>
      <c r="G30" s="118" t="s">
        <v>114</v>
      </c>
      <c r="H30" s="8">
        <v>-5</v>
      </c>
      <c r="I30" s="9">
        <v>12</v>
      </c>
      <c r="J30">
        <v>16.8</v>
      </c>
      <c r="L30" s="9"/>
      <c r="M3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15</v>
      </c>
      <c r="M3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32" spans="1:13" x14ac:dyDescent="0.25">
      <c r="A32" s="5" t="s">
        <v>16</v>
      </c>
      <c r="B32" s="114">
        <v>20</v>
      </c>
      <c r="C32" s="114">
        <v>5</v>
      </c>
      <c r="D32" s="114">
        <v>40</v>
      </c>
      <c r="E32" s="114">
        <v>2</v>
      </c>
      <c r="F32" s="114">
        <v>10</v>
      </c>
      <c r="G32" s="121" t="s">
        <v>114</v>
      </c>
      <c r="H32" s="5">
        <v>-10</v>
      </c>
      <c r="I32" s="7">
        <v>0</v>
      </c>
      <c r="J32" s="6">
        <v>16.7</v>
      </c>
      <c r="K32" s="6"/>
      <c r="L32" s="7"/>
      <c r="M32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33" spans="1:13" x14ac:dyDescent="0.25">
      <c r="A33" s="8" t="s">
        <v>16</v>
      </c>
      <c r="B33" s="117">
        <v>20</v>
      </c>
      <c r="C33" s="117">
        <v>5</v>
      </c>
      <c r="D33" s="117">
        <v>40</v>
      </c>
      <c r="E33" s="117">
        <v>3</v>
      </c>
      <c r="F33" s="117">
        <v>10</v>
      </c>
      <c r="G33" s="118" t="s">
        <v>119</v>
      </c>
      <c r="H33" s="8">
        <v>-10</v>
      </c>
      <c r="I33" s="9">
        <v>2</v>
      </c>
      <c r="J33">
        <v>16.899999999999999</v>
      </c>
      <c r="L33" s="9"/>
      <c r="M3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C25/302054010</v>
      </c>
    </row>
    <row r="34" spans="1:13" x14ac:dyDescent="0.25">
      <c r="A34" s="8" t="s">
        <v>12</v>
      </c>
      <c r="B34" s="117">
        <v>20</v>
      </c>
      <c r="C34" s="117">
        <v>5</v>
      </c>
      <c r="D34" s="117">
        <v>40</v>
      </c>
      <c r="E34" s="117">
        <v>2</v>
      </c>
      <c r="F34" s="117">
        <v>10</v>
      </c>
      <c r="G34" s="118" t="s">
        <v>116</v>
      </c>
      <c r="H34" s="8">
        <v>-10</v>
      </c>
      <c r="I34" s="9">
        <v>7</v>
      </c>
      <c r="J34">
        <v>17</v>
      </c>
      <c r="L34" s="9"/>
      <c r="M3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C28/352054010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15</v>
      </c>
      <c r="M3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15</v>
      </c>
      <c r="M3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37" spans="1:13" x14ac:dyDescent="0.25">
      <c r="A37" s="8" t="s">
        <v>12</v>
      </c>
      <c r="B37" s="117">
        <v>15</v>
      </c>
      <c r="C37" s="117">
        <v>5</v>
      </c>
      <c r="D37" s="117">
        <v>40</v>
      </c>
      <c r="E37" s="117">
        <v>3</v>
      </c>
      <c r="F37" s="117">
        <v>50</v>
      </c>
      <c r="G37" s="117" t="s">
        <v>116</v>
      </c>
      <c r="H37" s="5">
        <v>-15</v>
      </c>
      <c r="I37" s="7">
        <v>0</v>
      </c>
      <c r="J37" s="6">
        <v>17</v>
      </c>
      <c r="K37" s="6"/>
      <c r="L37" s="7"/>
      <c r="M37" s="15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C28/351554050</v>
      </c>
    </row>
    <row r="38" spans="1:13" x14ac:dyDescent="0.25">
      <c r="A38" s="8" t="s">
        <v>45</v>
      </c>
      <c r="B38" s="117">
        <v>15</v>
      </c>
      <c r="C38" s="117">
        <v>5</v>
      </c>
      <c r="D38" s="117">
        <v>40</v>
      </c>
      <c r="E38" s="117">
        <v>3</v>
      </c>
      <c r="F38" s="117">
        <v>20</v>
      </c>
      <c r="G38" s="117" t="s">
        <v>119</v>
      </c>
      <c r="H38" s="8">
        <v>-15</v>
      </c>
      <c r="I38" s="9">
        <v>2</v>
      </c>
      <c r="J38">
        <v>17</v>
      </c>
      <c r="L38" s="9"/>
      <c r="M38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C32/401554020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15</v>
      </c>
      <c r="M39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15</v>
      </c>
      <c r="M40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15</v>
      </c>
      <c r="M41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113</v>
      </c>
      <c r="M42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-----Når ej 6 MPa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15</v>
      </c>
      <c r="M43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15</v>
      </c>
      <c r="M44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15</v>
      </c>
      <c r="M45" s="16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15</v>
      </c>
      <c r="M46" s="17" t="str">
        <f>Table155[[#This Row],[Kvalitet]]&amp;Table155[[#This Row],[Gjuttemperatur]]&amp;Table155[[#This Row],[Temperatur motgjutningsyta]]&amp;Table155[[#This Row],[Värmekabel]]&amp;Table155[[#This Row],[Täckning '[mm']]]&amp;Table155[[#This Row],[OK&lt;17 Timamr]]&amp;Table155[[#This Row],[Kommentar]]</f>
        <v>-----Fryser innan täck</v>
      </c>
    </row>
  </sheetData>
  <dataValidations count="1">
    <dataValidation type="list" allowBlank="1" showInputMessage="1" showErrorMessage="1" sqref="N2:N46" xr:uid="{428CA0E2-E775-4E78-8EF6-3AB54441B8EA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58E0EF0-9093-4331-82C0-DA714631C2DD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44266A4D-D85D-4DAC-BA5F-904436F3AD91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D2D15C64-A544-4480-847C-47A2617DEFFE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7CAF8A79-39BB-41AF-B51F-F031637D0AFC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9A98738D-C0B0-40A1-9CFA-295DC2791674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C47D52E6-2A87-4227-92CE-B4EE0452D139}">
          <x14:formula1>
            <xm:f>Förutsättningar!$I$2</xm:f>
          </x14:formula1>
          <xm:sqref>K2:K46</xm:sqref>
        </x14:dataValidation>
        <x14:dataValidation type="list" allowBlank="1" showInputMessage="1" showErrorMessage="1" xr:uid="{F084018C-E9D5-4494-81C5-BBA35F7DBB48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C6798FEF-87E5-4B14-B68E-DF1D79517AD3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2314C81E-BCB0-46A6-A792-2813BD284BCF}">
          <x14:formula1>
            <xm:f>Förutsättningar!$A$2:$A$9</xm:f>
          </x14:formula1>
          <xm:sqref>A2:A46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C518-3BB9-4361-A3F6-977E56AC6228}">
  <dimension ref="A1:V46"/>
  <sheetViews>
    <sheetView topLeftCell="A17" zoomScaleNormal="100" workbookViewId="0">
      <selection activeCell="E32" sqref="E32"/>
    </sheetView>
  </sheetViews>
  <sheetFormatPr defaultRowHeight="15" x14ac:dyDescent="0.25"/>
  <cols>
    <col min="1" max="1" width="10.140625" bestFit="1" customWidth="1"/>
    <col min="2" max="2" width="17.42578125" style="2" bestFit="1" customWidth="1"/>
    <col min="3" max="3" width="17.5703125" style="2" customWidth="1"/>
    <col min="4" max="4" width="14" style="2" customWidth="1"/>
    <col min="5" max="5" width="18" style="2" customWidth="1"/>
    <col min="6" max="6" width="16.140625" style="2" customWidth="1"/>
    <col min="7" max="7" width="25.5703125" style="2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6.75" customHeight="1" thickBot="1" x14ac:dyDescent="0.3">
      <c r="A1" s="112" t="s">
        <v>0</v>
      </c>
      <c r="B1" s="113" t="s">
        <v>1</v>
      </c>
      <c r="C1" s="113" t="s">
        <v>2</v>
      </c>
      <c r="D1" s="113" t="s">
        <v>108</v>
      </c>
      <c r="E1" s="113" t="s">
        <v>109</v>
      </c>
      <c r="F1" s="113" t="s">
        <v>4</v>
      </c>
      <c r="G1" s="113" t="s">
        <v>110</v>
      </c>
      <c r="H1" s="13" t="s">
        <v>5</v>
      </c>
      <c r="I1" s="13" t="s">
        <v>6</v>
      </c>
      <c r="J1" s="104" t="s">
        <v>100</v>
      </c>
      <c r="K1" s="13" t="s">
        <v>101</v>
      </c>
      <c r="L1" s="13" t="s">
        <v>7</v>
      </c>
      <c r="M1" s="14" t="s">
        <v>8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12</v>
      </c>
      <c r="B2" s="114">
        <v>15</v>
      </c>
      <c r="C2" s="114">
        <v>20</v>
      </c>
      <c r="D2" s="115" t="s">
        <v>10</v>
      </c>
      <c r="E2" s="115" t="s">
        <v>10</v>
      </c>
      <c r="F2" s="114" t="s">
        <v>10</v>
      </c>
      <c r="G2" s="116" t="s">
        <v>111</v>
      </c>
      <c r="H2" s="5">
        <v>20</v>
      </c>
      <c r="I2" s="7">
        <v>0</v>
      </c>
      <c r="J2">
        <v>15.3</v>
      </c>
      <c r="K2" s="6"/>
      <c r="L2" s="7"/>
      <c r="M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  <c r="Q2" s="1"/>
    </row>
    <row r="3" spans="1:22" x14ac:dyDescent="0.25">
      <c r="A3" s="8" t="s">
        <v>12</v>
      </c>
      <c r="B3" s="117">
        <v>15</v>
      </c>
      <c r="C3" s="117">
        <v>20</v>
      </c>
      <c r="D3" s="117" t="s">
        <v>10</v>
      </c>
      <c r="E3" s="117" t="s">
        <v>10</v>
      </c>
      <c r="F3" s="117" t="s">
        <v>10</v>
      </c>
      <c r="G3" s="118" t="s">
        <v>111</v>
      </c>
      <c r="H3" s="8">
        <v>20</v>
      </c>
      <c r="I3" s="9">
        <v>2</v>
      </c>
      <c r="J3">
        <v>15.3</v>
      </c>
      <c r="L3" s="9"/>
      <c r="M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4" spans="1:22" x14ac:dyDescent="0.25">
      <c r="A4" s="8" t="s">
        <v>12</v>
      </c>
      <c r="B4" s="117">
        <v>15</v>
      </c>
      <c r="C4" s="117">
        <v>20</v>
      </c>
      <c r="D4" s="117" t="s">
        <v>10</v>
      </c>
      <c r="E4" s="117" t="s">
        <v>10</v>
      </c>
      <c r="F4" s="117" t="s">
        <v>10</v>
      </c>
      <c r="G4" s="118" t="s">
        <v>111</v>
      </c>
      <c r="H4" s="8">
        <v>20</v>
      </c>
      <c r="I4" s="9">
        <v>7</v>
      </c>
      <c r="J4">
        <v>15.3</v>
      </c>
      <c r="L4" s="9"/>
      <c r="M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5" spans="1:22" x14ac:dyDescent="0.25">
      <c r="A5" s="8" t="s">
        <v>12</v>
      </c>
      <c r="B5" s="117">
        <v>15</v>
      </c>
      <c r="C5" s="117">
        <v>20</v>
      </c>
      <c r="D5" s="117" t="s">
        <v>10</v>
      </c>
      <c r="E5" s="117" t="s">
        <v>10</v>
      </c>
      <c r="F5" s="117" t="s">
        <v>10</v>
      </c>
      <c r="G5" s="118" t="s">
        <v>111</v>
      </c>
      <c r="H5" s="8">
        <v>20</v>
      </c>
      <c r="I5" s="9">
        <v>12</v>
      </c>
      <c r="J5">
        <v>15.3</v>
      </c>
      <c r="L5" s="9"/>
      <c r="M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6" spans="1:22" ht="15.75" thickBot="1" x14ac:dyDescent="0.3">
      <c r="A6" s="10" t="s">
        <v>12</v>
      </c>
      <c r="B6" s="119">
        <v>15</v>
      </c>
      <c r="C6" s="119">
        <v>20</v>
      </c>
      <c r="D6" s="119" t="s">
        <v>10</v>
      </c>
      <c r="E6" s="119" t="s">
        <v>10</v>
      </c>
      <c r="F6" s="119" t="s">
        <v>10</v>
      </c>
      <c r="G6" s="120" t="s">
        <v>111</v>
      </c>
      <c r="H6" s="10">
        <v>20</v>
      </c>
      <c r="I6" s="12">
        <v>20</v>
      </c>
      <c r="J6">
        <v>15.3</v>
      </c>
      <c r="L6" s="12"/>
      <c r="M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7" spans="1:22" x14ac:dyDescent="0.25">
      <c r="A7" s="8" t="s">
        <v>43</v>
      </c>
      <c r="B7" s="117">
        <v>15</v>
      </c>
      <c r="C7" s="117">
        <v>15</v>
      </c>
      <c r="D7" s="117" t="s">
        <v>10</v>
      </c>
      <c r="E7" s="117" t="s">
        <v>10</v>
      </c>
      <c r="F7" s="117" t="s">
        <v>10</v>
      </c>
      <c r="G7" s="117" t="s">
        <v>111</v>
      </c>
      <c r="H7" s="5">
        <v>15</v>
      </c>
      <c r="I7" s="7">
        <v>0</v>
      </c>
      <c r="J7" s="5">
        <v>16.399999999999999</v>
      </c>
      <c r="K7" s="6"/>
      <c r="L7" s="7"/>
      <c r="M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8" spans="1:22" x14ac:dyDescent="0.25">
      <c r="A8" s="8" t="s">
        <v>43</v>
      </c>
      <c r="B8" s="117">
        <v>15</v>
      </c>
      <c r="C8" s="117">
        <v>15</v>
      </c>
      <c r="D8" s="117" t="s">
        <v>10</v>
      </c>
      <c r="E8" s="117" t="s">
        <v>10</v>
      </c>
      <c r="F8" s="117" t="s">
        <v>10</v>
      </c>
      <c r="G8" s="117" t="s">
        <v>111</v>
      </c>
      <c r="H8" s="8">
        <v>15</v>
      </c>
      <c r="I8" s="9">
        <v>2</v>
      </c>
      <c r="J8" s="8">
        <v>16.600000000000001</v>
      </c>
      <c r="L8" s="9"/>
      <c r="M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9" spans="1:22" x14ac:dyDescent="0.25">
      <c r="A9" s="8" t="s">
        <v>43</v>
      </c>
      <c r="B9" s="117">
        <v>15</v>
      </c>
      <c r="C9" s="117">
        <v>15</v>
      </c>
      <c r="D9" s="117" t="s">
        <v>10</v>
      </c>
      <c r="E9" s="117" t="s">
        <v>10</v>
      </c>
      <c r="F9" s="117" t="s">
        <v>10</v>
      </c>
      <c r="G9" s="117" t="s">
        <v>111</v>
      </c>
      <c r="H9" s="8">
        <v>15</v>
      </c>
      <c r="I9" s="9">
        <v>7</v>
      </c>
      <c r="J9" s="8">
        <v>16.8</v>
      </c>
      <c r="L9" s="9"/>
      <c r="M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10" spans="1:22" x14ac:dyDescent="0.25">
      <c r="A10" s="8" t="s">
        <v>43</v>
      </c>
      <c r="B10" s="117">
        <v>15</v>
      </c>
      <c r="C10" s="117">
        <v>15</v>
      </c>
      <c r="D10" s="117" t="s">
        <v>10</v>
      </c>
      <c r="E10" s="117" t="s">
        <v>10</v>
      </c>
      <c r="F10" s="117" t="s">
        <v>11</v>
      </c>
      <c r="G10" s="117" t="s">
        <v>111</v>
      </c>
      <c r="H10" s="8">
        <v>15</v>
      </c>
      <c r="I10" s="9">
        <v>12</v>
      </c>
      <c r="J10" s="8">
        <v>16.899999999999999</v>
      </c>
      <c r="L10" s="9"/>
      <c r="M1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</v>
      </c>
    </row>
    <row r="11" spans="1:22" ht="15.75" thickBot="1" x14ac:dyDescent="0.3">
      <c r="A11" s="8" t="s">
        <v>43</v>
      </c>
      <c r="B11" s="117">
        <v>15</v>
      </c>
      <c r="C11" s="117">
        <v>15</v>
      </c>
      <c r="D11" s="117" t="s">
        <v>10</v>
      </c>
      <c r="E11" s="117" t="s">
        <v>10</v>
      </c>
      <c r="F11" s="117" t="s">
        <v>11</v>
      </c>
      <c r="G11" s="117" t="s">
        <v>111</v>
      </c>
      <c r="H11" s="10">
        <v>15</v>
      </c>
      <c r="I11" s="12">
        <v>20</v>
      </c>
      <c r="J11" s="10">
        <v>17</v>
      </c>
      <c r="K11" s="11"/>
      <c r="L11" s="12"/>
      <c r="M1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</v>
      </c>
    </row>
    <row r="12" spans="1:22" x14ac:dyDescent="0.25">
      <c r="A12" s="5" t="s">
        <v>13</v>
      </c>
      <c r="B12" s="114">
        <v>15</v>
      </c>
      <c r="C12" s="114">
        <v>10</v>
      </c>
      <c r="D12" s="114" t="s">
        <v>10</v>
      </c>
      <c r="E12" s="114" t="s">
        <v>10</v>
      </c>
      <c r="F12" s="114" t="s">
        <v>10</v>
      </c>
      <c r="G12" s="121" t="s">
        <v>111</v>
      </c>
      <c r="H12" s="5">
        <v>10</v>
      </c>
      <c r="I12" s="7">
        <v>0</v>
      </c>
      <c r="J12" s="5">
        <v>16.7</v>
      </c>
      <c r="K12" s="6"/>
      <c r="L12" s="7"/>
      <c r="M1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C35/451510--</v>
      </c>
    </row>
    <row r="13" spans="1:22" x14ac:dyDescent="0.25">
      <c r="A13" s="8" t="s">
        <v>14</v>
      </c>
      <c r="B13" s="117">
        <v>15</v>
      </c>
      <c r="C13" s="117">
        <v>10</v>
      </c>
      <c r="D13" s="117" t="s">
        <v>10</v>
      </c>
      <c r="E13" s="117" t="s">
        <v>10</v>
      </c>
      <c r="F13" s="117" t="s">
        <v>10</v>
      </c>
      <c r="G13" s="118" t="s">
        <v>111</v>
      </c>
      <c r="H13" s="8">
        <v>10</v>
      </c>
      <c r="I13" s="9">
        <v>2</v>
      </c>
      <c r="J13" s="8">
        <v>16.2</v>
      </c>
      <c r="L13" s="9"/>
      <c r="M1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C40/501510--</v>
      </c>
    </row>
    <row r="14" spans="1:22" x14ac:dyDescent="0.25">
      <c r="A14" s="8" t="s">
        <v>14</v>
      </c>
      <c r="B14" s="117">
        <v>15</v>
      </c>
      <c r="C14" s="117">
        <v>10</v>
      </c>
      <c r="D14" s="117" t="s">
        <v>10</v>
      </c>
      <c r="E14" s="117" t="s">
        <v>10</v>
      </c>
      <c r="F14" s="117" t="s">
        <v>11</v>
      </c>
      <c r="G14" s="118" t="s">
        <v>111</v>
      </c>
      <c r="H14" s="8">
        <v>10</v>
      </c>
      <c r="I14" s="9">
        <v>7</v>
      </c>
      <c r="J14" s="8">
        <v>16.399999999999999</v>
      </c>
      <c r="L14" s="9"/>
      <c r="M1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5" spans="1:22" x14ac:dyDescent="0.25">
      <c r="A15" s="8" t="s">
        <v>14</v>
      </c>
      <c r="B15" s="117">
        <v>15</v>
      </c>
      <c r="C15" s="117">
        <v>10</v>
      </c>
      <c r="D15" s="117" t="s">
        <v>10</v>
      </c>
      <c r="E15" s="117" t="s">
        <v>10</v>
      </c>
      <c r="F15" s="117" t="s">
        <v>11</v>
      </c>
      <c r="G15" s="118" t="s">
        <v>111</v>
      </c>
      <c r="H15" s="8">
        <v>10</v>
      </c>
      <c r="I15" s="9">
        <v>12</v>
      </c>
      <c r="J15" s="8">
        <v>16.7</v>
      </c>
      <c r="L15" s="9"/>
      <c r="M1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6" spans="1:22" ht="15.75" thickBot="1" x14ac:dyDescent="0.3">
      <c r="A16" s="10" t="s">
        <v>14</v>
      </c>
      <c r="B16" s="119">
        <v>15</v>
      </c>
      <c r="C16" s="119">
        <v>10</v>
      </c>
      <c r="D16" s="119" t="s">
        <v>10</v>
      </c>
      <c r="E16" s="119" t="s">
        <v>10</v>
      </c>
      <c r="F16" s="119" t="s">
        <v>11</v>
      </c>
      <c r="G16" s="120" t="s">
        <v>111</v>
      </c>
      <c r="H16" s="10">
        <v>10</v>
      </c>
      <c r="I16" s="12">
        <v>20</v>
      </c>
      <c r="J16" s="10">
        <v>16.7</v>
      </c>
      <c r="K16" s="11"/>
      <c r="L16" s="12"/>
      <c r="M1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7" spans="1:13" x14ac:dyDescent="0.25">
      <c r="A17" s="8" t="s">
        <v>16</v>
      </c>
      <c r="B17" s="117">
        <v>20</v>
      </c>
      <c r="C17" s="117">
        <v>5</v>
      </c>
      <c r="D17" s="117">
        <v>40</v>
      </c>
      <c r="E17" s="117">
        <v>3</v>
      </c>
      <c r="F17" s="117">
        <v>10</v>
      </c>
      <c r="G17" s="117" t="s">
        <v>114</v>
      </c>
      <c r="H17" s="5">
        <v>5</v>
      </c>
      <c r="I17" s="7">
        <v>0</v>
      </c>
      <c r="J17" s="6">
        <v>17</v>
      </c>
      <c r="K17" s="6"/>
      <c r="L17" s="7"/>
      <c r="M1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</v>
      </c>
    </row>
    <row r="18" spans="1:13" x14ac:dyDescent="0.25">
      <c r="A18" s="8" t="s">
        <v>9</v>
      </c>
      <c r="B18" s="117">
        <v>20</v>
      </c>
      <c r="C18" s="117">
        <v>5</v>
      </c>
      <c r="D18" s="117">
        <v>40</v>
      </c>
      <c r="E18" s="117">
        <v>3</v>
      </c>
      <c r="F18" s="117">
        <v>10</v>
      </c>
      <c r="G18" s="117" t="s">
        <v>116</v>
      </c>
      <c r="H18" s="8">
        <v>5</v>
      </c>
      <c r="I18" s="9">
        <v>2</v>
      </c>
      <c r="J18">
        <v>17</v>
      </c>
      <c r="L18" s="9"/>
      <c r="M1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C20/252054010</v>
      </c>
    </row>
    <row r="19" spans="1:13" x14ac:dyDescent="0.25">
      <c r="A19" s="8" t="s">
        <v>12</v>
      </c>
      <c r="B19" s="117">
        <v>20</v>
      </c>
      <c r="C19" s="117">
        <v>5</v>
      </c>
      <c r="D19" s="117">
        <v>40</v>
      </c>
      <c r="E19" s="117">
        <v>1</v>
      </c>
      <c r="F19" s="117">
        <v>10</v>
      </c>
      <c r="G19" s="117" t="s">
        <v>114</v>
      </c>
      <c r="H19" s="8">
        <v>5</v>
      </c>
      <c r="I19" s="9">
        <v>7</v>
      </c>
      <c r="J19">
        <v>16.899999999999999</v>
      </c>
      <c r="L19" s="9"/>
      <c r="M1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0" spans="1:13" x14ac:dyDescent="0.25">
      <c r="A20" s="8" t="s">
        <v>12</v>
      </c>
      <c r="B20" s="117">
        <v>20</v>
      </c>
      <c r="C20" s="117">
        <v>5</v>
      </c>
      <c r="D20" s="117">
        <v>40</v>
      </c>
      <c r="E20" s="117">
        <v>1</v>
      </c>
      <c r="F20" s="117">
        <v>10</v>
      </c>
      <c r="G20" s="117" t="s">
        <v>116</v>
      </c>
      <c r="H20" s="8">
        <v>5</v>
      </c>
      <c r="I20" s="9">
        <v>12</v>
      </c>
      <c r="J20">
        <v>16.899999999999999</v>
      </c>
      <c r="L20" s="9"/>
      <c r="M2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1" spans="1:13" ht="15.75" thickBot="1" x14ac:dyDescent="0.3">
      <c r="A21" s="8" t="s">
        <v>12</v>
      </c>
      <c r="B21" s="117">
        <v>20</v>
      </c>
      <c r="C21" s="117">
        <v>5</v>
      </c>
      <c r="D21" s="117">
        <v>40</v>
      </c>
      <c r="E21" s="117">
        <v>1</v>
      </c>
      <c r="F21" s="117">
        <v>10</v>
      </c>
      <c r="G21" s="117" t="s">
        <v>118</v>
      </c>
      <c r="H21" s="10">
        <v>5</v>
      </c>
      <c r="I21" s="12">
        <v>20</v>
      </c>
      <c r="J21" s="11">
        <v>17</v>
      </c>
      <c r="K21" s="11"/>
      <c r="L21" s="12"/>
      <c r="M2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2" spans="1:13" x14ac:dyDescent="0.25">
      <c r="A22" s="5" t="s">
        <v>16</v>
      </c>
      <c r="B22" s="114">
        <v>20</v>
      </c>
      <c r="C22" s="114">
        <v>5</v>
      </c>
      <c r="D22" s="114">
        <v>40</v>
      </c>
      <c r="E22" s="114">
        <v>3</v>
      </c>
      <c r="F22" s="114">
        <v>10</v>
      </c>
      <c r="G22" s="121" t="s">
        <v>116</v>
      </c>
      <c r="H22" s="5">
        <v>0</v>
      </c>
      <c r="I22" s="7">
        <v>0</v>
      </c>
      <c r="J22" s="6">
        <v>17</v>
      </c>
      <c r="K22" s="6"/>
      <c r="L22" s="7"/>
      <c r="M2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</v>
      </c>
    </row>
    <row r="23" spans="1:13" x14ac:dyDescent="0.25">
      <c r="A23" s="8" t="s">
        <v>12</v>
      </c>
      <c r="B23" s="117">
        <v>20</v>
      </c>
      <c r="C23" s="117">
        <v>5</v>
      </c>
      <c r="D23" s="117">
        <v>40</v>
      </c>
      <c r="E23" s="117">
        <v>1</v>
      </c>
      <c r="F23" s="117">
        <v>10</v>
      </c>
      <c r="G23" s="118" t="s">
        <v>118</v>
      </c>
      <c r="H23" s="8">
        <v>0</v>
      </c>
      <c r="I23" s="9">
        <v>2</v>
      </c>
      <c r="J23">
        <v>16.8</v>
      </c>
      <c r="L23" s="9"/>
      <c r="M2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4" spans="1:13" x14ac:dyDescent="0.25">
      <c r="A24" s="8" t="s">
        <v>12</v>
      </c>
      <c r="B24" s="117">
        <v>20</v>
      </c>
      <c r="C24" s="117">
        <v>5</v>
      </c>
      <c r="D24" s="117">
        <v>40</v>
      </c>
      <c r="E24" s="117">
        <v>2</v>
      </c>
      <c r="F24" s="117">
        <v>10</v>
      </c>
      <c r="G24" s="118" t="s">
        <v>114</v>
      </c>
      <c r="H24" s="8">
        <v>0</v>
      </c>
      <c r="I24" s="9">
        <v>7</v>
      </c>
      <c r="J24">
        <v>16.8</v>
      </c>
      <c r="L24" s="9"/>
      <c r="M2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5" spans="1:13" x14ac:dyDescent="0.25">
      <c r="A25" s="8" t="s">
        <v>12</v>
      </c>
      <c r="B25" s="117">
        <v>20</v>
      </c>
      <c r="C25" s="117">
        <v>5</v>
      </c>
      <c r="D25" s="117">
        <v>40</v>
      </c>
      <c r="E25" s="117">
        <v>2</v>
      </c>
      <c r="F25" s="117">
        <v>10</v>
      </c>
      <c r="G25" s="118" t="s">
        <v>118</v>
      </c>
      <c r="H25" s="8">
        <v>0</v>
      </c>
      <c r="I25" s="9">
        <v>12</v>
      </c>
      <c r="J25">
        <v>16.600000000000001</v>
      </c>
      <c r="L25" s="9"/>
      <c r="M2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6" spans="1:13" ht="15.75" thickBot="1" x14ac:dyDescent="0.3">
      <c r="A26" s="10" t="s">
        <v>12</v>
      </c>
      <c r="B26" s="119">
        <v>20</v>
      </c>
      <c r="C26" s="119">
        <v>5</v>
      </c>
      <c r="D26" s="119">
        <v>40</v>
      </c>
      <c r="E26" s="119">
        <v>2</v>
      </c>
      <c r="F26" s="119">
        <v>10</v>
      </c>
      <c r="G26" s="120" t="s">
        <v>119</v>
      </c>
      <c r="H26" s="10">
        <v>0</v>
      </c>
      <c r="I26" s="12">
        <v>20</v>
      </c>
      <c r="J26" s="11">
        <v>17</v>
      </c>
      <c r="K26" s="11"/>
      <c r="L26" s="12"/>
      <c r="M2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7" spans="1:13" x14ac:dyDescent="0.25">
      <c r="A27" s="5" t="s">
        <v>12</v>
      </c>
      <c r="B27" s="114">
        <v>20</v>
      </c>
      <c r="C27" s="114">
        <v>5</v>
      </c>
      <c r="D27" s="114">
        <v>40</v>
      </c>
      <c r="E27" s="114">
        <v>1</v>
      </c>
      <c r="F27" s="114">
        <v>10</v>
      </c>
      <c r="G27" s="121" t="s">
        <v>118</v>
      </c>
      <c r="H27" s="5">
        <v>-5</v>
      </c>
      <c r="I27" s="7">
        <v>0</v>
      </c>
      <c r="J27" s="6">
        <v>16.7</v>
      </c>
      <c r="K27" s="6"/>
      <c r="L27" s="7"/>
      <c r="M2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8" spans="1:13" x14ac:dyDescent="0.25">
      <c r="A28" s="8" t="s">
        <v>12</v>
      </c>
      <c r="B28" s="117">
        <v>20</v>
      </c>
      <c r="C28" s="117">
        <v>5</v>
      </c>
      <c r="D28" s="117">
        <v>40</v>
      </c>
      <c r="E28" s="117">
        <v>2</v>
      </c>
      <c r="F28" s="117">
        <v>10</v>
      </c>
      <c r="G28" s="118" t="s">
        <v>114</v>
      </c>
      <c r="H28" s="8">
        <v>-5</v>
      </c>
      <c r="I28" s="9">
        <v>2</v>
      </c>
      <c r="J28">
        <v>16.8</v>
      </c>
      <c r="L28" s="9"/>
      <c r="M2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9" spans="1:13" x14ac:dyDescent="0.25">
      <c r="A29" s="8" t="s">
        <v>43</v>
      </c>
      <c r="B29" s="117">
        <v>20</v>
      </c>
      <c r="C29" s="117">
        <v>5</v>
      </c>
      <c r="D29" s="117">
        <v>40</v>
      </c>
      <c r="E29" s="117">
        <v>2</v>
      </c>
      <c r="F29" s="117">
        <v>10</v>
      </c>
      <c r="G29" s="118" t="s">
        <v>116</v>
      </c>
      <c r="H29" s="8">
        <v>-5</v>
      </c>
      <c r="I29" s="9">
        <v>7</v>
      </c>
      <c r="J29">
        <v>16.8</v>
      </c>
      <c r="L29" s="9"/>
      <c r="M2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</v>
      </c>
    </row>
    <row r="30" spans="1:13" x14ac:dyDescent="0.25">
      <c r="A30" s="8" t="s">
        <v>43</v>
      </c>
      <c r="B30" s="117">
        <v>20</v>
      </c>
      <c r="C30" s="117">
        <v>5</v>
      </c>
      <c r="D30" s="117">
        <v>40</v>
      </c>
      <c r="E30" s="117">
        <v>2</v>
      </c>
      <c r="F30" s="117">
        <v>10</v>
      </c>
      <c r="G30" s="118" t="s">
        <v>119</v>
      </c>
      <c r="H30" s="8">
        <v>-5</v>
      </c>
      <c r="I30" s="9">
        <v>12</v>
      </c>
      <c r="J30">
        <v>17</v>
      </c>
      <c r="L30" s="9"/>
      <c r="M3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15</v>
      </c>
      <c r="M3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32" spans="1:13" x14ac:dyDescent="0.25">
      <c r="A32" s="5" t="s">
        <v>12</v>
      </c>
      <c r="B32" s="114">
        <v>20</v>
      </c>
      <c r="C32" s="114">
        <v>5</v>
      </c>
      <c r="D32" s="114">
        <v>40</v>
      </c>
      <c r="E32" s="114">
        <v>2</v>
      </c>
      <c r="F32" s="114">
        <v>10</v>
      </c>
      <c r="G32" s="121" t="s">
        <v>114</v>
      </c>
      <c r="H32" s="5">
        <v>-10</v>
      </c>
      <c r="I32" s="7">
        <v>0</v>
      </c>
      <c r="J32" s="6">
        <v>16.399999999999999</v>
      </c>
      <c r="K32" s="6"/>
      <c r="L32" s="7"/>
      <c r="M3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33" spans="1:13" x14ac:dyDescent="0.25">
      <c r="A33" s="8" t="s">
        <v>12</v>
      </c>
      <c r="B33" s="117">
        <v>20</v>
      </c>
      <c r="C33" s="117">
        <v>5</v>
      </c>
      <c r="D33" s="117">
        <v>40</v>
      </c>
      <c r="E33" s="117">
        <v>3</v>
      </c>
      <c r="F33" s="117">
        <v>10</v>
      </c>
      <c r="G33" s="118" t="s">
        <v>118</v>
      </c>
      <c r="H33" s="8">
        <v>-10</v>
      </c>
      <c r="I33" s="9">
        <v>2</v>
      </c>
      <c r="J33">
        <v>16.8</v>
      </c>
      <c r="L33" s="9"/>
      <c r="M3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34" spans="1:13" x14ac:dyDescent="0.25">
      <c r="A34" s="8" t="s">
        <v>45</v>
      </c>
      <c r="B34" s="117">
        <v>20</v>
      </c>
      <c r="C34" s="117">
        <v>5</v>
      </c>
      <c r="D34" s="117">
        <v>40</v>
      </c>
      <c r="E34" s="117">
        <v>2</v>
      </c>
      <c r="F34" s="117">
        <v>10</v>
      </c>
      <c r="G34" s="118" t="s">
        <v>118</v>
      </c>
      <c r="H34" s="8">
        <v>-10</v>
      </c>
      <c r="I34" s="9">
        <v>7</v>
      </c>
      <c r="J34">
        <v>16.7</v>
      </c>
      <c r="L34" s="9"/>
      <c r="M3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C32/402054010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15</v>
      </c>
      <c r="M3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15</v>
      </c>
      <c r="M3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37" spans="1:13" x14ac:dyDescent="0.25">
      <c r="A37" s="8" t="s">
        <v>45</v>
      </c>
      <c r="B37" s="117">
        <v>15</v>
      </c>
      <c r="C37" s="117">
        <v>5</v>
      </c>
      <c r="D37" s="117">
        <v>40</v>
      </c>
      <c r="E37" s="117">
        <v>2</v>
      </c>
      <c r="F37" s="117">
        <v>20</v>
      </c>
      <c r="G37" s="117" t="s">
        <v>119</v>
      </c>
      <c r="H37" s="5">
        <v>-15</v>
      </c>
      <c r="I37" s="7">
        <v>0</v>
      </c>
      <c r="J37" s="6">
        <v>16.899999999999999</v>
      </c>
      <c r="K37" s="6"/>
      <c r="L37" s="7"/>
      <c r="M3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C32/401554020</v>
      </c>
    </row>
    <row r="38" spans="1:13" x14ac:dyDescent="0.25">
      <c r="A38" s="8" t="s">
        <v>14</v>
      </c>
      <c r="B38" s="117">
        <v>15</v>
      </c>
      <c r="C38" s="117">
        <v>5</v>
      </c>
      <c r="D38" s="117">
        <v>40</v>
      </c>
      <c r="E38" s="117">
        <v>2</v>
      </c>
      <c r="F38" s="117">
        <v>20</v>
      </c>
      <c r="G38" s="117" t="s">
        <v>118</v>
      </c>
      <c r="H38" s="8">
        <v>-15</v>
      </c>
      <c r="I38" s="9">
        <v>2</v>
      </c>
      <c r="J38">
        <v>16.8</v>
      </c>
      <c r="L38" s="9"/>
      <c r="M3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C40/501554020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15</v>
      </c>
      <c r="M3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15</v>
      </c>
      <c r="M4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15</v>
      </c>
      <c r="M4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113</v>
      </c>
      <c r="M42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-----Når ej 6 MPa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15</v>
      </c>
      <c r="M4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15</v>
      </c>
      <c r="M4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15</v>
      </c>
      <c r="M4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15</v>
      </c>
      <c r="M4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</sheetData>
  <phoneticPr fontId="3" type="noConversion"/>
  <dataValidations count="1">
    <dataValidation type="list" allowBlank="1" showInputMessage="1" showErrorMessage="1" sqref="N2:N46" xr:uid="{F60A0CB1-7036-43F0-BEDB-AF1C6461F55D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0BC82E3-F37A-41CC-A4EF-2470A5DCAB3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0BD41FD8-75AE-4A66-9D4C-3D5EA6FB8F20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694F7ACA-ABAC-43D9-B076-E6DB468624C4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10A1DFED-24B3-4C90-BC74-05A821614800}">
          <x14:formula1>
            <xm:f>Förutsättningar!$I$2</xm:f>
          </x14:formula1>
          <xm:sqref>K2:K46</xm:sqref>
        </x14:dataValidation>
        <x14:dataValidation type="list" allowBlank="1" showInputMessage="1" showErrorMessage="1" xr:uid="{7EC163DE-B4D3-4DC7-B307-CA12EC171EE6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F1CEF67F-D1CE-4AC4-81DD-702A6AD283DE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2FEB53ED-F3C2-499D-B609-5423AEE379BF}">
          <x14:formula1>
            <xm:f>Förutsättningar!$D$2:$D$7</xm:f>
          </x14:formula1>
          <xm:sqref>D2:D46</xm:sqref>
        </x14:dataValidation>
        <x14:dataValidation type="list" allowBlank="1" showInputMessage="1" showErrorMessage="1" xr:uid="{95422AF3-C2CD-437D-874F-DEA32A11D64A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14BFB98B-7D97-4F75-B425-E96C10D72B00}">
          <x14:formula1>
            <xm:f>Förutsättningar!$E$2:$E$5</xm:f>
          </x14:formula1>
          <xm:sqref>E2:E46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4A6-A044-49F1-B880-07069BED6942}">
  <dimension ref="A1:M46"/>
  <sheetViews>
    <sheetView topLeftCell="A2" zoomScaleNormal="100" workbookViewId="0">
      <selection activeCell="A42" sqref="A42:G46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8" bestFit="1" customWidth="1"/>
    <col min="4" max="4" width="13.85546875" bestFit="1" customWidth="1"/>
    <col min="5" max="5" width="19.5703125" bestFit="1" customWidth="1"/>
    <col min="6" max="6" width="16.5703125" bestFit="1" customWidth="1"/>
    <col min="7" max="7" width="25.57031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1" bestFit="1" customWidth="1"/>
  </cols>
  <sheetData>
    <row r="1" spans="1:13" ht="32.25" customHeight="1" thickBot="1" x14ac:dyDescent="0.3">
      <c r="A1" s="112" t="s">
        <v>0</v>
      </c>
      <c r="B1" s="113" t="s">
        <v>1</v>
      </c>
      <c r="C1" s="113" t="s">
        <v>2</v>
      </c>
      <c r="D1" s="113" t="s">
        <v>108</v>
      </c>
      <c r="E1" s="113" t="s">
        <v>109</v>
      </c>
      <c r="F1" s="113" t="s">
        <v>4</v>
      </c>
      <c r="G1" s="113" t="s">
        <v>110</v>
      </c>
      <c r="H1" s="13" t="s">
        <v>5</v>
      </c>
      <c r="I1" s="13" t="s">
        <v>6</v>
      </c>
      <c r="J1" s="104" t="s">
        <v>100</v>
      </c>
      <c r="K1" s="13" t="s">
        <v>101</v>
      </c>
      <c r="L1" s="13" t="s">
        <v>7</v>
      </c>
      <c r="M1" s="14" t="s">
        <v>8</v>
      </c>
    </row>
    <row r="2" spans="1:13" x14ac:dyDescent="0.25">
      <c r="A2" s="5" t="s">
        <v>43</v>
      </c>
      <c r="B2" s="114">
        <v>15</v>
      </c>
      <c r="C2" s="114">
        <v>20</v>
      </c>
      <c r="D2" s="115" t="s">
        <v>10</v>
      </c>
      <c r="E2" s="115" t="s">
        <v>10</v>
      </c>
      <c r="F2" s="114" t="s">
        <v>10</v>
      </c>
      <c r="G2" s="116" t="s">
        <v>111</v>
      </c>
      <c r="H2" s="5">
        <v>20</v>
      </c>
      <c r="I2" s="7">
        <v>0</v>
      </c>
      <c r="J2">
        <v>16.899999999999999</v>
      </c>
      <c r="K2" s="6"/>
      <c r="L2" s="7"/>
      <c r="M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</v>
      </c>
    </row>
    <row r="3" spans="1:13" x14ac:dyDescent="0.25">
      <c r="A3" s="8" t="s">
        <v>43</v>
      </c>
      <c r="B3" s="117">
        <v>15</v>
      </c>
      <c r="C3" s="117">
        <v>20</v>
      </c>
      <c r="D3" s="117" t="s">
        <v>10</v>
      </c>
      <c r="E3" s="117" t="s">
        <v>10</v>
      </c>
      <c r="F3" s="117" t="s">
        <v>10</v>
      </c>
      <c r="G3" s="118" t="s">
        <v>111</v>
      </c>
      <c r="H3" s="8">
        <v>20</v>
      </c>
      <c r="I3" s="9">
        <v>2</v>
      </c>
      <c r="J3">
        <v>17</v>
      </c>
      <c r="L3" s="9"/>
      <c r="M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</v>
      </c>
    </row>
    <row r="4" spans="1:13" x14ac:dyDescent="0.25">
      <c r="A4" s="8" t="s">
        <v>43</v>
      </c>
      <c r="B4" s="117">
        <v>15</v>
      </c>
      <c r="C4" s="117">
        <v>20</v>
      </c>
      <c r="D4" s="117" t="s">
        <v>10</v>
      </c>
      <c r="E4" s="117" t="s">
        <v>10</v>
      </c>
      <c r="F4" s="117" t="s">
        <v>10</v>
      </c>
      <c r="G4" s="118" t="s">
        <v>111</v>
      </c>
      <c r="H4" s="8">
        <v>20</v>
      </c>
      <c r="I4" s="9">
        <v>7</v>
      </c>
      <c r="J4">
        <v>17</v>
      </c>
      <c r="L4" s="9"/>
      <c r="M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</v>
      </c>
    </row>
    <row r="5" spans="1:13" x14ac:dyDescent="0.25">
      <c r="A5" s="8" t="s">
        <v>43</v>
      </c>
      <c r="B5" s="117">
        <v>15</v>
      </c>
      <c r="C5" s="117">
        <v>20</v>
      </c>
      <c r="D5" s="117" t="s">
        <v>10</v>
      </c>
      <c r="E5" s="117" t="s">
        <v>10</v>
      </c>
      <c r="F5" s="117" t="s">
        <v>10</v>
      </c>
      <c r="G5" s="118" t="s">
        <v>111</v>
      </c>
      <c r="H5" s="8">
        <v>20</v>
      </c>
      <c r="I5" s="9">
        <v>12</v>
      </c>
      <c r="J5">
        <v>17</v>
      </c>
      <c r="L5" s="9"/>
      <c r="M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</v>
      </c>
    </row>
    <row r="6" spans="1:13" ht="15.75" thickBot="1" x14ac:dyDescent="0.3">
      <c r="A6" s="10" t="s">
        <v>43</v>
      </c>
      <c r="B6" s="119">
        <v>15</v>
      </c>
      <c r="C6" s="119">
        <v>20</v>
      </c>
      <c r="D6" s="119" t="s">
        <v>10</v>
      </c>
      <c r="E6" s="119" t="s">
        <v>10</v>
      </c>
      <c r="F6" s="119" t="s">
        <v>10</v>
      </c>
      <c r="G6" s="120" t="s">
        <v>111</v>
      </c>
      <c r="H6" s="10">
        <v>20</v>
      </c>
      <c r="I6" s="12">
        <v>20</v>
      </c>
      <c r="J6">
        <v>17</v>
      </c>
      <c r="L6" s="12"/>
      <c r="M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C30/371520--</v>
      </c>
    </row>
    <row r="7" spans="1:13" x14ac:dyDescent="0.25">
      <c r="A7" s="8" t="s">
        <v>13</v>
      </c>
      <c r="B7" s="117">
        <v>15</v>
      </c>
      <c r="C7" s="117">
        <v>15</v>
      </c>
      <c r="D7" s="117" t="s">
        <v>10</v>
      </c>
      <c r="E7" s="117" t="s">
        <v>10</v>
      </c>
      <c r="F7" s="117" t="s">
        <v>10</v>
      </c>
      <c r="G7" s="117" t="s">
        <v>111</v>
      </c>
      <c r="H7" s="5">
        <v>15</v>
      </c>
      <c r="I7" s="7">
        <v>0</v>
      </c>
      <c r="J7" s="5">
        <v>15.8</v>
      </c>
      <c r="K7" s="6"/>
      <c r="L7" s="7"/>
      <c r="M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</v>
      </c>
    </row>
    <row r="8" spans="1:13" x14ac:dyDescent="0.25">
      <c r="A8" s="8" t="s">
        <v>13</v>
      </c>
      <c r="B8" s="117">
        <v>15</v>
      </c>
      <c r="C8" s="117">
        <v>15</v>
      </c>
      <c r="D8" s="117" t="s">
        <v>10</v>
      </c>
      <c r="E8" s="117" t="s">
        <v>10</v>
      </c>
      <c r="F8" s="117" t="s">
        <v>10</v>
      </c>
      <c r="G8" s="117" t="s">
        <v>111</v>
      </c>
      <c r="H8" s="8">
        <v>15</v>
      </c>
      <c r="I8" s="9">
        <v>2</v>
      </c>
      <c r="J8" s="8">
        <v>16</v>
      </c>
      <c r="L8" s="9"/>
      <c r="M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</v>
      </c>
    </row>
    <row r="9" spans="1:13" x14ac:dyDescent="0.25">
      <c r="A9" s="8" t="s">
        <v>13</v>
      </c>
      <c r="B9" s="117">
        <v>15</v>
      </c>
      <c r="C9" s="117">
        <v>15</v>
      </c>
      <c r="D9" s="117" t="s">
        <v>10</v>
      </c>
      <c r="E9" s="117" t="s">
        <v>10</v>
      </c>
      <c r="F9" s="117" t="s">
        <v>10</v>
      </c>
      <c r="G9" s="117" t="s">
        <v>111</v>
      </c>
      <c r="H9" s="8">
        <v>15</v>
      </c>
      <c r="I9" s="9">
        <v>7</v>
      </c>
      <c r="J9" s="8">
        <v>16.2</v>
      </c>
      <c r="L9" s="9"/>
      <c r="M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</v>
      </c>
    </row>
    <row r="10" spans="1:13" x14ac:dyDescent="0.25">
      <c r="A10" s="8" t="s">
        <v>13</v>
      </c>
      <c r="B10" s="117">
        <v>15</v>
      </c>
      <c r="C10" s="117">
        <v>15</v>
      </c>
      <c r="D10" s="117" t="s">
        <v>10</v>
      </c>
      <c r="E10" s="117" t="s">
        <v>10</v>
      </c>
      <c r="F10" s="117" t="s">
        <v>10</v>
      </c>
      <c r="G10" s="117" t="s">
        <v>111</v>
      </c>
      <c r="H10" s="8">
        <v>15</v>
      </c>
      <c r="I10" s="9">
        <v>12</v>
      </c>
      <c r="J10" s="8">
        <v>16.2</v>
      </c>
      <c r="L10" s="9"/>
      <c r="M1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C35/451515--</v>
      </c>
    </row>
    <row r="11" spans="1:13" ht="15.75" thickBot="1" x14ac:dyDescent="0.3">
      <c r="A11" s="8" t="s">
        <v>13</v>
      </c>
      <c r="B11" s="117">
        <v>15</v>
      </c>
      <c r="C11" s="117">
        <v>15</v>
      </c>
      <c r="D11" s="117" t="s">
        <v>10</v>
      </c>
      <c r="E11" s="117" t="s">
        <v>10</v>
      </c>
      <c r="F11" s="117" t="s">
        <v>11</v>
      </c>
      <c r="G11" s="117" t="s">
        <v>111</v>
      </c>
      <c r="H11" s="10">
        <v>15</v>
      </c>
      <c r="I11" s="12">
        <v>20</v>
      </c>
      <c r="J11" s="10">
        <v>16.3</v>
      </c>
      <c r="K11" s="11"/>
      <c r="L11" s="12"/>
      <c r="M1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C35/451515-Presenning</v>
      </c>
    </row>
    <row r="12" spans="1:13" x14ac:dyDescent="0.25">
      <c r="A12" s="5"/>
      <c r="B12" s="114">
        <v>15</v>
      </c>
      <c r="C12" s="114">
        <v>10</v>
      </c>
      <c r="D12" s="114"/>
      <c r="E12" s="114"/>
      <c r="F12" s="114"/>
      <c r="G12" s="121"/>
      <c r="H12" s="5">
        <v>10</v>
      </c>
      <c r="I12" s="7">
        <v>0</v>
      </c>
      <c r="J12" s="5"/>
      <c r="K12" s="6"/>
      <c r="L12" s="7"/>
      <c r="M1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1510</v>
      </c>
    </row>
    <row r="13" spans="1:13" x14ac:dyDescent="0.25">
      <c r="A13" s="8"/>
      <c r="B13" s="117">
        <v>15</v>
      </c>
      <c r="C13" s="117">
        <v>10</v>
      </c>
      <c r="D13" s="117"/>
      <c r="E13" s="117"/>
      <c r="F13" s="117"/>
      <c r="G13" s="118"/>
      <c r="H13" s="8">
        <v>10</v>
      </c>
      <c r="I13" s="9">
        <v>2</v>
      </c>
      <c r="J13" s="8"/>
      <c r="L13" s="9"/>
      <c r="M1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1510</v>
      </c>
    </row>
    <row r="14" spans="1:13" x14ac:dyDescent="0.25">
      <c r="A14" s="8"/>
      <c r="B14" s="117">
        <v>15</v>
      </c>
      <c r="C14" s="117">
        <v>10</v>
      </c>
      <c r="D14" s="117"/>
      <c r="E14" s="117"/>
      <c r="F14" s="117"/>
      <c r="G14" s="118"/>
      <c r="H14" s="8">
        <v>10</v>
      </c>
      <c r="I14" s="9">
        <v>7</v>
      </c>
      <c r="J14" s="8"/>
      <c r="L14" s="9"/>
      <c r="M1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1510</v>
      </c>
    </row>
    <row r="15" spans="1:13" x14ac:dyDescent="0.25">
      <c r="A15" s="8"/>
      <c r="B15" s="117">
        <v>15</v>
      </c>
      <c r="C15" s="117">
        <v>10</v>
      </c>
      <c r="D15" s="117"/>
      <c r="E15" s="117"/>
      <c r="F15" s="117"/>
      <c r="G15" s="118"/>
      <c r="H15" s="8">
        <v>10</v>
      </c>
      <c r="I15" s="9">
        <v>12</v>
      </c>
      <c r="J15" s="8"/>
      <c r="L15" s="9"/>
      <c r="M1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1510</v>
      </c>
    </row>
    <row r="16" spans="1:13" ht="15.75" thickBot="1" x14ac:dyDescent="0.3">
      <c r="A16" s="10"/>
      <c r="B16" s="119">
        <v>15</v>
      </c>
      <c r="C16" s="119">
        <v>10</v>
      </c>
      <c r="D16" s="119"/>
      <c r="E16" s="119"/>
      <c r="F16" s="119"/>
      <c r="G16" s="120"/>
      <c r="H16" s="10">
        <v>10</v>
      </c>
      <c r="I16" s="12">
        <v>20</v>
      </c>
      <c r="J16" s="10"/>
      <c r="K16" s="11"/>
      <c r="L16" s="12"/>
      <c r="M1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1510</v>
      </c>
    </row>
    <row r="17" spans="1:13" x14ac:dyDescent="0.25">
      <c r="A17" s="8" t="s">
        <v>12</v>
      </c>
      <c r="B17" s="117">
        <v>20</v>
      </c>
      <c r="C17" s="117">
        <v>5</v>
      </c>
      <c r="D17" s="117">
        <v>40</v>
      </c>
      <c r="E17" s="117">
        <v>2</v>
      </c>
      <c r="F17" s="117" t="s">
        <v>10</v>
      </c>
      <c r="G17" s="117" t="s">
        <v>118</v>
      </c>
      <c r="H17" s="5">
        <v>5</v>
      </c>
      <c r="I17" s="7">
        <v>0</v>
      </c>
      <c r="J17" s="6">
        <v>17</v>
      </c>
      <c r="K17" s="6"/>
      <c r="L17" s="7"/>
      <c r="M1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C28/3520540-</v>
      </c>
    </row>
    <row r="18" spans="1:13" x14ac:dyDescent="0.25">
      <c r="A18" s="8" t="s">
        <v>12</v>
      </c>
      <c r="B18" s="117">
        <v>20</v>
      </c>
      <c r="C18" s="117">
        <v>5</v>
      </c>
      <c r="D18" s="117">
        <v>40</v>
      </c>
      <c r="E18" s="117">
        <v>3</v>
      </c>
      <c r="F18" s="117">
        <v>10</v>
      </c>
      <c r="G18" s="117" t="s">
        <v>119</v>
      </c>
      <c r="H18" s="8">
        <v>5</v>
      </c>
      <c r="I18" s="9">
        <v>2</v>
      </c>
      <c r="J18">
        <v>17</v>
      </c>
      <c r="L18" s="9"/>
      <c r="M1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C28/352054010</v>
      </c>
    </row>
    <row r="19" spans="1:13" x14ac:dyDescent="0.25">
      <c r="A19" s="8" t="s">
        <v>43</v>
      </c>
      <c r="B19" s="117">
        <v>20</v>
      </c>
      <c r="C19" s="117">
        <v>5</v>
      </c>
      <c r="D19" s="117">
        <v>40</v>
      </c>
      <c r="E19" s="117">
        <v>2</v>
      </c>
      <c r="F19" s="117">
        <v>10</v>
      </c>
      <c r="G19" s="117" t="s">
        <v>118</v>
      </c>
      <c r="H19" s="8">
        <v>5</v>
      </c>
      <c r="I19" s="9">
        <v>7</v>
      </c>
      <c r="J19">
        <v>17</v>
      </c>
      <c r="L19" s="9"/>
      <c r="M1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</v>
      </c>
    </row>
    <row r="20" spans="1:13" x14ac:dyDescent="0.25">
      <c r="A20" s="8" t="s">
        <v>45</v>
      </c>
      <c r="B20" s="117">
        <v>20</v>
      </c>
      <c r="C20" s="117">
        <v>5</v>
      </c>
      <c r="D20" s="117">
        <v>40</v>
      </c>
      <c r="E20" s="117">
        <v>1</v>
      </c>
      <c r="F20" s="117">
        <v>10</v>
      </c>
      <c r="G20" s="117" t="s">
        <v>118</v>
      </c>
      <c r="H20" s="8">
        <v>5</v>
      </c>
      <c r="I20" s="9">
        <v>12</v>
      </c>
      <c r="J20">
        <v>17</v>
      </c>
      <c r="L20" s="9"/>
      <c r="M2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</v>
      </c>
    </row>
    <row r="21" spans="1:13" ht="15.75" thickBot="1" x14ac:dyDescent="0.3">
      <c r="A21" s="8" t="s">
        <v>45</v>
      </c>
      <c r="B21" s="117">
        <v>20</v>
      </c>
      <c r="C21" s="117">
        <v>5</v>
      </c>
      <c r="D21" s="117">
        <v>40</v>
      </c>
      <c r="E21" s="117">
        <v>1</v>
      </c>
      <c r="F21" s="117">
        <v>10</v>
      </c>
      <c r="G21" s="117" t="s">
        <v>118</v>
      </c>
      <c r="H21" s="10">
        <v>5</v>
      </c>
      <c r="I21" s="12">
        <v>20</v>
      </c>
      <c r="J21" s="11">
        <v>17</v>
      </c>
      <c r="K21" s="11"/>
      <c r="L21" s="12"/>
      <c r="M2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</v>
      </c>
    </row>
    <row r="22" spans="1:13" x14ac:dyDescent="0.25">
      <c r="A22" s="5" t="s">
        <v>43</v>
      </c>
      <c r="B22" s="114">
        <v>20</v>
      </c>
      <c r="C22" s="114">
        <v>5</v>
      </c>
      <c r="D22" s="114">
        <v>40</v>
      </c>
      <c r="E22" s="114">
        <v>2</v>
      </c>
      <c r="F22" s="114">
        <v>10</v>
      </c>
      <c r="G22" s="121" t="s">
        <v>116</v>
      </c>
      <c r="H22" s="5">
        <v>0</v>
      </c>
      <c r="I22" s="7">
        <v>0</v>
      </c>
      <c r="J22" s="6">
        <v>16.600000000000001</v>
      </c>
      <c r="K22" s="6"/>
      <c r="L22" s="7"/>
      <c r="M2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</v>
      </c>
    </row>
    <row r="23" spans="1:13" x14ac:dyDescent="0.25">
      <c r="A23" s="8" t="s">
        <v>43</v>
      </c>
      <c r="B23" s="117">
        <v>20</v>
      </c>
      <c r="C23" s="117">
        <v>5</v>
      </c>
      <c r="D23" s="117">
        <v>40</v>
      </c>
      <c r="E23" s="117">
        <v>3</v>
      </c>
      <c r="F23" s="117">
        <v>10</v>
      </c>
      <c r="G23" s="118" t="s">
        <v>116</v>
      </c>
      <c r="H23" s="8">
        <v>0</v>
      </c>
      <c r="I23" s="9">
        <v>2</v>
      </c>
      <c r="J23">
        <v>17</v>
      </c>
      <c r="L23" s="9"/>
      <c r="M2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</v>
      </c>
    </row>
    <row r="24" spans="1:13" x14ac:dyDescent="0.25">
      <c r="A24" s="8" t="s">
        <v>45</v>
      </c>
      <c r="B24" s="117">
        <v>20</v>
      </c>
      <c r="C24" s="117">
        <v>5</v>
      </c>
      <c r="D24" s="117">
        <v>40</v>
      </c>
      <c r="E24" s="117">
        <v>2</v>
      </c>
      <c r="F24" s="117">
        <v>10</v>
      </c>
      <c r="G24" s="118" t="s">
        <v>116</v>
      </c>
      <c r="H24" s="8">
        <v>0</v>
      </c>
      <c r="I24" s="9">
        <v>7</v>
      </c>
      <c r="J24">
        <v>17</v>
      </c>
      <c r="L24" s="9"/>
      <c r="M2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</v>
      </c>
    </row>
    <row r="25" spans="1:13" x14ac:dyDescent="0.25">
      <c r="A25" s="8" t="s">
        <v>45</v>
      </c>
      <c r="B25" s="117">
        <v>20</v>
      </c>
      <c r="C25" s="117">
        <v>5</v>
      </c>
      <c r="D25" s="117">
        <v>40</v>
      </c>
      <c r="E25" s="117">
        <v>3</v>
      </c>
      <c r="F25" s="117">
        <v>10</v>
      </c>
      <c r="G25" s="118" t="s">
        <v>118</v>
      </c>
      <c r="H25" s="8">
        <v>0</v>
      </c>
      <c r="I25" s="9">
        <v>12</v>
      </c>
      <c r="J25">
        <v>16.8</v>
      </c>
      <c r="L25" s="9"/>
      <c r="M2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</v>
      </c>
    </row>
    <row r="26" spans="1:13" ht="15.75" thickBot="1" x14ac:dyDescent="0.3">
      <c r="A26" s="10" t="s">
        <v>13</v>
      </c>
      <c r="B26" s="119">
        <v>20</v>
      </c>
      <c r="C26" s="119">
        <v>5</v>
      </c>
      <c r="D26" s="119">
        <v>40</v>
      </c>
      <c r="E26" s="119">
        <v>1</v>
      </c>
      <c r="F26" s="119">
        <v>10</v>
      </c>
      <c r="G26" s="120" t="s">
        <v>114</v>
      </c>
      <c r="H26" s="10">
        <v>0</v>
      </c>
      <c r="I26" s="12">
        <v>20</v>
      </c>
      <c r="J26" s="11">
        <v>17</v>
      </c>
      <c r="K26" s="11"/>
      <c r="L26" s="12"/>
      <c r="M2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</v>
      </c>
    </row>
    <row r="27" spans="1:13" x14ac:dyDescent="0.25">
      <c r="A27" s="5" t="s">
        <v>43</v>
      </c>
      <c r="B27" s="114">
        <v>20</v>
      </c>
      <c r="C27" s="114">
        <v>5</v>
      </c>
      <c r="D27" s="114">
        <v>40</v>
      </c>
      <c r="E27" s="114">
        <v>3</v>
      </c>
      <c r="F27" s="114">
        <v>10</v>
      </c>
      <c r="G27" s="121" t="s">
        <v>116</v>
      </c>
      <c r="H27" s="5">
        <v>-5</v>
      </c>
      <c r="I27" s="7">
        <v>0</v>
      </c>
      <c r="J27" s="6">
        <v>16.899999999999999</v>
      </c>
      <c r="K27" s="6"/>
      <c r="L27" s="7"/>
      <c r="M2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</v>
      </c>
    </row>
    <row r="28" spans="1:13" x14ac:dyDescent="0.25">
      <c r="A28" s="8" t="s">
        <v>45</v>
      </c>
      <c r="B28" s="117">
        <v>20</v>
      </c>
      <c r="C28" s="117">
        <v>5</v>
      </c>
      <c r="D28" s="117">
        <v>40</v>
      </c>
      <c r="E28" s="117">
        <v>2</v>
      </c>
      <c r="F28" s="117">
        <v>10</v>
      </c>
      <c r="G28" s="118" t="s">
        <v>116</v>
      </c>
      <c r="H28" s="8">
        <v>-5</v>
      </c>
      <c r="I28" s="9">
        <v>2</v>
      </c>
      <c r="J28">
        <v>16.899999999999999</v>
      </c>
      <c r="L28" s="9"/>
      <c r="M2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C32/402054010</v>
      </c>
    </row>
    <row r="29" spans="1:13" x14ac:dyDescent="0.25">
      <c r="A29" s="8" t="s">
        <v>13</v>
      </c>
      <c r="B29" s="117">
        <v>20</v>
      </c>
      <c r="C29" s="117">
        <v>5</v>
      </c>
      <c r="D29" s="117">
        <v>40</v>
      </c>
      <c r="E29" s="117">
        <v>1</v>
      </c>
      <c r="F29" s="117">
        <v>10</v>
      </c>
      <c r="G29" s="118" t="s">
        <v>119</v>
      </c>
      <c r="H29" s="8">
        <v>-5</v>
      </c>
      <c r="I29" s="9">
        <v>7</v>
      </c>
      <c r="J29">
        <v>17</v>
      </c>
      <c r="L29" s="9"/>
      <c r="M2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</v>
      </c>
    </row>
    <row r="30" spans="1:13" x14ac:dyDescent="0.25">
      <c r="A30" s="8" t="s">
        <v>13</v>
      </c>
      <c r="B30" s="117">
        <v>20</v>
      </c>
      <c r="C30" s="117">
        <v>5</v>
      </c>
      <c r="D30" s="117">
        <v>40</v>
      </c>
      <c r="E30" s="117">
        <v>2</v>
      </c>
      <c r="F30" s="117">
        <v>10</v>
      </c>
      <c r="G30" s="118" t="s">
        <v>116</v>
      </c>
      <c r="H30" s="8">
        <v>-5</v>
      </c>
      <c r="I30" s="9">
        <v>12</v>
      </c>
      <c r="J30">
        <v>16.899999999999999</v>
      </c>
      <c r="L30" s="9"/>
      <c r="M3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</v>
      </c>
    </row>
    <row r="31" spans="1:13" ht="15.75" thickBot="1" x14ac:dyDescent="0.3">
      <c r="A31" s="10"/>
      <c r="B31" s="119">
        <v>20</v>
      </c>
      <c r="C31" s="119">
        <v>5</v>
      </c>
      <c r="D31" s="119"/>
      <c r="E31" s="119"/>
      <c r="F31" s="119">
        <v>50</v>
      </c>
      <c r="G31" s="120"/>
      <c r="H31" s="10">
        <v>-5</v>
      </c>
      <c r="I31" s="12">
        <v>20</v>
      </c>
      <c r="J31" s="11"/>
      <c r="K31" s="11"/>
      <c r="L31" s="12" t="s">
        <v>15</v>
      </c>
      <c r="M3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20550Fryser innan täck</v>
      </c>
    </row>
    <row r="32" spans="1:13" x14ac:dyDescent="0.25">
      <c r="A32" s="5" t="s">
        <v>43</v>
      </c>
      <c r="B32" s="114">
        <v>20</v>
      </c>
      <c r="C32" s="114">
        <v>5</v>
      </c>
      <c r="D32" s="114">
        <v>40</v>
      </c>
      <c r="E32" s="114">
        <v>3</v>
      </c>
      <c r="F32" s="114">
        <v>10</v>
      </c>
      <c r="G32" s="121" t="s">
        <v>118</v>
      </c>
      <c r="H32" s="5">
        <v>-10</v>
      </c>
      <c r="I32" s="7">
        <v>0</v>
      </c>
      <c r="J32" s="6">
        <v>17</v>
      </c>
      <c r="K32" s="6"/>
      <c r="L32" s="7"/>
      <c r="M32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C30/372054010</v>
      </c>
    </row>
    <row r="33" spans="1:13" x14ac:dyDescent="0.25">
      <c r="A33" s="8" t="s">
        <v>13</v>
      </c>
      <c r="B33" s="117">
        <v>20</v>
      </c>
      <c r="C33" s="117">
        <v>5</v>
      </c>
      <c r="D33" s="117">
        <v>40</v>
      </c>
      <c r="E33" s="117">
        <v>1</v>
      </c>
      <c r="F33" s="117">
        <v>10</v>
      </c>
      <c r="G33" s="118" t="s">
        <v>119</v>
      </c>
      <c r="H33" s="8">
        <v>-10</v>
      </c>
      <c r="I33" s="9">
        <v>2</v>
      </c>
      <c r="J33">
        <v>17</v>
      </c>
      <c r="L33" s="9"/>
      <c r="M3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</v>
      </c>
    </row>
    <row r="34" spans="1:13" x14ac:dyDescent="0.25">
      <c r="A34" s="8" t="s">
        <v>13</v>
      </c>
      <c r="B34" s="117">
        <v>20</v>
      </c>
      <c r="C34" s="117">
        <v>5</v>
      </c>
      <c r="D34" s="117">
        <v>40</v>
      </c>
      <c r="E34" s="117">
        <v>3</v>
      </c>
      <c r="F34" s="117">
        <v>10</v>
      </c>
      <c r="G34" s="118" t="s">
        <v>119</v>
      </c>
      <c r="H34" s="8">
        <v>-10</v>
      </c>
      <c r="I34" s="9">
        <v>7</v>
      </c>
      <c r="J34">
        <v>16.899999999999999</v>
      </c>
      <c r="L34" s="9"/>
      <c r="M3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C35/452054010</v>
      </c>
    </row>
    <row r="35" spans="1:13" x14ac:dyDescent="0.25">
      <c r="A35" s="8"/>
      <c r="B35" s="117" t="s">
        <v>10</v>
      </c>
      <c r="C35" s="117" t="s">
        <v>10</v>
      </c>
      <c r="D35" s="117"/>
      <c r="E35" s="117"/>
      <c r="F35" s="117" t="s">
        <v>10</v>
      </c>
      <c r="G35" s="118"/>
      <c r="H35" s="8">
        <v>-10</v>
      </c>
      <c r="I35" s="9">
        <v>12</v>
      </c>
      <c r="L35" s="9" t="s">
        <v>15</v>
      </c>
      <c r="M3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---Fryser innan täck</v>
      </c>
    </row>
    <row r="36" spans="1:13" ht="15.75" thickBot="1" x14ac:dyDescent="0.3">
      <c r="A36" s="10"/>
      <c r="B36" s="119" t="s">
        <v>10</v>
      </c>
      <c r="C36" s="119" t="s">
        <v>10</v>
      </c>
      <c r="D36" s="119"/>
      <c r="E36" s="119"/>
      <c r="F36" s="119" t="s">
        <v>10</v>
      </c>
      <c r="G36" s="120"/>
      <c r="H36" s="10">
        <v>-10</v>
      </c>
      <c r="I36" s="12">
        <v>20</v>
      </c>
      <c r="J36" s="11"/>
      <c r="K36" s="11"/>
      <c r="L36" s="12" t="s">
        <v>15</v>
      </c>
      <c r="M3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---Fryser innan täck</v>
      </c>
    </row>
    <row r="37" spans="1:13" x14ac:dyDescent="0.25">
      <c r="A37" s="8" t="s">
        <v>13</v>
      </c>
      <c r="B37" s="117">
        <v>15</v>
      </c>
      <c r="C37" s="117">
        <v>5</v>
      </c>
      <c r="D37" s="117">
        <v>40</v>
      </c>
      <c r="E37" s="117">
        <v>3</v>
      </c>
      <c r="F37" s="117">
        <v>30</v>
      </c>
      <c r="G37" s="117" t="s">
        <v>118</v>
      </c>
      <c r="H37" s="5">
        <v>-15</v>
      </c>
      <c r="I37" s="7">
        <v>0</v>
      </c>
      <c r="J37" s="6">
        <v>17</v>
      </c>
      <c r="K37" s="6"/>
      <c r="L37" s="7"/>
      <c r="M37" s="15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C35/451554030</v>
      </c>
    </row>
    <row r="38" spans="1:13" x14ac:dyDescent="0.25">
      <c r="A38" s="8" t="s">
        <v>10</v>
      </c>
      <c r="B38" s="117" t="s">
        <v>10</v>
      </c>
      <c r="C38" s="117" t="s">
        <v>10</v>
      </c>
      <c r="D38" s="117" t="s">
        <v>10</v>
      </c>
      <c r="E38" s="117" t="s">
        <v>10</v>
      </c>
      <c r="F38" s="117" t="s">
        <v>10</v>
      </c>
      <c r="G38" s="117" t="s">
        <v>10</v>
      </c>
      <c r="H38" s="8">
        <v>-15</v>
      </c>
      <c r="I38" s="9">
        <v>2</v>
      </c>
      <c r="L38" s="9" t="s">
        <v>113</v>
      </c>
      <c r="M38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-----Når ej 6 MPa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15</v>
      </c>
      <c r="M39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15</v>
      </c>
      <c r="M40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15</v>
      </c>
      <c r="M41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113</v>
      </c>
      <c r="M42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-----Når ej 6 MPa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15</v>
      </c>
      <c r="M43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15</v>
      </c>
      <c r="M44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15</v>
      </c>
      <c r="M45" s="16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15</v>
      </c>
      <c r="M46" s="17" t="str">
        <f>Table123[[#This Row],[Kvalitet]]&amp;Table123[[#This Row],[Gjuttemperatur]]&amp;Table123[[#This Row],[Temperatur motgjutningsyta]]&amp;Table123[[#This Row],[Värmekabel]]&amp;Table123[[#This Row],[Täckning '[mm']]]&amp;Table123[[#This Row],[OK&lt;17 Timamr]]&amp;Table123[[#This Row],[Kommentar]]</f>
        <v>-----Fryser innan täck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73CD57E-12E9-4DFF-A666-4A7DEE16399F}">
          <x14:formula1>
            <xm:f>Förutsättningar!$B$2:$B$6</xm:f>
          </x14:formula1>
          <xm:sqref>B2:B26 B35:B36 B43:B46</xm:sqref>
        </x14:dataValidation>
        <x14:dataValidation type="list" allowBlank="1" showInputMessage="1" showErrorMessage="1" xr:uid="{1F0682E8-9472-47FE-91EC-C4F3AB83055A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79C3B752-50CF-4960-A47D-936AEFDBAC58}">
          <x14:formula1>
            <xm:f>Förutsättningar!$C$2:$C$6</xm:f>
          </x14:formula1>
          <xm:sqref>C2:C26 C35:C36 C43:C46</xm:sqref>
        </x14:dataValidation>
        <x14:dataValidation type="list" allowBlank="1" showInputMessage="1" showErrorMessage="1" xr:uid="{CE98E489-752B-4532-B088-F4C52D5225ED}">
          <x14:formula1>
            <xm:f>Förutsättningar!$I$2</xm:f>
          </x14:formula1>
          <xm:sqref>K2:K46</xm:sqref>
        </x14:dataValidation>
        <x14:dataValidation type="list" allowBlank="1" showInputMessage="1" showErrorMessage="1" xr:uid="{F7C8101D-91EE-46CA-ACF4-56388390A587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E2627A33-6B27-4431-8D88-DD0B0AED5D46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FBEB46EE-AFD1-43D2-A329-5D23696418DB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7C9C6FF6-BA6F-443A-852C-BFAC4396DFFB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4D8628CE-B055-4EE2-9F20-536E45F16BF3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351-3B54-4803-8FA5-0B7584016F1E}">
  <dimension ref="A1:N46"/>
  <sheetViews>
    <sheetView topLeftCell="A8" zoomScaleNormal="100" workbookViewId="0">
      <selection activeCell="K18" sqref="K18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3" width="18" bestFit="1" customWidth="1"/>
    <col min="4" max="4" width="13.85546875" bestFit="1" customWidth="1"/>
    <col min="5" max="5" width="19.5703125" bestFit="1" customWidth="1"/>
    <col min="6" max="6" width="16.5703125" bestFit="1" customWidth="1"/>
    <col min="7" max="7" width="21.28515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1" bestFit="1" customWidth="1"/>
  </cols>
  <sheetData>
    <row r="1" spans="1:13" ht="31.5" customHeight="1" thickBot="1" x14ac:dyDescent="0.3">
      <c r="A1" s="112" t="s">
        <v>0</v>
      </c>
      <c r="B1" s="113" t="s">
        <v>1</v>
      </c>
      <c r="C1" s="113" t="s">
        <v>2</v>
      </c>
      <c r="D1" s="113" t="s">
        <v>108</v>
      </c>
      <c r="E1" s="113" t="s">
        <v>109</v>
      </c>
      <c r="F1" s="113" t="s">
        <v>4</v>
      </c>
      <c r="G1" s="113" t="s">
        <v>110</v>
      </c>
      <c r="H1" s="13" t="s">
        <v>5</v>
      </c>
      <c r="I1" s="13" t="s">
        <v>6</v>
      </c>
      <c r="J1" s="104" t="s">
        <v>100</v>
      </c>
      <c r="K1" s="13" t="s">
        <v>101</v>
      </c>
      <c r="L1" s="13" t="s">
        <v>7</v>
      </c>
      <c r="M1" s="14" t="s">
        <v>8</v>
      </c>
    </row>
    <row r="2" spans="1:13" x14ac:dyDescent="0.25">
      <c r="A2" s="5" t="s">
        <v>13</v>
      </c>
      <c r="B2" s="114">
        <v>15</v>
      </c>
      <c r="C2" s="114">
        <v>20</v>
      </c>
      <c r="D2" s="115" t="s">
        <v>10</v>
      </c>
      <c r="E2" s="115" t="s">
        <v>10</v>
      </c>
      <c r="F2" s="114" t="s">
        <v>10</v>
      </c>
      <c r="G2" s="116" t="s">
        <v>111</v>
      </c>
      <c r="H2" s="5">
        <v>20</v>
      </c>
      <c r="I2" s="7">
        <v>0</v>
      </c>
      <c r="J2">
        <v>16.899999999999999</v>
      </c>
      <c r="K2" s="6"/>
      <c r="L2" s="7"/>
      <c r="M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3" spans="1:13" x14ac:dyDescent="0.25">
      <c r="A3" s="8" t="s">
        <v>13</v>
      </c>
      <c r="B3" s="117">
        <v>15</v>
      </c>
      <c r="C3" s="117">
        <v>20</v>
      </c>
      <c r="D3" s="117" t="s">
        <v>10</v>
      </c>
      <c r="E3" s="117" t="s">
        <v>10</v>
      </c>
      <c r="F3" s="117" t="s">
        <v>10</v>
      </c>
      <c r="G3" s="118" t="s">
        <v>111</v>
      </c>
      <c r="H3" s="8">
        <v>20</v>
      </c>
      <c r="I3" s="9">
        <v>2</v>
      </c>
      <c r="J3">
        <v>16.8</v>
      </c>
      <c r="L3" s="9"/>
      <c r="M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4" spans="1:13" x14ac:dyDescent="0.25">
      <c r="A4" s="8" t="s">
        <v>13</v>
      </c>
      <c r="B4" s="117">
        <v>15</v>
      </c>
      <c r="C4" s="117">
        <v>20</v>
      </c>
      <c r="D4" s="117" t="s">
        <v>10</v>
      </c>
      <c r="E4" s="117" t="s">
        <v>10</v>
      </c>
      <c r="F4" s="117" t="s">
        <v>10</v>
      </c>
      <c r="G4" s="118" t="s">
        <v>111</v>
      </c>
      <c r="H4" s="8">
        <v>20</v>
      </c>
      <c r="I4" s="9">
        <v>7</v>
      </c>
      <c r="J4">
        <v>16.8</v>
      </c>
      <c r="L4" s="9"/>
      <c r="M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5" spans="1:13" x14ac:dyDescent="0.25">
      <c r="A5" s="8" t="s">
        <v>13</v>
      </c>
      <c r="B5" s="117">
        <v>15</v>
      </c>
      <c r="C5" s="117">
        <v>20</v>
      </c>
      <c r="D5" s="117" t="s">
        <v>10</v>
      </c>
      <c r="E5" s="117" t="s">
        <v>10</v>
      </c>
      <c r="F5" s="117" t="s">
        <v>10</v>
      </c>
      <c r="G5" s="118" t="s">
        <v>111</v>
      </c>
      <c r="H5" s="8">
        <v>20</v>
      </c>
      <c r="I5" s="9">
        <v>12</v>
      </c>
      <c r="J5">
        <v>16.8</v>
      </c>
      <c r="L5" s="9"/>
      <c r="M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6" spans="1:13" ht="15.75" thickBot="1" x14ac:dyDescent="0.3">
      <c r="A6" s="10" t="s">
        <v>13</v>
      </c>
      <c r="B6" s="119">
        <v>15</v>
      </c>
      <c r="C6" s="119">
        <v>20</v>
      </c>
      <c r="D6" s="119" t="s">
        <v>10</v>
      </c>
      <c r="E6" s="119" t="s">
        <v>10</v>
      </c>
      <c r="F6" s="119" t="s">
        <v>10</v>
      </c>
      <c r="G6" s="120" t="s">
        <v>111</v>
      </c>
      <c r="H6" s="10">
        <v>20</v>
      </c>
      <c r="I6" s="12">
        <v>20</v>
      </c>
      <c r="J6">
        <v>16.8</v>
      </c>
      <c r="L6" s="12"/>
      <c r="M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C28/351520--</v>
      </c>
    </row>
    <row r="7" spans="1:13" x14ac:dyDescent="0.25">
      <c r="A7" s="8"/>
      <c r="B7" s="117">
        <v>15</v>
      </c>
      <c r="C7" s="117">
        <v>15</v>
      </c>
      <c r="D7" s="117"/>
      <c r="E7" s="117"/>
      <c r="F7" s="117" t="s">
        <v>10</v>
      </c>
      <c r="G7" s="117"/>
      <c r="H7" s="5">
        <v>15</v>
      </c>
      <c r="I7" s="7">
        <v>0</v>
      </c>
      <c r="J7" s="5"/>
      <c r="K7" s="6"/>
      <c r="L7" s="7"/>
      <c r="M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8" spans="1:13" x14ac:dyDescent="0.25">
      <c r="A8" s="8"/>
      <c r="B8" s="117">
        <v>15</v>
      </c>
      <c r="C8" s="117">
        <v>15</v>
      </c>
      <c r="D8" s="117"/>
      <c r="E8" s="117"/>
      <c r="F8" s="117" t="s">
        <v>10</v>
      </c>
      <c r="G8" s="117"/>
      <c r="H8" s="8">
        <v>15</v>
      </c>
      <c r="I8" s="9">
        <v>2</v>
      </c>
      <c r="J8" s="8"/>
      <c r="L8" s="9"/>
      <c r="M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9" spans="1:13" x14ac:dyDescent="0.25">
      <c r="A9" s="8"/>
      <c r="B9" s="117">
        <v>15</v>
      </c>
      <c r="C9" s="117">
        <v>15</v>
      </c>
      <c r="D9" s="117"/>
      <c r="E9" s="117"/>
      <c r="F9" s="117" t="s">
        <v>10</v>
      </c>
      <c r="G9" s="117"/>
      <c r="H9" s="8">
        <v>15</v>
      </c>
      <c r="I9" s="9">
        <v>7</v>
      </c>
      <c r="J9" s="8"/>
      <c r="L9" s="9"/>
      <c r="M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C30/371515--</v>
      </c>
    </row>
    <row r="10" spans="1:13" x14ac:dyDescent="0.25">
      <c r="A10" s="8"/>
      <c r="B10" s="117">
        <v>15</v>
      </c>
      <c r="C10" s="117">
        <v>15</v>
      </c>
      <c r="D10" s="117"/>
      <c r="E10" s="117"/>
      <c r="F10" s="117" t="s">
        <v>11</v>
      </c>
      <c r="G10" s="117"/>
      <c r="H10" s="8">
        <v>15</v>
      </c>
      <c r="I10" s="9">
        <v>12</v>
      </c>
      <c r="J10" s="8"/>
      <c r="L10" s="9"/>
      <c r="M1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</v>
      </c>
    </row>
    <row r="11" spans="1:13" ht="15.75" thickBot="1" x14ac:dyDescent="0.3">
      <c r="A11" s="8"/>
      <c r="B11" s="117">
        <v>15</v>
      </c>
      <c r="C11" s="117">
        <v>15</v>
      </c>
      <c r="D11" s="117"/>
      <c r="E11" s="117"/>
      <c r="F11" s="117" t="s">
        <v>11</v>
      </c>
      <c r="G11" s="117"/>
      <c r="H11" s="10">
        <v>15</v>
      </c>
      <c r="I11" s="12">
        <v>20</v>
      </c>
      <c r="J11" s="10"/>
      <c r="K11" s="11"/>
      <c r="L11" s="12"/>
      <c r="M1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C30/371515-Presenning</v>
      </c>
    </row>
    <row r="12" spans="1:13" x14ac:dyDescent="0.25">
      <c r="A12" s="5"/>
      <c r="B12" s="114">
        <v>15</v>
      </c>
      <c r="C12" s="114">
        <v>10</v>
      </c>
      <c r="D12" s="114"/>
      <c r="E12" s="114"/>
      <c r="F12" s="114" t="s">
        <v>10</v>
      </c>
      <c r="G12" s="121"/>
      <c r="H12" s="5">
        <v>10</v>
      </c>
      <c r="I12" s="7">
        <v>0</v>
      </c>
      <c r="J12" s="5"/>
      <c r="K12" s="6"/>
      <c r="L12" s="7"/>
      <c r="M1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C35/451510--</v>
      </c>
    </row>
    <row r="13" spans="1:13" x14ac:dyDescent="0.25">
      <c r="A13" s="8"/>
      <c r="B13" s="117">
        <v>15</v>
      </c>
      <c r="C13" s="117">
        <v>10</v>
      </c>
      <c r="D13" s="117"/>
      <c r="E13" s="117"/>
      <c r="F13" s="117" t="s">
        <v>11</v>
      </c>
      <c r="G13" s="118"/>
      <c r="H13" s="8">
        <v>10</v>
      </c>
      <c r="I13" s="9">
        <v>2</v>
      </c>
      <c r="J13" s="8"/>
      <c r="L13" s="9"/>
      <c r="M1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C40/501510--</v>
      </c>
    </row>
    <row r="14" spans="1:13" x14ac:dyDescent="0.25">
      <c r="A14" s="8"/>
      <c r="B14" s="117">
        <v>15</v>
      </c>
      <c r="C14" s="117">
        <v>10</v>
      </c>
      <c r="D14" s="117"/>
      <c r="E14" s="117"/>
      <c r="F14" s="117" t="s">
        <v>11</v>
      </c>
      <c r="G14" s="118"/>
      <c r="H14" s="8">
        <v>10</v>
      </c>
      <c r="I14" s="9">
        <v>7</v>
      </c>
      <c r="J14" s="8"/>
      <c r="L14" s="9"/>
      <c r="M1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5" spans="1:13" x14ac:dyDescent="0.25">
      <c r="A15" s="8"/>
      <c r="B15" s="117">
        <v>15</v>
      </c>
      <c r="C15" s="117">
        <v>10</v>
      </c>
      <c r="D15" s="117"/>
      <c r="E15" s="117"/>
      <c r="F15" s="117" t="s">
        <v>11</v>
      </c>
      <c r="G15" s="118"/>
      <c r="H15" s="8">
        <v>10</v>
      </c>
      <c r="I15" s="9">
        <v>12</v>
      </c>
      <c r="J15" s="8"/>
      <c r="L15" s="9"/>
      <c r="M1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6" spans="1:13" ht="15.75" thickBot="1" x14ac:dyDescent="0.3">
      <c r="A16" s="10"/>
      <c r="B16" s="119">
        <v>15</v>
      </c>
      <c r="C16" s="119">
        <v>10</v>
      </c>
      <c r="D16" s="119"/>
      <c r="E16" s="119"/>
      <c r="F16" s="119" t="s">
        <v>11</v>
      </c>
      <c r="G16" s="120"/>
      <c r="H16" s="10">
        <v>10</v>
      </c>
      <c r="I16" s="12">
        <v>20</v>
      </c>
      <c r="J16" s="10"/>
      <c r="K16" s="11"/>
      <c r="L16" s="12"/>
      <c r="M1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C40/501510-Presenning</v>
      </c>
    </row>
    <row r="17" spans="1:14" x14ac:dyDescent="0.25">
      <c r="A17" s="8" t="s">
        <v>13</v>
      </c>
      <c r="B17" s="117">
        <v>20</v>
      </c>
      <c r="C17" s="117">
        <v>5</v>
      </c>
      <c r="D17" s="117">
        <v>40</v>
      </c>
      <c r="E17" s="117">
        <v>2</v>
      </c>
      <c r="F17" s="117" t="s">
        <v>11</v>
      </c>
      <c r="G17" s="117" t="s">
        <v>112</v>
      </c>
      <c r="H17" s="5">
        <v>5</v>
      </c>
      <c r="I17" s="7">
        <v>0</v>
      </c>
      <c r="J17" s="6">
        <v>16.600000000000001</v>
      </c>
      <c r="K17" s="6"/>
      <c r="L17" s="7"/>
      <c r="M1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</v>
      </c>
    </row>
    <row r="18" spans="1:14" x14ac:dyDescent="0.25">
      <c r="A18" s="8" t="s">
        <v>13</v>
      </c>
      <c r="B18" s="117">
        <v>20</v>
      </c>
      <c r="C18" s="117">
        <v>5</v>
      </c>
      <c r="D18" s="117">
        <v>40</v>
      </c>
      <c r="E18" s="117">
        <v>2</v>
      </c>
      <c r="F18" s="117">
        <v>10</v>
      </c>
      <c r="G18" s="117" t="s">
        <v>114</v>
      </c>
      <c r="H18" s="8">
        <v>5</v>
      </c>
      <c r="I18" s="9">
        <v>2</v>
      </c>
      <c r="J18">
        <v>16.7</v>
      </c>
      <c r="L18" s="9"/>
      <c r="M1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C20/252054010</v>
      </c>
    </row>
    <row r="19" spans="1:14" x14ac:dyDescent="0.25">
      <c r="A19" s="8" t="s">
        <v>13</v>
      </c>
      <c r="B19" s="117">
        <v>20</v>
      </c>
      <c r="C19" s="117">
        <v>5</v>
      </c>
      <c r="D19" s="117">
        <v>40</v>
      </c>
      <c r="E19" s="117">
        <v>2</v>
      </c>
      <c r="F19" s="117">
        <v>10</v>
      </c>
      <c r="G19" s="117" t="s">
        <v>118</v>
      </c>
      <c r="H19" s="8">
        <v>5</v>
      </c>
      <c r="I19" s="9">
        <v>7</v>
      </c>
      <c r="J19">
        <v>17</v>
      </c>
      <c r="L19" s="9"/>
      <c r="M1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0" spans="1:14" x14ac:dyDescent="0.25">
      <c r="A20" s="8" t="s">
        <v>14</v>
      </c>
      <c r="B20" s="117">
        <v>20</v>
      </c>
      <c r="C20" s="117">
        <v>5</v>
      </c>
      <c r="D20" s="117">
        <v>40</v>
      </c>
      <c r="E20" s="117">
        <v>2</v>
      </c>
      <c r="F20" s="117">
        <v>10</v>
      </c>
      <c r="G20" s="117" t="s">
        <v>112</v>
      </c>
      <c r="H20" s="8">
        <v>5</v>
      </c>
      <c r="I20" s="9">
        <v>12</v>
      </c>
      <c r="J20">
        <v>16.899999999999999</v>
      </c>
      <c r="L20" s="9"/>
      <c r="M2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1" spans="1:14" ht="15.75" thickBot="1" x14ac:dyDescent="0.3">
      <c r="A21" s="8" t="s">
        <v>14</v>
      </c>
      <c r="B21" s="117">
        <v>20</v>
      </c>
      <c r="C21" s="117">
        <v>5</v>
      </c>
      <c r="D21" s="117">
        <v>40</v>
      </c>
      <c r="E21" s="117">
        <v>2</v>
      </c>
      <c r="F21" s="117">
        <v>10</v>
      </c>
      <c r="G21" s="117" t="s">
        <v>114</v>
      </c>
      <c r="H21" s="10">
        <v>5</v>
      </c>
      <c r="I21" s="12">
        <v>20</v>
      </c>
      <c r="J21" s="11">
        <v>16.8</v>
      </c>
      <c r="K21" s="11"/>
      <c r="L21" s="12"/>
      <c r="M2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2" spans="1:14" x14ac:dyDescent="0.25">
      <c r="A22" s="5" t="s">
        <v>14</v>
      </c>
      <c r="B22" s="114">
        <v>20</v>
      </c>
      <c r="C22" s="114">
        <v>5</v>
      </c>
      <c r="D22" s="114">
        <v>40</v>
      </c>
      <c r="E22" s="114">
        <v>2</v>
      </c>
      <c r="F22" s="114">
        <v>10</v>
      </c>
      <c r="G22" s="121" t="s">
        <v>112</v>
      </c>
      <c r="H22" s="5">
        <v>0</v>
      </c>
      <c r="I22" s="7">
        <v>0</v>
      </c>
      <c r="J22" s="6">
        <v>16.2</v>
      </c>
      <c r="K22" s="6"/>
      <c r="L22" s="7"/>
      <c r="M2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C25/302054010</v>
      </c>
    </row>
    <row r="23" spans="1:14" x14ac:dyDescent="0.25">
      <c r="A23" s="8" t="s">
        <v>14</v>
      </c>
      <c r="B23" s="117">
        <v>20</v>
      </c>
      <c r="C23" s="117">
        <v>5</v>
      </c>
      <c r="D23" s="117">
        <v>40</v>
      </c>
      <c r="E23" s="117">
        <v>2</v>
      </c>
      <c r="F23" s="117">
        <v>10</v>
      </c>
      <c r="G23" s="118" t="s">
        <v>114</v>
      </c>
      <c r="H23" s="8">
        <v>0</v>
      </c>
      <c r="I23" s="9">
        <v>2</v>
      </c>
      <c r="J23">
        <v>16.600000000000001</v>
      </c>
      <c r="L23" s="9"/>
      <c r="M2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4" spans="1:14" x14ac:dyDescent="0.25">
      <c r="A24" s="8" t="s">
        <v>14</v>
      </c>
      <c r="B24" s="117">
        <v>20</v>
      </c>
      <c r="C24" s="117">
        <v>5</v>
      </c>
      <c r="D24" s="117">
        <v>40</v>
      </c>
      <c r="E24" s="117">
        <v>3</v>
      </c>
      <c r="F24" s="117">
        <v>10</v>
      </c>
      <c r="G24" s="118" t="s">
        <v>119</v>
      </c>
      <c r="H24" s="8">
        <v>0</v>
      </c>
      <c r="I24" s="9">
        <v>7</v>
      </c>
      <c r="J24">
        <v>16.8</v>
      </c>
      <c r="L24" s="9"/>
      <c r="M2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5" spans="1:14" x14ac:dyDescent="0.25">
      <c r="A25" s="8"/>
      <c r="B25" s="117">
        <v>20</v>
      </c>
      <c r="C25" s="117">
        <v>5</v>
      </c>
      <c r="D25" s="117"/>
      <c r="E25" s="117"/>
      <c r="F25" s="117">
        <v>20</v>
      </c>
      <c r="G25" s="118"/>
      <c r="H25" s="8">
        <v>0</v>
      </c>
      <c r="I25" s="9">
        <v>12</v>
      </c>
      <c r="L25" s="9"/>
      <c r="M2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6" spans="1:14" ht="15.75" thickBot="1" x14ac:dyDescent="0.3">
      <c r="A26" s="10"/>
      <c r="B26" s="119">
        <v>20</v>
      </c>
      <c r="C26" s="119">
        <v>5</v>
      </c>
      <c r="D26" s="119"/>
      <c r="E26" s="119"/>
      <c r="F26" s="119">
        <v>20</v>
      </c>
      <c r="G26" s="120"/>
      <c r="H26" s="10">
        <v>0</v>
      </c>
      <c r="I26" s="12">
        <v>20</v>
      </c>
      <c r="J26" s="11"/>
      <c r="K26" s="11"/>
      <c r="L26" s="12"/>
      <c r="M2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7" spans="1:14" x14ac:dyDescent="0.25">
      <c r="A27" s="5"/>
      <c r="B27" s="114">
        <v>20</v>
      </c>
      <c r="C27" s="114">
        <v>5</v>
      </c>
      <c r="D27" s="114"/>
      <c r="E27" s="114"/>
      <c r="F27" s="114">
        <v>30</v>
      </c>
      <c r="G27" s="121"/>
      <c r="H27" s="5">
        <v>-5</v>
      </c>
      <c r="I27" s="7">
        <v>0</v>
      </c>
      <c r="J27" s="6"/>
      <c r="K27" s="6"/>
      <c r="L27" s="7"/>
      <c r="M2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8" spans="1:14" x14ac:dyDescent="0.25">
      <c r="A28" s="8"/>
      <c r="B28" s="117">
        <v>20</v>
      </c>
      <c r="C28" s="117">
        <v>5</v>
      </c>
      <c r="D28" s="117"/>
      <c r="E28" s="117"/>
      <c r="F28" s="117">
        <v>30</v>
      </c>
      <c r="G28" s="118"/>
      <c r="H28" s="8">
        <v>-5</v>
      </c>
      <c r="I28" s="9">
        <v>2</v>
      </c>
      <c r="L28" s="9"/>
      <c r="M2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</row>
    <row r="29" spans="1:14" x14ac:dyDescent="0.25">
      <c r="A29" s="8"/>
      <c r="B29" s="117">
        <v>20</v>
      </c>
      <c r="C29" s="117">
        <v>5</v>
      </c>
      <c r="D29" s="117"/>
      <c r="E29" s="117"/>
      <c r="F29" s="117">
        <v>50</v>
      </c>
      <c r="G29" s="118"/>
      <c r="H29" s="8">
        <v>-5</v>
      </c>
      <c r="I29" s="9">
        <v>7</v>
      </c>
      <c r="L29" s="9"/>
      <c r="M2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</v>
      </c>
    </row>
    <row r="30" spans="1:14" x14ac:dyDescent="0.25">
      <c r="A30" s="8"/>
      <c r="B30" s="117">
        <v>20</v>
      </c>
      <c r="C30" s="117">
        <v>5</v>
      </c>
      <c r="D30" s="117"/>
      <c r="E30" s="117"/>
      <c r="F30" s="117">
        <v>50</v>
      </c>
      <c r="G30" s="118"/>
      <c r="H30" s="8">
        <v>-5</v>
      </c>
      <c r="I30" s="9">
        <v>12</v>
      </c>
      <c r="L30" s="9"/>
      <c r="M3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C30/372054010</v>
      </c>
    </row>
    <row r="31" spans="1:14" ht="15.75" thickBot="1" x14ac:dyDescent="0.3">
      <c r="A31" s="10"/>
      <c r="B31" s="119">
        <v>20</v>
      </c>
      <c r="C31" s="119">
        <v>5</v>
      </c>
      <c r="D31" s="119"/>
      <c r="E31" s="119"/>
      <c r="F31" s="119">
        <v>50</v>
      </c>
      <c r="G31" s="120"/>
      <c r="H31" s="10">
        <v>-5</v>
      </c>
      <c r="I31" s="12">
        <v>20</v>
      </c>
      <c r="J31" s="11"/>
      <c r="K31" s="11"/>
      <c r="L31" s="12" t="s">
        <v>15</v>
      </c>
      <c r="M3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32" spans="1:14" x14ac:dyDescent="0.25">
      <c r="A32" s="5"/>
      <c r="B32" s="114">
        <v>20</v>
      </c>
      <c r="C32" s="114">
        <v>5</v>
      </c>
      <c r="D32" s="114"/>
      <c r="E32" s="114"/>
      <c r="F32" s="114">
        <v>50</v>
      </c>
      <c r="G32" s="121"/>
      <c r="H32" s="5">
        <v>-10</v>
      </c>
      <c r="I32" s="7">
        <v>0</v>
      </c>
      <c r="J32" s="6"/>
      <c r="K32" s="6"/>
      <c r="L32" s="7" t="s">
        <v>113</v>
      </c>
      <c r="M32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  <c r="N32" t="s">
        <v>44</v>
      </c>
    </row>
    <row r="33" spans="1:14" x14ac:dyDescent="0.25">
      <c r="A33" s="8"/>
      <c r="B33" s="117">
        <v>20</v>
      </c>
      <c r="C33" s="117">
        <v>5</v>
      </c>
      <c r="D33" s="117"/>
      <c r="E33" s="117"/>
      <c r="F33" s="117">
        <v>50</v>
      </c>
      <c r="G33" s="118"/>
      <c r="H33" s="8">
        <v>-10</v>
      </c>
      <c r="I33" s="9">
        <v>2</v>
      </c>
      <c r="L33" s="9" t="s">
        <v>113</v>
      </c>
      <c r="M3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C28/352054010</v>
      </c>
      <c r="N33" s="2" t="s">
        <v>56</v>
      </c>
    </row>
    <row r="34" spans="1:14" x14ac:dyDescent="0.25">
      <c r="A34" s="8"/>
      <c r="B34" s="117">
        <v>20</v>
      </c>
      <c r="C34" s="117">
        <v>5</v>
      </c>
      <c r="D34" s="117"/>
      <c r="E34" s="117"/>
      <c r="F34" s="117">
        <v>50</v>
      </c>
      <c r="G34" s="118"/>
      <c r="H34" s="8">
        <v>-10</v>
      </c>
      <c r="I34" s="9">
        <v>7</v>
      </c>
      <c r="L34" s="9" t="s">
        <v>113</v>
      </c>
      <c r="M3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C32/402054010</v>
      </c>
      <c r="N34" s="2">
        <v>21</v>
      </c>
    </row>
    <row r="35" spans="1:14" x14ac:dyDescent="0.25">
      <c r="A35" s="8"/>
      <c r="B35" s="117" t="s">
        <v>10</v>
      </c>
      <c r="C35" s="117" t="s">
        <v>10</v>
      </c>
      <c r="D35" s="117"/>
      <c r="E35" s="117"/>
      <c r="F35" s="117" t="s">
        <v>10</v>
      </c>
      <c r="G35" s="118"/>
      <c r="H35" s="8">
        <v>-10</v>
      </c>
      <c r="I35" s="9">
        <v>12</v>
      </c>
      <c r="L35" s="9" t="s">
        <v>15</v>
      </c>
      <c r="M3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  <c r="N35" s="2" t="s">
        <v>57</v>
      </c>
    </row>
    <row r="36" spans="1:14" ht="15.75" thickBot="1" x14ac:dyDescent="0.3">
      <c r="A36" s="10"/>
      <c r="B36" s="119" t="s">
        <v>10</v>
      </c>
      <c r="C36" s="119" t="s">
        <v>10</v>
      </c>
      <c r="D36" s="119"/>
      <c r="E36" s="119"/>
      <c r="F36" s="119" t="s">
        <v>10</v>
      </c>
      <c r="G36" s="120"/>
      <c r="H36" s="10">
        <v>-10</v>
      </c>
      <c r="I36" s="12">
        <v>20</v>
      </c>
      <c r="J36" s="11"/>
      <c r="K36" s="11"/>
      <c r="L36" s="12" t="s">
        <v>15</v>
      </c>
      <c r="M3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  <c r="N36" s="2" t="s">
        <v>58</v>
      </c>
    </row>
    <row r="37" spans="1:14" x14ac:dyDescent="0.25">
      <c r="A37" s="8"/>
      <c r="B37" s="117">
        <v>15</v>
      </c>
      <c r="C37" s="117">
        <v>5</v>
      </c>
      <c r="D37" s="117"/>
      <c r="E37" s="117"/>
      <c r="F37" s="117">
        <v>50</v>
      </c>
      <c r="G37" s="117"/>
      <c r="H37" s="5">
        <v>-15</v>
      </c>
      <c r="I37" s="7">
        <v>0</v>
      </c>
      <c r="J37" s="6"/>
      <c r="K37" s="6"/>
      <c r="L37" s="7" t="s">
        <v>113</v>
      </c>
      <c r="M37" s="15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C32/401554020</v>
      </c>
      <c r="N37" s="2">
        <v>28</v>
      </c>
    </row>
    <row r="38" spans="1:14" x14ac:dyDescent="0.25">
      <c r="A38" s="8"/>
      <c r="B38" s="117">
        <v>15</v>
      </c>
      <c r="C38" s="117">
        <v>5</v>
      </c>
      <c r="D38" s="117"/>
      <c r="E38" s="117"/>
      <c r="F38" s="117">
        <v>50</v>
      </c>
      <c r="G38" s="117"/>
      <c r="H38" s="8">
        <v>-15</v>
      </c>
      <c r="I38" s="9">
        <v>2</v>
      </c>
      <c r="L38" s="9" t="s">
        <v>113</v>
      </c>
      <c r="M38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C40/501554020</v>
      </c>
      <c r="N38" s="2" t="s">
        <v>59</v>
      </c>
    </row>
    <row r="39" spans="1:14" x14ac:dyDescent="0.25">
      <c r="A39" s="8"/>
      <c r="B39" s="117" t="s">
        <v>10</v>
      </c>
      <c r="C39" s="117" t="s">
        <v>10</v>
      </c>
      <c r="D39" s="117"/>
      <c r="E39" s="117"/>
      <c r="F39" s="117" t="s">
        <v>10</v>
      </c>
      <c r="G39" s="117"/>
      <c r="H39" s="8">
        <v>-15</v>
      </c>
      <c r="I39" s="9">
        <v>7</v>
      </c>
      <c r="L39" s="9" t="s">
        <v>15</v>
      </c>
      <c r="M39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  <c r="N39" s="2">
        <v>35</v>
      </c>
    </row>
    <row r="40" spans="1:14" x14ac:dyDescent="0.25">
      <c r="A40" s="8"/>
      <c r="B40" s="117" t="s">
        <v>10</v>
      </c>
      <c r="C40" s="117" t="s">
        <v>10</v>
      </c>
      <c r="D40" s="117"/>
      <c r="E40" s="117"/>
      <c r="F40" s="117" t="s">
        <v>10</v>
      </c>
      <c r="G40" s="117"/>
      <c r="H40" s="8">
        <v>-15</v>
      </c>
      <c r="I40" s="9">
        <v>12</v>
      </c>
      <c r="L40" s="9" t="s">
        <v>15</v>
      </c>
      <c r="M40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1" spans="1:14" ht="15.75" thickBot="1" x14ac:dyDescent="0.3">
      <c r="A41" s="8"/>
      <c r="B41" s="117" t="s">
        <v>10</v>
      </c>
      <c r="C41" s="117" t="s">
        <v>10</v>
      </c>
      <c r="D41" s="117"/>
      <c r="E41" s="117"/>
      <c r="F41" s="117" t="s">
        <v>10</v>
      </c>
      <c r="G41" s="117"/>
      <c r="H41" s="10">
        <v>-15</v>
      </c>
      <c r="I41" s="12">
        <v>20</v>
      </c>
      <c r="J41" s="11"/>
      <c r="K41" s="11"/>
      <c r="L41" s="12" t="s">
        <v>15</v>
      </c>
      <c r="M41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2" spans="1:14" x14ac:dyDescent="0.25">
      <c r="A42" s="5"/>
      <c r="B42" s="114" t="s">
        <v>10</v>
      </c>
      <c r="C42" s="114" t="s">
        <v>10</v>
      </c>
      <c r="D42" s="114"/>
      <c r="E42" s="114"/>
      <c r="F42" s="114" t="s">
        <v>10</v>
      </c>
      <c r="G42" s="121"/>
      <c r="H42" s="8">
        <v>-20</v>
      </c>
      <c r="I42" s="9">
        <v>0</v>
      </c>
      <c r="L42" s="9" t="s">
        <v>113</v>
      </c>
      <c r="M42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-----Når ej 6 MPa</v>
      </c>
    </row>
    <row r="43" spans="1:14" x14ac:dyDescent="0.25">
      <c r="A43" s="8"/>
      <c r="B43" s="117" t="s">
        <v>10</v>
      </c>
      <c r="C43" s="117" t="s">
        <v>10</v>
      </c>
      <c r="D43" s="117"/>
      <c r="E43" s="117"/>
      <c r="F43" s="117" t="s">
        <v>10</v>
      </c>
      <c r="G43" s="118"/>
      <c r="H43" s="8">
        <v>-20</v>
      </c>
      <c r="I43" s="9">
        <v>2</v>
      </c>
      <c r="L43" s="9" t="s">
        <v>15</v>
      </c>
      <c r="M43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4" spans="1:14" x14ac:dyDescent="0.25">
      <c r="A44" s="8"/>
      <c r="B44" s="117" t="s">
        <v>10</v>
      </c>
      <c r="C44" s="117" t="s">
        <v>10</v>
      </c>
      <c r="D44" s="117"/>
      <c r="E44" s="117"/>
      <c r="F44" s="117" t="s">
        <v>10</v>
      </c>
      <c r="G44" s="118"/>
      <c r="H44" s="8">
        <v>-20</v>
      </c>
      <c r="I44" s="9">
        <v>7</v>
      </c>
      <c r="L44" s="9" t="s">
        <v>15</v>
      </c>
      <c r="M44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5" spans="1:14" x14ac:dyDescent="0.25">
      <c r="A45" s="8"/>
      <c r="B45" s="117" t="s">
        <v>10</v>
      </c>
      <c r="C45" s="117" t="s">
        <v>10</v>
      </c>
      <c r="D45" s="117"/>
      <c r="E45" s="117"/>
      <c r="F45" s="117" t="s">
        <v>10</v>
      </c>
      <c r="G45" s="118"/>
      <c r="H45" s="8">
        <v>-20</v>
      </c>
      <c r="I45" s="9">
        <v>12</v>
      </c>
      <c r="L45" s="9" t="s">
        <v>15</v>
      </c>
      <c r="M45" s="16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  <row r="46" spans="1:14" ht="15.75" thickBot="1" x14ac:dyDescent="0.3">
      <c r="A46" s="10"/>
      <c r="B46" s="119" t="s">
        <v>10</v>
      </c>
      <c r="C46" s="119" t="s">
        <v>10</v>
      </c>
      <c r="D46" s="119"/>
      <c r="E46" s="119"/>
      <c r="F46" s="119" t="s">
        <v>10</v>
      </c>
      <c r="G46" s="120"/>
      <c r="H46" s="10">
        <v>-20</v>
      </c>
      <c r="I46" s="12">
        <v>20</v>
      </c>
      <c r="J46" s="11"/>
      <c r="K46" s="11"/>
      <c r="L46" s="12" t="s">
        <v>15</v>
      </c>
      <c r="M46" s="17" t="str">
        <f>Table1[[#This Row],[Kvalitet]]&amp;Table1[[#This Row],[Gjuttemperatur]]&amp;Table1[[#This Row],[Temperatur motgjutningsyta]]&amp;Table1[[#This Row],[Värmekabel]]&amp;Table1[[#This Row],[Täckning '[mm']]]&amp;Table1[[#This Row],[OK&lt;17 Timamr]]&amp;Table1[[#This Row],[Kommentar]]</f>
        <v>-----Fryser innan täck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F830119-E94B-4DFE-9802-91A68FD6B47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7AEDD23F-6B3B-4DF3-9AA5-F008E01E9AE6}">
          <x14:formula1>
            <xm:f>Förutsättningar!$B$2:$B$6</xm:f>
          </x14:formula1>
          <xm:sqref>B43:B46 B2:B26 B35:B36</xm:sqref>
        </x14:dataValidation>
        <x14:dataValidation type="list" allowBlank="1" showInputMessage="1" showErrorMessage="1" xr:uid="{D3B1FD44-69A4-43AB-8440-457CB02CC294}">
          <x14:formula1>
            <xm:f>Förutsättningar!$C$2:$C$6</xm:f>
          </x14:formula1>
          <xm:sqref>C43:C46 C2:C26 C35:C36</xm:sqref>
        </x14:dataValidation>
        <x14:dataValidation type="list" allowBlank="1" showInputMessage="1" showErrorMessage="1" xr:uid="{07CC1809-3C77-4686-A27D-57D3CC88069D}">
          <x14:formula1>
            <xm:f>Förutsättningar!$I$2</xm:f>
          </x14:formula1>
          <xm:sqref>K2:K46</xm:sqref>
        </x14:dataValidation>
        <x14:dataValidation type="list" allowBlank="1" showInputMessage="1" showErrorMessage="1" xr:uid="{0A298C46-0547-477A-871B-40C7C65BA0C0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6EDC390B-3DAA-48EC-87B6-4D4704CEC6D3}">
          <x14:formula1>
            <xm:f>Förutsättningar!$F$2:$F$7</xm:f>
          </x14:formula1>
          <xm:sqref>F2:F46</xm:sqref>
        </x14:dataValidation>
        <x14:dataValidation type="list" allowBlank="1" showInputMessage="1" showErrorMessage="1" xr:uid="{BEFC058F-130B-42C4-BDCC-F4B7037E20D7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C8032574-1DF8-47EB-9BC9-D61271356365}">
          <x14:formula1>
            <xm:f>Förutsättningar!$G$2:$G$6</xm:f>
          </x14:formula1>
          <xm:sqref>G2:G46</xm:sqref>
        </x14:dataValidation>
        <x14:dataValidation type="list" allowBlank="1" showInputMessage="1" showErrorMessage="1" xr:uid="{D2B10799-56AE-430A-A298-C2F163584A8A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DC3-5934-4686-BB45-360A18084ACD}">
  <dimension ref="A1:M46"/>
  <sheetViews>
    <sheetView zoomScaleNormal="100" workbookViewId="0">
      <selection activeCell="F52" sqref="F52"/>
    </sheetView>
  </sheetViews>
  <sheetFormatPr defaultRowHeight="15" x14ac:dyDescent="0.25"/>
  <cols>
    <col min="1" max="1" width="10.140625" style="8" customWidth="1"/>
    <col min="2" max="2" width="17.42578125" style="2" bestFit="1" customWidth="1"/>
    <col min="3" max="3" width="18" style="2" bestFit="1" customWidth="1"/>
    <col min="4" max="4" width="13.85546875" style="2" bestFit="1" customWidth="1"/>
    <col min="5" max="5" width="19.5703125" style="2" bestFit="1" customWidth="1"/>
    <col min="6" max="6" width="16.5703125" bestFit="1" customWidth="1"/>
    <col min="7" max="7" width="21.28515625" bestFit="1" customWidth="1"/>
    <col min="8" max="8" width="13.7109375" bestFit="1" customWidth="1"/>
    <col min="9" max="9" width="7.28515625" bestFit="1" customWidth="1"/>
    <col min="10" max="10" width="24.140625" bestFit="1" customWidth="1"/>
    <col min="11" max="12" width="16.140625" bestFit="1" customWidth="1"/>
    <col min="13" max="13" width="21" bestFit="1" customWidth="1"/>
  </cols>
  <sheetData>
    <row r="1" spans="1:13" ht="30" customHeight="1" thickBot="1" x14ac:dyDescent="0.3">
      <c r="A1" s="112" t="s">
        <v>0</v>
      </c>
      <c r="B1" s="113" t="s">
        <v>1</v>
      </c>
      <c r="C1" s="113" t="s">
        <v>2</v>
      </c>
      <c r="D1" s="113" t="s">
        <v>108</v>
      </c>
      <c r="E1" s="113" t="s">
        <v>109</v>
      </c>
      <c r="F1" s="113" t="s">
        <v>4</v>
      </c>
      <c r="G1" s="113" t="s">
        <v>110</v>
      </c>
      <c r="H1" s="13" t="s">
        <v>5</v>
      </c>
      <c r="I1" s="13" t="s">
        <v>6</v>
      </c>
      <c r="J1" s="104" t="s">
        <v>100</v>
      </c>
      <c r="K1" s="13" t="s">
        <v>101</v>
      </c>
      <c r="L1" s="13" t="s">
        <v>7</v>
      </c>
      <c r="M1" s="14" t="s">
        <v>8</v>
      </c>
    </row>
    <row r="2" spans="1:13" x14ac:dyDescent="0.25">
      <c r="A2" s="5" t="s">
        <v>10</v>
      </c>
      <c r="B2" s="114" t="s">
        <v>10</v>
      </c>
      <c r="C2" s="114" t="s">
        <v>10</v>
      </c>
      <c r="D2" s="115" t="s">
        <v>10</v>
      </c>
      <c r="E2" s="115" t="s">
        <v>10</v>
      </c>
      <c r="F2" s="114" t="s">
        <v>10</v>
      </c>
      <c r="G2" s="116" t="s">
        <v>10</v>
      </c>
      <c r="H2" s="5">
        <v>20</v>
      </c>
      <c r="I2" s="7">
        <v>0</v>
      </c>
      <c r="K2" s="6"/>
      <c r="L2" s="7" t="s">
        <v>113</v>
      </c>
      <c r="M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" spans="1:13" x14ac:dyDescent="0.25">
      <c r="A3" s="8" t="s">
        <v>10</v>
      </c>
      <c r="B3" s="117" t="s">
        <v>10</v>
      </c>
      <c r="C3" s="117" t="s">
        <v>10</v>
      </c>
      <c r="D3" s="117" t="s">
        <v>10</v>
      </c>
      <c r="E3" s="117" t="s">
        <v>10</v>
      </c>
      <c r="F3" s="117" t="s">
        <v>10</v>
      </c>
      <c r="G3" s="118" t="s">
        <v>10</v>
      </c>
      <c r="H3" s="8">
        <v>20</v>
      </c>
      <c r="I3" s="9">
        <v>2</v>
      </c>
      <c r="L3" s="9" t="s">
        <v>113</v>
      </c>
      <c r="M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4" spans="1:13" x14ac:dyDescent="0.25">
      <c r="A4" s="8" t="s">
        <v>10</v>
      </c>
      <c r="B4" s="117" t="s">
        <v>10</v>
      </c>
      <c r="C4" s="117" t="s">
        <v>10</v>
      </c>
      <c r="D4" s="117" t="s">
        <v>10</v>
      </c>
      <c r="E4" s="117" t="s">
        <v>10</v>
      </c>
      <c r="F4" s="117" t="s">
        <v>10</v>
      </c>
      <c r="G4" s="118" t="s">
        <v>10</v>
      </c>
      <c r="H4" s="8">
        <v>20</v>
      </c>
      <c r="I4" s="9">
        <v>7</v>
      </c>
      <c r="L4" s="9" t="s">
        <v>113</v>
      </c>
      <c r="M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5" spans="1:13" x14ac:dyDescent="0.25">
      <c r="A5" s="8" t="s">
        <v>10</v>
      </c>
      <c r="B5" s="117" t="s">
        <v>10</v>
      </c>
      <c r="C5" s="117" t="s">
        <v>10</v>
      </c>
      <c r="D5" s="117" t="s">
        <v>10</v>
      </c>
      <c r="E5" s="117" t="s">
        <v>10</v>
      </c>
      <c r="F5" s="117" t="s">
        <v>10</v>
      </c>
      <c r="G5" s="118" t="s">
        <v>10</v>
      </c>
      <c r="H5" s="8">
        <v>20</v>
      </c>
      <c r="I5" s="9">
        <v>12</v>
      </c>
      <c r="L5" s="9" t="s">
        <v>113</v>
      </c>
      <c r="M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6" spans="1:13" ht="15.75" thickBot="1" x14ac:dyDescent="0.3">
      <c r="A6" s="10" t="s">
        <v>10</v>
      </c>
      <c r="B6" s="119" t="s">
        <v>10</v>
      </c>
      <c r="C6" s="119" t="s">
        <v>10</v>
      </c>
      <c r="D6" s="119" t="s">
        <v>10</v>
      </c>
      <c r="E6" s="119" t="s">
        <v>10</v>
      </c>
      <c r="F6" s="119" t="s">
        <v>10</v>
      </c>
      <c r="G6" s="120" t="s">
        <v>10</v>
      </c>
      <c r="H6" s="10">
        <v>20</v>
      </c>
      <c r="I6" s="12">
        <v>20</v>
      </c>
      <c r="L6" s="12" t="s">
        <v>113</v>
      </c>
      <c r="M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7" spans="1:13" x14ac:dyDescent="0.25">
      <c r="A7" s="8" t="s">
        <v>10</v>
      </c>
      <c r="B7" s="117" t="s">
        <v>10</v>
      </c>
      <c r="C7" s="117" t="s">
        <v>10</v>
      </c>
      <c r="D7" s="117" t="s">
        <v>10</v>
      </c>
      <c r="E7" s="117" t="s">
        <v>10</v>
      </c>
      <c r="F7" s="117" t="s">
        <v>10</v>
      </c>
      <c r="G7" s="117" t="s">
        <v>10</v>
      </c>
      <c r="H7" s="5">
        <v>15</v>
      </c>
      <c r="I7" s="7">
        <v>0</v>
      </c>
      <c r="J7" s="5"/>
      <c r="K7" s="6"/>
      <c r="L7" s="7" t="s">
        <v>113</v>
      </c>
      <c r="M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8" spans="1:13" x14ac:dyDescent="0.25">
      <c r="A8" s="8" t="s">
        <v>10</v>
      </c>
      <c r="B8" s="117" t="s">
        <v>10</v>
      </c>
      <c r="C8" s="117" t="s">
        <v>10</v>
      </c>
      <c r="D8" s="117" t="s">
        <v>10</v>
      </c>
      <c r="E8" s="117" t="s">
        <v>10</v>
      </c>
      <c r="F8" s="117" t="s">
        <v>10</v>
      </c>
      <c r="G8" s="117" t="s">
        <v>10</v>
      </c>
      <c r="H8" s="8">
        <v>15</v>
      </c>
      <c r="I8" s="9">
        <v>2</v>
      </c>
      <c r="J8" s="8"/>
      <c r="L8" s="9" t="s">
        <v>113</v>
      </c>
      <c r="M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9" spans="1:13" x14ac:dyDescent="0.25">
      <c r="A9" s="8" t="s">
        <v>10</v>
      </c>
      <c r="B9" s="117" t="s">
        <v>10</v>
      </c>
      <c r="C9" s="117" t="s">
        <v>10</v>
      </c>
      <c r="D9" s="117" t="s">
        <v>10</v>
      </c>
      <c r="E9" s="117" t="s">
        <v>10</v>
      </c>
      <c r="F9" s="117" t="s">
        <v>10</v>
      </c>
      <c r="G9" s="117" t="s">
        <v>10</v>
      </c>
      <c r="H9" s="8">
        <v>15</v>
      </c>
      <c r="I9" s="9">
        <v>7</v>
      </c>
      <c r="J9" s="8"/>
      <c r="L9" s="9" t="s">
        <v>113</v>
      </c>
      <c r="M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0" spans="1:13" x14ac:dyDescent="0.25">
      <c r="A10" s="8" t="s">
        <v>10</v>
      </c>
      <c r="B10" s="117" t="s">
        <v>10</v>
      </c>
      <c r="C10" s="117" t="s">
        <v>10</v>
      </c>
      <c r="D10" s="117" t="s">
        <v>10</v>
      </c>
      <c r="E10" s="117" t="s">
        <v>10</v>
      </c>
      <c r="F10" s="117" t="s">
        <v>10</v>
      </c>
      <c r="G10" s="117" t="s">
        <v>10</v>
      </c>
      <c r="H10" s="8">
        <v>15</v>
      </c>
      <c r="I10" s="9">
        <v>12</v>
      </c>
      <c r="J10" s="8"/>
      <c r="L10" s="9" t="s">
        <v>113</v>
      </c>
      <c r="M1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1" spans="1:13" ht="15.75" thickBot="1" x14ac:dyDescent="0.3">
      <c r="A11" s="8" t="s">
        <v>10</v>
      </c>
      <c r="B11" s="117" t="s">
        <v>10</v>
      </c>
      <c r="C11" s="117" t="s">
        <v>10</v>
      </c>
      <c r="D11" s="117" t="s">
        <v>10</v>
      </c>
      <c r="E11" s="117" t="s">
        <v>10</v>
      </c>
      <c r="F11" s="117" t="s">
        <v>10</v>
      </c>
      <c r="G11" s="117" t="s">
        <v>10</v>
      </c>
      <c r="H11" s="10">
        <v>15</v>
      </c>
      <c r="I11" s="12">
        <v>20</v>
      </c>
      <c r="J11" s="10"/>
      <c r="K11" s="11"/>
      <c r="L11" s="12" t="s">
        <v>113</v>
      </c>
      <c r="M1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2" spans="1:13" x14ac:dyDescent="0.25">
      <c r="A12" s="5" t="s">
        <v>10</v>
      </c>
      <c r="B12" s="114" t="s">
        <v>10</v>
      </c>
      <c r="C12" s="114" t="s">
        <v>10</v>
      </c>
      <c r="D12" s="114" t="s">
        <v>10</v>
      </c>
      <c r="E12" s="114" t="s">
        <v>10</v>
      </c>
      <c r="F12" s="114" t="s">
        <v>10</v>
      </c>
      <c r="G12" s="121" t="s">
        <v>10</v>
      </c>
      <c r="H12" s="5">
        <v>10</v>
      </c>
      <c r="I12" s="7">
        <v>0</v>
      </c>
      <c r="J12" s="5"/>
      <c r="K12" s="6"/>
      <c r="L12" s="7" t="s">
        <v>113</v>
      </c>
      <c r="M1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3" spans="1:13" x14ac:dyDescent="0.25">
      <c r="A13" s="8" t="s">
        <v>10</v>
      </c>
      <c r="B13" s="117" t="s">
        <v>10</v>
      </c>
      <c r="C13" s="117" t="s">
        <v>10</v>
      </c>
      <c r="D13" s="117" t="s">
        <v>10</v>
      </c>
      <c r="E13" s="117" t="s">
        <v>10</v>
      </c>
      <c r="F13" s="117" t="s">
        <v>10</v>
      </c>
      <c r="G13" s="118" t="s">
        <v>10</v>
      </c>
      <c r="H13" s="8">
        <v>10</v>
      </c>
      <c r="I13" s="9">
        <v>2</v>
      </c>
      <c r="J13" s="8"/>
      <c r="L13" s="9" t="s">
        <v>113</v>
      </c>
      <c r="M1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4" spans="1:13" x14ac:dyDescent="0.25">
      <c r="A14" s="8" t="s">
        <v>10</v>
      </c>
      <c r="B14" s="117" t="s">
        <v>10</v>
      </c>
      <c r="C14" s="117" t="s">
        <v>10</v>
      </c>
      <c r="D14" s="117" t="s">
        <v>10</v>
      </c>
      <c r="E14" s="117" t="s">
        <v>10</v>
      </c>
      <c r="F14" s="117" t="s">
        <v>10</v>
      </c>
      <c r="G14" s="118" t="s">
        <v>10</v>
      </c>
      <c r="H14" s="8">
        <v>10</v>
      </c>
      <c r="I14" s="9">
        <v>7</v>
      </c>
      <c r="J14" s="8"/>
      <c r="L14" s="9" t="s">
        <v>113</v>
      </c>
      <c r="M1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5" spans="1:13" x14ac:dyDescent="0.25">
      <c r="A15" s="8" t="s">
        <v>10</v>
      </c>
      <c r="B15" s="117" t="s">
        <v>10</v>
      </c>
      <c r="C15" s="117" t="s">
        <v>10</v>
      </c>
      <c r="D15" s="117" t="s">
        <v>10</v>
      </c>
      <c r="E15" s="117" t="s">
        <v>10</v>
      </c>
      <c r="F15" s="117" t="s">
        <v>10</v>
      </c>
      <c r="G15" s="118" t="s">
        <v>10</v>
      </c>
      <c r="H15" s="8">
        <v>10</v>
      </c>
      <c r="I15" s="9">
        <v>12</v>
      </c>
      <c r="J15" s="8"/>
      <c r="L15" s="9" t="s">
        <v>113</v>
      </c>
      <c r="M1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6" spans="1:13" ht="15.75" thickBot="1" x14ac:dyDescent="0.3">
      <c r="A16" s="10" t="s">
        <v>10</v>
      </c>
      <c r="B16" s="119" t="s">
        <v>10</v>
      </c>
      <c r="C16" s="119" t="s">
        <v>10</v>
      </c>
      <c r="D16" s="119" t="s">
        <v>10</v>
      </c>
      <c r="E16" s="119" t="s">
        <v>10</v>
      </c>
      <c r="F16" s="119" t="s">
        <v>10</v>
      </c>
      <c r="G16" s="120" t="s">
        <v>10</v>
      </c>
      <c r="H16" s="10">
        <v>10</v>
      </c>
      <c r="I16" s="12">
        <v>20</v>
      </c>
      <c r="J16" s="10"/>
      <c r="K16" s="11"/>
      <c r="L16" s="12" t="s">
        <v>113</v>
      </c>
      <c r="M1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7" spans="1:13" x14ac:dyDescent="0.25">
      <c r="A17" s="8" t="s">
        <v>10</v>
      </c>
      <c r="B17" s="117" t="s">
        <v>10</v>
      </c>
      <c r="C17" s="117" t="s">
        <v>10</v>
      </c>
      <c r="D17" s="117" t="s">
        <v>10</v>
      </c>
      <c r="E17" s="117" t="s">
        <v>10</v>
      </c>
      <c r="F17" s="117" t="s">
        <v>10</v>
      </c>
      <c r="G17" s="117" t="s">
        <v>10</v>
      </c>
      <c r="H17" s="5">
        <v>5</v>
      </c>
      <c r="I17" s="7">
        <v>0</v>
      </c>
      <c r="J17" s="6"/>
      <c r="K17" s="6"/>
      <c r="L17" s="7" t="s">
        <v>113</v>
      </c>
      <c r="M1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8" spans="1:13" x14ac:dyDescent="0.25">
      <c r="A18" s="8" t="s">
        <v>10</v>
      </c>
      <c r="B18" s="117" t="s">
        <v>10</v>
      </c>
      <c r="C18" s="117" t="s">
        <v>10</v>
      </c>
      <c r="D18" s="117" t="s">
        <v>10</v>
      </c>
      <c r="E18" s="117" t="s">
        <v>10</v>
      </c>
      <c r="F18" s="117" t="s">
        <v>10</v>
      </c>
      <c r="G18" s="117" t="s">
        <v>10</v>
      </c>
      <c r="H18" s="8">
        <v>5</v>
      </c>
      <c r="I18" s="9">
        <v>2</v>
      </c>
      <c r="L18" s="9" t="s">
        <v>113</v>
      </c>
      <c r="M1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19" spans="1:13" x14ac:dyDescent="0.25">
      <c r="A19" s="8" t="s">
        <v>10</v>
      </c>
      <c r="B19" s="117" t="s">
        <v>10</v>
      </c>
      <c r="C19" s="117" t="s">
        <v>10</v>
      </c>
      <c r="D19" s="117" t="s">
        <v>10</v>
      </c>
      <c r="E19" s="117" t="s">
        <v>10</v>
      </c>
      <c r="F19" s="117" t="s">
        <v>10</v>
      </c>
      <c r="G19" s="117" t="s">
        <v>10</v>
      </c>
      <c r="H19" s="8">
        <v>5</v>
      </c>
      <c r="I19" s="9">
        <v>7</v>
      </c>
      <c r="L19" s="9" t="s">
        <v>113</v>
      </c>
      <c r="M1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0" spans="1:13" x14ac:dyDescent="0.25">
      <c r="A20" s="8" t="s">
        <v>10</v>
      </c>
      <c r="B20" s="117" t="s">
        <v>10</v>
      </c>
      <c r="C20" s="117" t="s">
        <v>10</v>
      </c>
      <c r="D20" s="117" t="s">
        <v>10</v>
      </c>
      <c r="E20" s="117" t="s">
        <v>10</v>
      </c>
      <c r="F20" s="117" t="s">
        <v>10</v>
      </c>
      <c r="G20" s="117" t="s">
        <v>10</v>
      </c>
      <c r="H20" s="8">
        <v>5</v>
      </c>
      <c r="I20" s="9">
        <v>12</v>
      </c>
      <c r="L20" s="9" t="s">
        <v>113</v>
      </c>
      <c r="M2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1" spans="1:13" ht="15.75" thickBot="1" x14ac:dyDescent="0.3">
      <c r="A21" s="8" t="s">
        <v>10</v>
      </c>
      <c r="B21" s="117" t="s">
        <v>10</v>
      </c>
      <c r="C21" s="117" t="s">
        <v>10</v>
      </c>
      <c r="D21" s="117" t="s">
        <v>10</v>
      </c>
      <c r="E21" s="117" t="s">
        <v>10</v>
      </c>
      <c r="F21" s="117" t="s">
        <v>10</v>
      </c>
      <c r="G21" s="117" t="s">
        <v>10</v>
      </c>
      <c r="H21" s="10">
        <v>5</v>
      </c>
      <c r="I21" s="12">
        <v>20</v>
      </c>
      <c r="J21" s="11"/>
      <c r="K21" s="11"/>
      <c r="L21" s="12" t="s">
        <v>113</v>
      </c>
      <c r="M2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2" spans="1:13" x14ac:dyDescent="0.25">
      <c r="A22" s="5" t="s">
        <v>10</v>
      </c>
      <c r="B22" s="114" t="s">
        <v>10</v>
      </c>
      <c r="C22" s="114" t="s">
        <v>10</v>
      </c>
      <c r="D22" s="114" t="s">
        <v>10</v>
      </c>
      <c r="E22" s="114" t="s">
        <v>10</v>
      </c>
      <c r="F22" s="114" t="s">
        <v>10</v>
      </c>
      <c r="G22" s="121" t="s">
        <v>10</v>
      </c>
      <c r="H22" s="5">
        <v>0</v>
      </c>
      <c r="I22" s="7">
        <v>0</v>
      </c>
      <c r="J22" s="6"/>
      <c r="K22" s="6"/>
      <c r="L22" s="7" t="s">
        <v>113</v>
      </c>
      <c r="M2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3" spans="1:13" x14ac:dyDescent="0.25">
      <c r="A23" s="8" t="s">
        <v>10</v>
      </c>
      <c r="B23" s="117" t="s">
        <v>10</v>
      </c>
      <c r="C23" s="117" t="s">
        <v>10</v>
      </c>
      <c r="D23" s="117" t="s">
        <v>10</v>
      </c>
      <c r="E23" s="117" t="s">
        <v>10</v>
      </c>
      <c r="F23" s="117" t="s">
        <v>10</v>
      </c>
      <c r="G23" s="118" t="s">
        <v>10</v>
      </c>
      <c r="H23" s="8">
        <v>0</v>
      </c>
      <c r="I23" s="9">
        <v>2</v>
      </c>
      <c r="L23" s="9" t="s">
        <v>113</v>
      </c>
      <c r="M2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4" spans="1:13" x14ac:dyDescent="0.25">
      <c r="A24" s="8" t="s">
        <v>10</v>
      </c>
      <c r="B24" s="117" t="s">
        <v>10</v>
      </c>
      <c r="C24" s="117" t="s">
        <v>10</v>
      </c>
      <c r="D24" s="117" t="s">
        <v>10</v>
      </c>
      <c r="E24" s="117" t="s">
        <v>10</v>
      </c>
      <c r="F24" s="117" t="s">
        <v>10</v>
      </c>
      <c r="G24" s="118" t="s">
        <v>10</v>
      </c>
      <c r="H24" s="8">
        <v>0</v>
      </c>
      <c r="I24" s="9">
        <v>7</v>
      </c>
      <c r="L24" s="9" t="s">
        <v>113</v>
      </c>
      <c r="M2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5" spans="1:13" x14ac:dyDescent="0.25">
      <c r="A25" s="8" t="s">
        <v>10</v>
      </c>
      <c r="B25" s="117" t="s">
        <v>10</v>
      </c>
      <c r="C25" s="117" t="s">
        <v>10</v>
      </c>
      <c r="D25" s="117" t="s">
        <v>10</v>
      </c>
      <c r="E25" s="117" t="s">
        <v>10</v>
      </c>
      <c r="F25" s="117" t="s">
        <v>10</v>
      </c>
      <c r="G25" s="118" t="s">
        <v>10</v>
      </c>
      <c r="H25" s="8">
        <v>0</v>
      </c>
      <c r="I25" s="9">
        <v>12</v>
      </c>
      <c r="L25" s="9" t="s">
        <v>113</v>
      </c>
      <c r="M2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6" spans="1:13" ht="15.75" thickBot="1" x14ac:dyDescent="0.3">
      <c r="A26" s="10" t="s">
        <v>10</v>
      </c>
      <c r="B26" s="119" t="s">
        <v>10</v>
      </c>
      <c r="C26" s="119" t="s">
        <v>10</v>
      </c>
      <c r="D26" s="119" t="s">
        <v>10</v>
      </c>
      <c r="E26" s="119" t="s">
        <v>10</v>
      </c>
      <c r="F26" s="119" t="s">
        <v>10</v>
      </c>
      <c r="G26" s="120" t="s">
        <v>10</v>
      </c>
      <c r="H26" s="10">
        <v>0</v>
      </c>
      <c r="I26" s="12">
        <v>20</v>
      </c>
      <c r="J26" s="11"/>
      <c r="K26" s="11"/>
      <c r="L26" s="12" t="s">
        <v>113</v>
      </c>
      <c r="M2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7" spans="1:13" x14ac:dyDescent="0.25">
      <c r="A27" s="5" t="s">
        <v>10</v>
      </c>
      <c r="B27" s="114" t="s">
        <v>10</v>
      </c>
      <c r="C27" s="114" t="s">
        <v>10</v>
      </c>
      <c r="D27" s="114" t="s">
        <v>10</v>
      </c>
      <c r="E27" s="114" t="s">
        <v>10</v>
      </c>
      <c r="F27" s="114" t="s">
        <v>10</v>
      </c>
      <c r="G27" s="121" t="s">
        <v>10</v>
      </c>
      <c r="H27" s="5">
        <v>-5</v>
      </c>
      <c r="I27" s="7">
        <v>0</v>
      </c>
      <c r="J27" s="6"/>
      <c r="K27" s="6"/>
      <c r="L27" s="7" t="s">
        <v>113</v>
      </c>
      <c r="M2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8" spans="1:13" x14ac:dyDescent="0.25">
      <c r="A28" s="8" t="s">
        <v>10</v>
      </c>
      <c r="B28" s="117" t="s">
        <v>10</v>
      </c>
      <c r="C28" s="117" t="s">
        <v>10</v>
      </c>
      <c r="D28" s="117" t="s">
        <v>10</v>
      </c>
      <c r="E28" s="117" t="s">
        <v>10</v>
      </c>
      <c r="F28" s="117" t="s">
        <v>10</v>
      </c>
      <c r="G28" s="118" t="s">
        <v>10</v>
      </c>
      <c r="H28" s="8">
        <v>-5</v>
      </c>
      <c r="I28" s="9">
        <v>2</v>
      </c>
      <c r="L28" s="9" t="s">
        <v>113</v>
      </c>
      <c r="M2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29" spans="1:13" x14ac:dyDescent="0.25">
      <c r="A29" s="8" t="s">
        <v>10</v>
      </c>
      <c r="B29" s="117" t="s">
        <v>10</v>
      </c>
      <c r="C29" s="117" t="s">
        <v>10</v>
      </c>
      <c r="D29" s="117" t="s">
        <v>10</v>
      </c>
      <c r="E29" s="117" t="s">
        <v>10</v>
      </c>
      <c r="F29" s="117" t="s">
        <v>10</v>
      </c>
      <c r="G29" s="118" t="s">
        <v>10</v>
      </c>
      <c r="H29" s="8">
        <v>-5</v>
      </c>
      <c r="I29" s="9">
        <v>7</v>
      </c>
      <c r="L29" s="9" t="s">
        <v>113</v>
      </c>
      <c r="M2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0" spans="1:13" x14ac:dyDescent="0.25">
      <c r="A30" s="8" t="s">
        <v>10</v>
      </c>
      <c r="B30" s="117" t="s">
        <v>10</v>
      </c>
      <c r="C30" s="117" t="s">
        <v>10</v>
      </c>
      <c r="D30" s="117" t="s">
        <v>10</v>
      </c>
      <c r="E30" s="117" t="s">
        <v>10</v>
      </c>
      <c r="F30" s="117" t="s">
        <v>10</v>
      </c>
      <c r="G30" s="118" t="s">
        <v>10</v>
      </c>
      <c r="H30" s="8">
        <v>-5</v>
      </c>
      <c r="I30" s="9">
        <v>12</v>
      </c>
      <c r="L30" s="9" t="s">
        <v>113</v>
      </c>
      <c r="M3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1" spans="1:13" ht="15.75" thickBot="1" x14ac:dyDescent="0.3">
      <c r="A31" s="10" t="s">
        <v>10</v>
      </c>
      <c r="B31" s="119" t="s">
        <v>10</v>
      </c>
      <c r="C31" s="119" t="s">
        <v>10</v>
      </c>
      <c r="D31" s="119" t="s">
        <v>10</v>
      </c>
      <c r="E31" s="119" t="s">
        <v>10</v>
      </c>
      <c r="F31" s="119" t="s">
        <v>10</v>
      </c>
      <c r="G31" s="120" t="s">
        <v>10</v>
      </c>
      <c r="H31" s="10">
        <v>-5</v>
      </c>
      <c r="I31" s="12">
        <v>20</v>
      </c>
      <c r="J31" s="11"/>
      <c r="K31" s="11"/>
      <c r="L31" s="12" t="s">
        <v>15</v>
      </c>
      <c r="M3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32" spans="1:13" x14ac:dyDescent="0.25">
      <c r="A32" s="5" t="s">
        <v>10</v>
      </c>
      <c r="B32" s="114" t="s">
        <v>10</v>
      </c>
      <c r="C32" s="114" t="s">
        <v>10</v>
      </c>
      <c r="D32" s="114" t="s">
        <v>10</v>
      </c>
      <c r="E32" s="114" t="s">
        <v>10</v>
      </c>
      <c r="F32" s="114" t="s">
        <v>10</v>
      </c>
      <c r="G32" s="121" t="s">
        <v>10</v>
      </c>
      <c r="H32" s="5">
        <v>-10</v>
      </c>
      <c r="I32" s="7">
        <v>0</v>
      </c>
      <c r="J32" s="6"/>
      <c r="K32" s="6"/>
      <c r="L32" s="7" t="s">
        <v>113</v>
      </c>
      <c r="M32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3" spans="1:13" x14ac:dyDescent="0.25">
      <c r="A33" s="8" t="s">
        <v>10</v>
      </c>
      <c r="B33" s="117" t="s">
        <v>10</v>
      </c>
      <c r="C33" s="117" t="s">
        <v>10</v>
      </c>
      <c r="D33" s="117" t="s">
        <v>10</v>
      </c>
      <c r="E33" s="117" t="s">
        <v>10</v>
      </c>
      <c r="F33" s="117" t="s">
        <v>10</v>
      </c>
      <c r="G33" s="118" t="s">
        <v>10</v>
      </c>
      <c r="H33" s="8">
        <v>-10</v>
      </c>
      <c r="I33" s="9">
        <v>2</v>
      </c>
      <c r="L33" s="9" t="s">
        <v>113</v>
      </c>
      <c r="M3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4" spans="1:13" x14ac:dyDescent="0.25">
      <c r="A34" s="8" t="s">
        <v>10</v>
      </c>
      <c r="B34" s="117" t="s">
        <v>10</v>
      </c>
      <c r="C34" s="117" t="s">
        <v>10</v>
      </c>
      <c r="D34" s="117" t="s">
        <v>10</v>
      </c>
      <c r="E34" s="117" t="s">
        <v>10</v>
      </c>
      <c r="F34" s="117" t="s">
        <v>10</v>
      </c>
      <c r="G34" s="118" t="s">
        <v>10</v>
      </c>
      <c r="H34" s="8">
        <v>-10</v>
      </c>
      <c r="I34" s="9">
        <v>7</v>
      </c>
      <c r="L34" s="9" t="s">
        <v>113</v>
      </c>
      <c r="M3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5" spans="1:13" x14ac:dyDescent="0.25">
      <c r="A35" s="8" t="s">
        <v>10</v>
      </c>
      <c r="B35" s="117" t="s">
        <v>10</v>
      </c>
      <c r="C35" s="117" t="s">
        <v>10</v>
      </c>
      <c r="D35" s="117" t="s">
        <v>10</v>
      </c>
      <c r="E35" s="117" t="s">
        <v>10</v>
      </c>
      <c r="F35" s="117" t="s">
        <v>10</v>
      </c>
      <c r="G35" s="118" t="s">
        <v>10</v>
      </c>
      <c r="H35" s="8">
        <v>-10</v>
      </c>
      <c r="I35" s="9">
        <v>12</v>
      </c>
      <c r="L35" s="9" t="s">
        <v>15</v>
      </c>
      <c r="M3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36" spans="1:13" ht="15.75" thickBot="1" x14ac:dyDescent="0.3">
      <c r="A36" s="10" t="s">
        <v>10</v>
      </c>
      <c r="B36" s="119" t="s">
        <v>10</v>
      </c>
      <c r="C36" s="119" t="s">
        <v>10</v>
      </c>
      <c r="D36" s="119" t="s">
        <v>10</v>
      </c>
      <c r="E36" s="119" t="s">
        <v>10</v>
      </c>
      <c r="F36" s="119" t="s">
        <v>10</v>
      </c>
      <c r="G36" s="120" t="s">
        <v>10</v>
      </c>
      <c r="H36" s="10">
        <v>-10</v>
      </c>
      <c r="I36" s="12">
        <v>20</v>
      </c>
      <c r="J36" s="11"/>
      <c r="K36" s="11"/>
      <c r="L36" s="12" t="s">
        <v>15</v>
      </c>
      <c r="M3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37" spans="1:13" x14ac:dyDescent="0.25">
      <c r="A37" s="8" t="s">
        <v>10</v>
      </c>
      <c r="B37" s="117" t="s">
        <v>10</v>
      </c>
      <c r="C37" s="117" t="s">
        <v>10</v>
      </c>
      <c r="D37" s="117" t="s">
        <v>10</v>
      </c>
      <c r="E37" s="117" t="s">
        <v>10</v>
      </c>
      <c r="F37" s="117" t="s">
        <v>10</v>
      </c>
      <c r="G37" s="117" t="s">
        <v>10</v>
      </c>
      <c r="H37" s="5">
        <v>-15</v>
      </c>
      <c r="I37" s="7">
        <v>0</v>
      </c>
      <c r="J37" s="6"/>
      <c r="K37" s="6"/>
      <c r="L37" s="7" t="s">
        <v>113</v>
      </c>
      <c r="M37" s="15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8" spans="1:13" x14ac:dyDescent="0.25">
      <c r="A38" s="8" t="s">
        <v>10</v>
      </c>
      <c r="B38" s="117" t="s">
        <v>10</v>
      </c>
      <c r="C38" s="117" t="s">
        <v>10</v>
      </c>
      <c r="D38" s="117" t="s">
        <v>10</v>
      </c>
      <c r="E38" s="117" t="s">
        <v>10</v>
      </c>
      <c r="F38" s="117" t="s">
        <v>10</v>
      </c>
      <c r="G38" s="117" t="s">
        <v>10</v>
      </c>
      <c r="H38" s="8">
        <v>-15</v>
      </c>
      <c r="I38" s="9">
        <v>2</v>
      </c>
      <c r="L38" s="9" t="s">
        <v>113</v>
      </c>
      <c r="M38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39" spans="1:13" x14ac:dyDescent="0.25">
      <c r="A39" s="8" t="s">
        <v>10</v>
      </c>
      <c r="B39" s="117" t="s">
        <v>10</v>
      </c>
      <c r="C39" s="117" t="s">
        <v>10</v>
      </c>
      <c r="D39" s="117" t="s">
        <v>10</v>
      </c>
      <c r="E39" s="117" t="s">
        <v>10</v>
      </c>
      <c r="F39" s="117" t="s">
        <v>10</v>
      </c>
      <c r="G39" s="117" t="s">
        <v>10</v>
      </c>
      <c r="H39" s="8">
        <v>-15</v>
      </c>
      <c r="I39" s="9">
        <v>7</v>
      </c>
      <c r="L39" s="9" t="s">
        <v>15</v>
      </c>
      <c r="M39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0" spans="1:13" x14ac:dyDescent="0.25">
      <c r="A40" s="8" t="s">
        <v>10</v>
      </c>
      <c r="B40" s="117" t="s">
        <v>10</v>
      </c>
      <c r="C40" s="117" t="s">
        <v>10</v>
      </c>
      <c r="D40" s="117" t="s">
        <v>10</v>
      </c>
      <c r="E40" s="117" t="s">
        <v>10</v>
      </c>
      <c r="F40" s="117" t="s">
        <v>10</v>
      </c>
      <c r="G40" s="117" t="s">
        <v>10</v>
      </c>
      <c r="H40" s="8">
        <v>-15</v>
      </c>
      <c r="I40" s="9">
        <v>12</v>
      </c>
      <c r="L40" s="9" t="s">
        <v>15</v>
      </c>
      <c r="M40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1" spans="1:13" ht="15.75" thickBot="1" x14ac:dyDescent="0.3">
      <c r="A41" s="8" t="s">
        <v>10</v>
      </c>
      <c r="B41" s="117" t="s">
        <v>10</v>
      </c>
      <c r="C41" s="117" t="s">
        <v>10</v>
      </c>
      <c r="D41" s="117" t="s">
        <v>10</v>
      </c>
      <c r="E41" s="117" t="s">
        <v>10</v>
      </c>
      <c r="F41" s="117" t="s">
        <v>10</v>
      </c>
      <c r="G41" s="117" t="s">
        <v>10</v>
      </c>
      <c r="H41" s="10">
        <v>-15</v>
      </c>
      <c r="I41" s="12">
        <v>20</v>
      </c>
      <c r="J41" s="11"/>
      <c r="K41" s="11"/>
      <c r="L41" s="12" t="s">
        <v>15</v>
      </c>
      <c r="M41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2" spans="1:13" x14ac:dyDescent="0.25">
      <c r="A42" s="5" t="s">
        <v>10</v>
      </c>
      <c r="B42" s="114" t="s">
        <v>10</v>
      </c>
      <c r="C42" s="114" t="s">
        <v>10</v>
      </c>
      <c r="D42" s="114" t="s">
        <v>10</v>
      </c>
      <c r="E42" s="114" t="s">
        <v>10</v>
      </c>
      <c r="F42" s="114" t="s">
        <v>10</v>
      </c>
      <c r="G42" s="121" t="s">
        <v>10</v>
      </c>
      <c r="H42" s="8">
        <v>-20</v>
      </c>
      <c r="I42" s="9">
        <v>0</v>
      </c>
      <c r="L42" s="9" t="s">
        <v>113</v>
      </c>
      <c r="M42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-----Når ej 6 MPa</v>
      </c>
    </row>
    <row r="43" spans="1:13" x14ac:dyDescent="0.25">
      <c r="A43" s="8" t="s">
        <v>10</v>
      </c>
      <c r="B43" s="117" t="s">
        <v>10</v>
      </c>
      <c r="C43" s="117" t="s">
        <v>10</v>
      </c>
      <c r="D43" s="117" t="s">
        <v>10</v>
      </c>
      <c r="E43" s="117" t="s">
        <v>10</v>
      </c>
      <c r="F43" s="117" t="s">
        <v>10</v>
      </c>
      <c r="G43" s="118" t="s">
        <v>10</v>
      </c>
      <c r="H43" s="8">
        <v>-20</v>
      </c>
      <c r="I43" s="9">
        <v>2</v>
      </c>
      <c r="L43" s="9" t="s">
        <v>15</v>
      </c>
      <c r="M43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4" spans="1:13" x14ac:dyDescent="0.25">
      <c r="A44" s="8" t="s">
        <v>10</v>
      </c>
      <c r="B44" s="117" t="s">
        <v>10</v>
      </c>
      <c r="C44" s="117" t="s">
        <v>10</v>
      </c>
      <c r="D44" s="117" t="s">
        <v>10</v>
      </c>
      <c r="E44" s="117" t="s">
        <v>10</v>
      </c>
      <c r="F44" s="117" t="s">
        <v>10</v>
      </c>
      <c r="G44" s="118" t="s">
        <v>10</v>
      </c>
      <c r="H44" s="8">
        <v>-20</v>
      </c>
      <c r="I44" s="9">
        <v>7</v>
      </c>
      <c r="L44" s="9" t="s">
        <v>15</v>
      </c>
      <c r="M44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5" spans="1:13" x14ac:dyDescent="0.25">
      <c r="A45" s="8" t="s">
        <v>10</v>
      </c>
      <c r="B45" s="117" t="s">
        <v>10</v>
      </c>
      <c r="C45" s="117" t="s">
        <v>10</v>
      </c>
      <c r="D45" s="117" t="s">
        <v>10</v>
      </c>
      <c r="E45" s="117" t="s">
        <v>10</v>
      </c>
      <c r="F45" s="117" t="s">
        <v>10</v>
      </c>
      <c r="G45" s="118" t="s">
        <v>10</v>
      </c>
      <c r="H45" s="8">
        <v>-20</v>
      </c>
      <c r="I45" s="9">
        <v>12</v>
      </c>
      <c r="L45" s="9" t="s">
        <v>15</v>
      </c>
      <c r="M45" s="16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  <row r="46" spans="1:13" ht="15.75" thickBot="1" x14ac:dyDescent="0.3">
      <c r="A46" s="10" t="s">
        <v>10</v>
      </c>
      <c r="B46" s="119" t="s">
        <v>10</v>
      </c>
      <c r="C46" s="119" t="s">
        <v>10</v>
      </c>
      <c r="D46" s="119" t="s">
        <v>10</v>
      </c>
      <c r="E46" s="119" t="s">
        <v>10</v>
      </c>
      <c r="F46" s="119" t="s">
        <v>10</v>
      </c>
      <c r="G46" s="120" t="s">
        <v>10</v>
      </c>
      <c r="H46" s="10">
        <v>-20</v>
      </c>
      <c r="I46" s="12">
        <v>20</v>
      </c>
      <c r="J46" s="11"/>
      <c r="K46" s="11"/>
      <c r="L46" s="12" t="s">
        <v>15</v>
      </c>
      <c r="M46" s="17" t="str">
        <f>Table124[[#This Row],[Kvalitet]]&amp;Table124[[#This Row],[Gjuttemperatur]]&amp;Table124[[#This Row],[Temperatur motgjutningsyta]]&amp;Table124[[#This Row],[Värmekabel]]&amp;Table124[[#This Row],[Täckning '[mm']]]&amp;Table124[[#This Row],[OK&lt;17 Timamr]]&amp;Table124[[#This Row],[Kommentar]]</f>
        <v>-----Fryser innan täck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B9E6E3D-EC4F-4DBD-A074-72E63D6DC552}">
          <x14:formula1>
            <xm:f>Förutsättningar!$C$2:$C$6</xm:f>
          </x14:formula1>
          <xm:sqref>C43:C1048576 C2:C26 C35:C36</xm:sqref>
        </x14:dataValidation>
        <x14:dataValidation type="list" allowBlank="1" showInputMessage="1" showErrorMessage="1" xr:uid="{BD1E9617-67F8-4F19-93F2-B511FCDB9D36}">
          <x14:formula1>
            <xm:f>Förutsättningar!$B$2:$B$6</xm:f>
          </x14:formula1>
          <xm:sqref>B43:B1048576 B2:B26 B35:B36</xm:sqref>
        </x14:dataValidation>
        <x14:dataValidation type="list" allowBlank="1" showInputMessage="1" showErrorMessage="1" xr:uid="{1412C952-AC79-4CA5-949A-49690B836BD3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12797B1-0B23-44B1-B835-492D6D702C21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BA555FA4-5E0C-403C-805D-B7BF6D8C2C46}">
          <x14:formula1>
            <xm:f>Förutsättningar!$D$2:$D$5</xm:f>
          </x14:formula1>
          <xm:sqref>D47:D1048576</xm:sqref>
        </x14:dataValidation>
        <x14:dataValidation type="list" allowBlank="1" showInputMessage="1" showErrorMessage="1" xr:uid="{6FFC93CB-0300-444E-8175-1008B156B765}">
          <x14:formula1>
            <xm:f>Förutsättningar!$I$2</xm:f>
          </x14:formula1>
          <xm:sqref>K2:K46</xm:sqref>
        </x14:dataValidation>
        <x14:dataValidation type="list" allowBlank="1" showInputMessage="1" showErrorMessage="1" xr:uid="{23BA732C-5FB5-4BD9-B6AF-9E78791390F2}">
          <x14:formula1>
            <xm:f>Förutsättningar!$F$2:$F$7</xm:f>
          </x14:formula1>
          <xm:sqref>E47:E1048576 F2:F46</xm:sqref>
        </x14:dataValidation>
        <x14:dataValidation type="list" allowBlank="1" showInputMessage="1" showErrorMessage="1" xr:uid="{05DDC85B-0F3D-4FFF-AA35-B2EB0075C4A6}">
          <x14:formula1>
            <xm:f>Förutsättningar!$E$2:$E$5</xm:f>
          </x14:formula1>
          <xm:sqref>E2:E46</xm:sqref>
        </x14:dataValidation>
        <x14:dataValidation type="list" allowBlank="1" showInputMessage="1" showErrorMessage="1" xr:uid="{6DA08AA7-A8B6-47AB-8650-ACDBC84BC8B0}">
          <x14:formula1>
            <xm:f>Förutsättningar!$G$2:$G$8</xm:f>
          </x14:formula1>
          <xm:sqref>G2:G46</xm:sqref>
        </x14:dataValidation>
        <x14:dataValidation type="list" allowBlank="1" showInputMessage="1" showErrorMessage="1" xr:uid="{B645DF3D-BCE8-45CE-A41E-AEAB760EE450}">
          <x14:formula1>
            <xm:f>Förutsättningar!$D$2:$D$7</xm:f>
          </x14:formula1>
          <xm:sqref>D2:D46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dimension ref="A1:P219"/>
  <sheetViews>
    <sheetView topLeftCell="D21" workbookViewId="0">
      <selection activeCell="S42" sqref="S42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8" width="22.140625" bestFit="1" customWidth="1"/>
    <col min="9" max="9" width="12.5703125" bestFit="1" customWidth="1"/>
    <col min="10" max="10" width="12.5703125" customWidth="1"/>
    <col min="11" max="11" width="26.85546875" bestFit="1" customWidth="1"/>
    <col min="12" max="12" width="22.140625" customWidth="1"/>
    <col min="13" max="13" width="11.28515625" style="36" customWidth="1"/>
    <col min="15" max="15" width="22.140625" bestFit="1" customWidth="1"/>
  </cols>
  <sheetData>
    <row r="1" spans="1:13" ht="15.75" thickBot="1" x14ac:dyDescent="0.3">
      <c r="A1" s="18" t="s">
        <v>5</v>
      </c>
      <c r="B1" s="19" t="s">
        <v>6</v>
      </c>
      <c r="C1" s="20" t="s">
        <v>18</v>
      </c>
      <c r="D1" s="20" t="s">
        <v>19</v>
      </c>
      <c r="E1" s="20" t="s">
        <v>20</v>
      </c>
      <c r="F1" s="21" t="s">
        <v>21</v>
      </c>
      <c r="H1" s="22" t="s">
        <v>5</v>
      </c>
      <c r="I1" s="23" t="s">
        <v>6</v>
      </c>
      <c r="J1" s="34" t="s">
        <v>22</v>
      </c>
      <c r="K1" t="s">
        <v>8</v>
      </c>
      <c r="L1" t="s">
        <v>23</v>
      </c>
      <c r="M1" s="36" t="s">
        <v>24</v>
      </c>
    </row>
    <row r="2" spans="1:13" x14ac:dyDescent="0.25">
      <c r="A2" s="5">
        <v>20</v>
      </c>
      <c r="B2" s="6">
        <v>0</v>
      </c>
      <c r="C2" s="6" t="str">
        <f>'Bjälklag (10% slagg)'!M2</f>
        <v>C28/351520--</v>
      </c>
      <c r="D2" s="6">
        <f>'Bjälklag (20% slagg)'!K2</f>
        <v>0</v>
      </c>
      <c r="E2" s="6">
        <f>'Bjälklag (30% slagg)'!K2</f>
        <v>0</v>
      </c>
      <c r="F2" s="7" t="e">
        <f>#REF!</f>
        <v>#REF!</v>
      </c>
      <c r="K2" t="str">
        <f>Table8[[#This Row],[Column1]]</f>
        <v>C20/251520--OK7</v>
      </c>
      <c r="L2">
        <f>Table8[[#This Row],[Jobbighetsnivå]]</f>
        <v>1</v>
      </c>
      <c r="M2" s="36">
        <f t="shared" ref="M2:M65" si="0">MATCH(K2, _xlfn.UNIQUE($K$2:$K$218), 0)</f>
        <v>1</v>
      </c>
    </row>
    <row r="3" spans="1:13" x14ac:dyDescent="0.25">
      <c r="A3" s="8">
        <v>20</v>
      </c>
      <c r="B3">
        <v>2</v>
      </c>
      <c r="C3" t="str">
        <f>'Bjälklag (10% slagg)'!M3</f>
        <v>C28/351520--</v>
      </c>
      <c r="D3">
        <f>'Bjälklag (20% slagg)'!K3</f>
        <v>0</v>
      </c>
      <c r="E3">
        <f>'Bjälklag (30% slagg)'!K3</f>
        <v>0</v>
      </c>
      <c r="F3" s="9" t="e">
        <f>#REF!</f>
        <v>#REF!</v>
      </c>
      <c r="K3" t="str">
        <f>Table8[[#This Row],[Column1]]</f>
        <v>C20/251515--OK7</v>
      </c>
      <c r="L3">
        <f>Table8[[#This Row],[Jobbighetsnivå]]</f>
        <v>2</v>
      </c>
      <c r="M3" s="36">
        <f t="shared" si="0"/>
        <v>2</v>
      </c>
    </row>
    <row r="4" spans="1:13" x14ac:dyDescent="0.25">
      <c r="A4" s="8">
        <v>20</v>
      </c>
      <c r="B4">
        <v>7</v>
      </c>
      <c r="C4" t="str">
        <f>'Bjälklag (10% slagg)'!M4</f>
        <v>C28/351520--</v>
      </c>
      <c r="D4">
        <f>'Bjälklag (20% slagg)'!K4</f>
        <v>0</v>
      </c>
      <c r="E4">
        <f>'Bjälklag (30% slagg)'!K4</f>
        <v>0</v>
      </c>
      <c r="F4" s="9" t="e">
        <f>#REF!</f>
        <v>#REF!</v>
      </c>
      <c r="K4" t="str">
        <f>Table8[[#This Row],[Column1]]</f>
        <v>C20/2515150-OK7</v>
      </c>
      <c r="L4">
        <f>Table8[[#This Row],[Jobbighetsnivå]]</f>
        <v>3</v>
      </c>
      <c r="M4" s="36">
        <f t="shared" si="0"/>
        <v>3</v>
      </c>
    </row>
    <row r="5" spans="1:13" x14ac:dyDescent="0.25">
      <c r="A5" s="8">
        <v>20</v>
      </c>
      <c r="B5">
        <v>12</v>
      </c>
      <c r="C5" t="str">
        <f>'Bjälklag (10% slagg)'!M5</f>
        <v>C28/351520--</v>
      </c>
      <c r="D5">
        <f>'Bjälklag (20% slagg)'!K5</f>
        <v>0</v>
      </c>
      <c r="E5">
        <f>'Bjälklag (30% slagg)'!K5</f>
        <v>0</v>
      </c>
      <c r="F5" s="9" t="e">
        <f>#REF!</f>
        <v>#REF!</v>
      </c>
      <c r="K5" t="str">
        <f>Table8[[#This Row],[Column1]]</f>
        <v>C20/2515150PresenningOK7</v>
      </c>
      <c r="L5">
        <f>Table8[[#This Row],[Jobbighetsnivå]]</f>
        <v>4</v>
      </c>
      <c r="M5" s="36">
        <f t="shared" si="0"/>
        <v>4</v>
      </c>
    </row>
    <row r="6" spans="1:13" ht="15.75" thickBot="1" x14ac:dyDescent="0.3">
      <c r="A6" s="10">
        <v>20</v>
      </c>
      <c r="B6" s="11">
        <v>20</v>
      </c>
      <c r="C6" s="11" t="str">
        <f>'Bjälklag (10% slagg)'!M6</f>
        <v>C28/351520--</v>
      </c>
      <c r="D6" s="11">
        <f>'Bjälklag (20% slagg)'!K6</f>
        <v>0</v>
      </c>
      <c r="E6" s="11">
        <f>'Bjälklag (30% slagg)'!K6</f>
        <v>0</v>
      </c>
      <c r="F6" s="12" t="e">
        <f>#REF!</f>
        <v>#REF!</v>
      </c>
      <c r="K6" t="str">
        <f>Table8[[#This Row],[Column1]]</f>
        <v>C20/2515200PresenningOK7</v>
      </c>
      <c r="L6">
        <f>Table8[[#This Row],[Jobbighetsnivå]]</f>
        <v>5</v>
      </c>
      <c r="M6" s="36">
        <f t="shared" si="0"/>
        <v>5</v>
      </c>
    </row>
    <row r="7" spans="1:13" x14ac:dyDescent="0.25">
      <c r="A7" s="5">
        <v>15</v>
      </c>
      <c r="B7" s="6">
        <v>0</v>
      </c>
      <c r="C7" s="6" t="str">
        <f>'Bjälklag (10% slagg)'!M7</f>
        <v>C30/371515--</v>
      </c>
      <c r="D7" s="6">
        <f>'Bjälklag (20% slagg)'!K7</f>
        <v>0</v>
      </c>
      <c r="E7" s="6">
        <f>'Bjälklag (30% slagg)'!K7</f>
        <v>0</v>
      </c>
      <c r="F7" s="7" t="e">
        <f>#REF!</f>
        <v>#REF!</v>
      </c>
      <c r="K7" t="str">
        <f>Table8[[#This Row],[Column1]]</f>
        <v>C20/2520520-OK7</v>
      </c>
      <c r="L7">
        <f>Table8[[#This Row],[Jobbighetsnivå]]</f>
        <v>6</v>
      </c>
      <c r="M7" s="36">
        <f t="shared" si="0"/>
        <v>6</v>
      </c>
    </row>
    <row r="8" spans="1:13" x14ac:dyDescent="0.25">
      <c r="A8" s="8">
        <v>15</v>
      </c>
      <c r="B8">
        <v>2</v>
      </c>
      <c r="C8" t="str">
        <f>'Bjälklag (10% slagg)'!M8</f>
        <v>C30/371515--</v>
      </c>
      <c r="D8">
        <f>'Bjälklag (20% slagg)'!K8</f>
        <v>0</v>
      </c>
      <c r="E8">
        <f>'Bjälklag (30% slagg)'!K8</f>
        <v>0</v>
      </c>
      <c r="F8" s="9" t="e">
        <f>#REF!</f>
        <v>#REF!</v>
      </c>
      <c r="K8" t="str">
        <f>Table8[[#This Row],[Column1]]</f>
        <v>C20/252052010OK7</v>
      </c>
      <c r="L8">
        <f>Table8[[#This Row],[Jobbighetsnivå]]</f>
        <v>7</v>
      </c>
      <c r="M8" s="36">
        <f t="shared" si="0"/>
        <v>7</v>
      </c>
    </row>
    <row r="9" spans="1:13" x14ac:dyDescent="0.25">
      <c r="A9" s="8">
        <v>15</v>
      </c>
      <c r="B9">
        <v>7</v>
      </c>
      <c r="C9" t="str">
        <f>'Bjälklag (10% slagg)'!M9</f>
        <v>C30/371515--</v>
      </c>
      <c r="D9">
        <f>'Bjälklag (20% slagg)'!K9</f>
        <v>0</v>
      </c>
      <c r="E9">
        <f>'Bjälklag (30% slagg)'!K9</f>
        <v>0</v>
      </c>
      <c r="F9" s="9" t="e">
        <f>#REF!</f>
        <v>#REF!</v>
      </c>
      <c r="K9" t="str">
        <f>Table8[[#This Row],[Column1]]</f>
        <v>C20/252052020OK7</v>
      </c>
      <c r="L9">
        <f>Table8[[#This Row],[Jobbighetsnivå]]</f>
        <v>8</v>
      </c>
      <c r="M9" s="36">
        <f t="shared" si="0"/>
        <v>8</v>
      </c>
    </row>
    <row r="10" spans="1:13" x14ac:dyDescent="0.25">
      <c r="A10" s="8">
        <v>15</v>
      </c>
      <c r="B10">
        <v>12</v>
      </c>
      <c r="C10" t="str">
        <f>'Bjälklag (10% slagg)'!M10</f>
        <v>C30/371515-Presenning</v>
      </c>
      <c r="D10">
        <f>'Bjälklag (20% slagg)'!K10</f>
        <v>0</v>
      </c>
      <c r="E10">
        <f>'Bjälklag (30% slagg)'!K10</f>
        <v>0</v>
      </c>
      <c r="F10" s="9" t="e">
        <f>#REF!</f>
        <v>#REF!</v>
      </c>
      <c r="K10" t="str">
        <f>Table8[[#This Row],[Column1]]</f>
        <v>C20/252052030OK7</v>
      </c>
      <c r="L10">
        <f>Table8[[#This Row],[Jobbighetsnivå]]</f>
        <v>9</v>
      </c>
      <c r="M10" s="36">
        <f t="shared" si="0"/>
        <v>9</v>
      </c>
    </row>
    <row r="11" spans="1:13" ht="15.75" thickBot="1" x14ac:dyDescent="0.3">
      <c r="A11" s="10">
        <v>15</v>
      </c>
      <c r="B11" s="11">
        <v>20</v>
      </c>
      <c r="C11" s="11" t="str">
        <f>'Bjälklag (10% slagg)'!M11</f>
        <v>C30/371515-Presenning</v>
      </c>
      <c r="D11" s="11">
        <f>'Bjälklag (20% slagg)'!K11</f>
        <v>0</v>
      </c>
      <c r="E11" s="11">
        <f>'Bjälklag (30% slagg)'!K11</f>
        <v>0</v>
      </c>
      <c r="F11" s="12" t="e">
        <f>#REF!</f>
        <v>#REF!</v>
      </c>
      <c r="K11" t="str">
        <f>Table8[[#This Row],[Column1]]</f>
        <v>C20/252052050OK7</v>
      </c>
      <c r="L11">
        <f>Table8[[#This Row],[Jobbighetsnivå]]</f>
        <v>10</v>
      </c>
      <c r="M11" s="36">
        <f t="shared" si="0"/>
        <v>10</v>
      </c>
    </row>
    <row r="12" spans="1:13" x14ac:dyDescent="0.25">
      <c r="A12" s="5">
        <v>10</v>
      </c>
      <c r="B12" s="6">
        <v>0</v>
      </c>
      <c r="C12" s="6" t="str">
        <f>'Bjälklag (10% slagg)'!M12</f>
        <v>C35/451510--</v>
      </c>
      <c r="D12" s="6">
        <f>'Bjälklag (20% slagg)'!K12</f>
        <v>0</v>
      </c>
      <c r="E12" s="6">
        <f>'Bjälklag (30% slagg)'!K12</f>
        <v>0</v>
      </c>
      <c r="F12" s="7" t="e">
        <f>#REF!</f>
        <v>#REF!</v>
      </c>
      <c r="K12" t="str">
        <f>Table8[[#This Row],[Column1]]</f>
        <v>C25/301520--OK7</v>
      </c>
      <c r="L12">
        <f>Table8[[#This Row],[Jobbighetsnivå]]</f>
        <v>11</v>
      </c>
      <c r="M12" s="36">
        <f t="shared" si="0"/>
        <v>11</v>
      </c>
    </row>
    <row r="13" spans="1:13" x14ac:dyDescent="0.25">
      <c r="A13" s="8">
        <v>10</v>
      </c>
      <c r="B13">
        <v>2</v>
      </c>
      <c r="C13" t="str">
        <f>'Bjälklag (10% slagg)'!M13</f>
        <v>C40/501510--</v>
      </c>
      <c r="D13">
        <f>'Bjälklag (20% slagg)'!K13</f>
        <v>0</v>
      </c>
      <c r="E13">
        <f>'Bjälklag (30% slagg)'!K13</f>
        <v>0</v>
      </c>
      <c r="F13" s="9" t="e">
        <f>#REF!</f>
        <v>#REF!</v>
      </c>
      <c r="K13" t="str">
        <f>Table8[[#This Row],[Column1]]</f>
        <v>C25/3015200PresenningOK7</v>
      </c>
      <c r="L13">
        <f>Table8[[#This Row],[Jobbighetsnivå]]</f>
        <v>12</v>
      </c>
      <c r="M13" s="36">
        <f t="shared" si="0"/>
        <v>12</v>
      </c>
    </row>
    <row r="14" spans="1:13" x14ac:dyDescent="0.25">
      <c r="A14" s="8">
        <v>10</v>
      </c>
      <c r="B14">
        <v>7</v>
      </c>
      <c r="C14" t="str">
        <f>'Bjälklag (10% slagg)'!M14</f>
        <v>C40/501510-Presenning</v>
      </c>
      <c r="D14">
        <f>'Bjälklag (20% slagg)'!K14</f>
        <v>0</v>
      </c>
      <c r="E14">
        <f>'Bjälklag (30% slagg)'!K14</f>
        <v>0</v>
      </c>
      <c r="F14" s="9" t="e">
        <f>#REF!</f>
        <v>#REF!</v>
      </c>
      <c r="K14" t="str">
        <f>Table8[[#This Row],[Column1]]</f>
        <v>C25/302052010OK7</v>
      </c>
      <c r="L14">
        <f>Table8[[#This Row],[Jobbighetsnivå]]</f>
        <v>13</v>
      </c>
      <c r="M14" s="36">
        <f t="shared" si="0"/>
        <v>13</v>
      </c>
    </row>
    <row r="15" spans="1:13" x14ac:dyDescent="0.25">
      <c r="A15" s="8">
        <v>10</v>
      </c>
      <c r="B15">
        <v>12</v>
      </c>
      <c r="C15" t="str">
        <f>'Bjälklag (10% slagg)'!M15</f>
        <v>C40/501510-Presenning</v>
      </c>
      <c r="D15">
        <f>'Bjälklag (20% slagg)'!K15</f>
        <v>0</v>
      </c>
      <c r="E15">
        <f>'Bjälklag (30% slagg)'!K15</f>
        <v>0</v>
      </c>
      <c r="F15" s="9" t="e">
        <f>#REF!</f>
        <v>#REF!</v>
      </c>
      <c r="K15" t="str">
        <f>Table8[[#This Row],[Column1]]</f>
        <v>C25/302052050OK7</v>
      </c>
      <c r="L15">
        <f>Table8[[#This Row],[Jobbighetsnivå]]</f>
        <v>14</v>
      </c>
      <c r="M15" s="36">
        <f t="shared" si="0"/>
        <v>14</v>
      </c>
    </row>
    <row r="16" spans="1:13" ht="15.75" thickBot="1" x14ac:dyDescent="0.3">
      <c r="A16" s="10">
        <v>10</v>
      </c>
      <c r="B16" s="11">
        <v>20</v>
      </c>
      <c r="C16" s="11" t="str">
        <f>'Bjälklag (10% slagg)'!M16</f>
        <v>C40/501510-Presenning</v>
      </c>
      <c r="D16" s="11">
        <f>'Bjälklag (20% slagg)'!K16</f>
        <v>0</v>
      </c>
      <c r="E16" s="11">
        <f>'Bjälklag (30% slagg)'!K16</f>
        <v>0</v>
      </c>
      <c r="F16" s="12" t="e">
        <f>#REF!</f>
        <v>#REF!</v>
      </c>
      <c r="K16" t="str">
        <f>Table8[[#This Row],[Column1]]</f>
        <v>C28/351510--OK7</v>
      </c>
      <c r="L16">
        <f>Table8[[#This Row],[Jobbighetsnivå]]</f>
        <v>15</v>
      </c>
      <c r="M16" s="36">
        <f t="shared" si="0"/>
        <v>15</v>
      </c>
    </row>
    <row r="17" spans="1:16" x14ac:dyDescent="0.25">
      <c r="A17" s="5">
        <v>5</v>
      </c>
      <c r="B17" s="6">
        <v>0</v>
      </c>
      <c r="C17" s="6" t="str">
        <f>'Bjälklag (10% slagg)'!M17</f>
        <v>C25/302054010</v>
      </c>
      <c r="D17" s="6">
        <f>'Bjälklag (20% slagg)'!K17</f>
        <v>0</v>
      </c>
      <c r="E17" s="6">
        <f>'Bjälklag (30% slagg)'!K17</f>
        <v>0</v>
      </c>
      <c r="F17" s="7" t="e">
        <f>#REF!</f>
        <v>#REF!</v>
      </c>
      <c r="K17" t="str">
        <f>Table8[[#This Row],[Column1]]</f>
        <v>C28/351515--OK7</v>
      </c>
      <c r="L17">
        <f>Table8[[#This Row],[Jobbighetsnivå]]</f>
        <v>16</v>
      </c>
      <c r="M17" s="36">
        <f t="shared" si="0"/>
        <v>16</v>
      </c>
    </row>
    <row r="18" spans="1:16" x14ac:dyDescent="0.25">
      <c r="A18" s="8">
        <v>5</v>
      </c>
      <c r="B18">
        <v>2</v>
      </c>
      <c r="C18" t="str">
        <f>'Bjälklag (10% slagg)'!M18</f>
        <v>C20/252054010</v>
      </c>
      <c r="D18">
        <f>'Bjälklag (20% slagg)'!K18</f>
        <v>0</v>
      </c>
      <c r="E18">
        <f>'Bjälklag (30% slagg)'!K18</f>
        <v>0</v>
      </c>
      <c r="F18" s="9" t="e">
        <f>#REF!</f>
        <v>#REF!</v>
      </c>
      <c r="K18" t="str">
        <f>Table8[[#This Row],[Column1]]</f>
        <v>C28/351520--OK7</v>
      </c>
      <c r="L18">
        <f>Table8[[#This Row],[Jobbighetsnivå]]</f>
        <v>17</v>
      </c>
      <c r="M18" s="36">
        <f t="shared" si="0"/>
        <v>17</v>
      </c>
    </row>
    <row r="19" spans="1:16" x14ac:dyDescent="0.25">
      <c r="A19" s="8">
        <v>5</v>
      </c>
      <c r="B19">
        <v>7</v>
      </c>
      <c r="C19" t="str">
        <f>'Bjälklag (10% slagg)'!M19</f>
        <v>C28/352054010</v>
      </c>
      <c r="D19">
        <f>'Bjälklag (20% slagg)'!K19</f>
        <v>0</v>
      </c>
      <c r="E19">
        <f>'Bjälklag (30% slagg)'!K19</f>
        <v>0</v>
      </c>
      <c r="F19" s="9" t="e">
        <f>#REF!</f>
        <v>#REF!</v>
      </c>
      <c r="K19" t="str">
        <f>Table8[[#This Row],[Column1]]</f>
        <v>C28/3515150-OK7</v>
      </c>
      <c r="L19">
        <f>Table8[[#This Row],[Jobbighetsnivå]]</f>
        <v>18</v>
      </c>
      <c r="M19" s="36">
        <f t="shared" si="0"/>
        <v>18</v>
      </c>
    </row>
    <row r="20" spans="1:16" x14ac:dyDescent="0.25">
      <c r="A20" s="8">
        <v>5</v>
      </c>
      <c r="B20">
        <v>12</v>
      </c>
      <c r="C20" t="str">
        <f>'Bjälklag (10% slagg)'!M20</f>
        <v>C28/352054010</v>
      </c>
      <c r="D20">
        <f>'Bjälklag (20% slagg)'!K20</f>
        <v>0</v>
      </c>
      <c r="E20">
        <f>'Bjälklag (30% slagg)'!K20</f>
        <v>0</v>
      </c>
      <c r="F20" s="9" t="e">
        <f>#REF!</f>
        <v>#REF!</v>
      </c>
      <c r="K20" t="str">
        <f>Table8[[#This Row],[Column1]]</f>
        <v>C28/3515200PresenningOK7</v>
      </c>
      <c r="L20">
        <f>Table8[[#This Row],[Jobbighetsnivå]]</f>
        <v>19</v>
      </c>
      <c r="M20" s="36">
        <f t="shared" si="0"/>
        <v>19</v>
      </c>
    </row>
    <row r="21" spans="1:16" ht="15.75" thickBot="1" x14ac:dyDescent="0.3">
      <c r="A21" s="10">
        <v>5</v>
      </c>
      <c r="B21" s="11">
        <v>20</v>
      </c>
      <c r="C21" s="11" t="str">
        <f>'Bjälklag (10% slagg)'!M21</f>
        <v>C28/352054010</v>
      </c>
      <c r="D21" s="11">
        <f>'Bjälklag (20% slagg)'!K21</f>
        <v>0</v>
      </c>
      <c r="E21" s="11">
        <f>'Bjälklag (30% slagg)'!K21</f>
        <v>0</v>
      </c>
      <c r="F21" s="12" t="e">
        <f>#REF!</f>
        <v>#REF!</v>
      </c>
      <c r="K21" t="str">
        <f>Table8[[#This Row],[Column1]]</f>
        <v>C28/352052050OK7</v>
      </c>
      <c r="L21">
        <f>Table8[[#This Row],[Jobbighetsnivå]]</f>
        <v>20</v>
      </c>
      <c r="M21" s="36">
        <f t="shared" si="0"/>
        <v>20</v>
      </c>
    </row>
    <row r="22" spans="1:16" x14ac:dyDescent="0.25">
      <c r="A22" s="5">
        <v>0</v>
      </c>
      <c r="B22" s="6">
        <v>0</v>
      </c>
      <c r="C22" s="6" t="str">
        <f>'Bjälklag (10% slagg)'!M22</f>
        <v>C25/302054010</v>
      </c>
      <c r="D22" s="6">
        <f>'Bjälklag (20% slagg)'!K22</f>
        <v>0</v>
      </c>
      <c r="E22" s="6">
        <f>'Bjälklag (30% slagg)'!K22</f>
        <v>0</v>
      </c>
      <c r="F22" s="7" t="e">
        <f>#REF!</f>
        <v>#REF!</v>
      </c>
      <c r="K22" t="str">
        <f>Table8[[#This Row],[Column1]]</f>
        <v>C30/3715100PresenningOK7</v>
      </c>
      <c r="L22">
        <f>Table8[[#This Row],[Jobbighetsnivå]]</f>
        <v>21</v>
      </c>
      <c r="M22" s="36">
        <f t="shared" si="0"/>
        <v>21</v>
      </c>
    </row>
    <row r="23" spans="1:16" x14ac:dyDescent="0.25">
      <c r="A23" s="8">
        <v>0</v>
      </c>
      <c r="B23">
        <v>2</v>
      </c>
      <c r="C23" t="str">
        <f>'Bjälklag (10% slagg)'!M23</f>
        <v>C28/352054010</v>
      </c>
      <c r="D23">
        <f>'Bjälklag (20% slagg)'!K23</f>
        <v>0</v>
      </c>
      <c r="E23">
        <f>'Bjälklag (30% slagg)'!K23</f>
        <v>0</v>
      </c>
      <c r="F23" s="9" t="e">
        <f>#REF!</f>
        <v>#REF!</v>
      </c>
      <c r="K23" t="str">
        <f>Table8[[#This Row],[Column1]]</f>
        <v>C30/3715150PresenningOK7</v>
      </c>
      <c r="L23">
        <f>Table8[[#This Row],[Jobbighetsnivå]]</f>
        <v>22</v>
      </c>
      <c r="M23" s="36">
        <f t="shared" si="0"/>
        <v>22</v>
      </c>
    </row>
    <row r="24" spans="1:16" x14ac:dyDescent="0.25">
      <c r="A24" s="8">
        <v>0</v>
      </c>
      <c r="B24">
        <v>7</v>
      </c>
      <c r="C24" t="str">
        <f>'Bjälklag (10% slagg)'!M24</f>
        <v>C28/352054010</v>
      </c>
      <c r="D24">
        <f>'Bjälklag (20% slagg)'!K24</f>
        <v>0</v>
      </c>
      <c r="E24">
        <f>'Bjälklag (30% slagg)'!K24</f>
        <v>0</v>
      </c>
      <c r="F24" s="9" t="e">
        <f>#REF!</f>
        <v>#REF!</v>
      </c>
      <c r="K24" t="str">
        <f>Table8[[#This Row],[Column1]]</f>
        <v>C30/372052050OK7</v>
      </c>
      <c r="L24">
        <f>Table8[[#This Row],[Jobbighetsnivå]]</f>
        <v>23</v>
      </c>
      <c r="M24" s="36">
        <f t="shared" si="0"/>
        <v>23</v>
      </c>
    </row>
    <row r="25" spans="1:16" x14ac:dyDescent="0.25">
      <c r="A25" s="8">
        <v>0</v>
      </c>
      <c r="B25">
        <v>12</v>
      </c>
      <c r="C25" t="str">
        <f>'Bjälklag (10% slagg)'!M25</f>
        <v>C28/352054010</v>
      </c>
      <c r="D25">
        <f>'Bjälklag (20% slagg)'!K25</f>
        <v>0</v>
      </c>
      <c r="E25">
        <f>'Bjälklag (30% slagg)'!K25</f>
        <v>0</v>
      </c>
      <c r="F25" s="9" t="e">
        <f>#REF!</f>
        <v>#REF!</v>
      </c>
      <c r="K25" t="str">
        <f>Table8[[#This Row],[Column1]]</f>
        <v>C32/4015100PresenningOK7</v>
      </c>
      <c r="L25">
        <f>Table8[[#This Row],[Jobbighetsnivå]]</f>
        <v>24</v>
      </c>
      <c r="M25" s="36">
        <f t="shared" si="0"/>
        <v>24</v>
      </c>
      <c r="O25" t="s">
        <v>61</v>
      </c>
      <c r="P25">
        <v>1</v>
      </c>
    </row>
    <row r="26" spans="1:16" ht="15.75" thickBot="1" x14ac:dyDescent="0.3">
      <c r="A26" s="10">
        <v>0</v>
      </c>
      <c r="B26" s="11">
        <v>20</v>
      </c>
      <c r="C26" s="11" t="str">
        <f>'Bjälklag (10% slagg)'!M26</f>
        <v>C28/352054010</v>
      </c>
      <c r="D26" s="11">
        <f>'Bjälklag (20% slagg)'!K26</f>
        <v>0</v>
      </c>
      <c r="E26" s="11">
        <f>'Bjälklag (30% slagg)'!K26</f>
        <v>0</v>
      </c>
      <c r="F26" s="12" t="e">
        <f>#REF!</f>
        <v>#REF!</v>
      </c>
      <c r="K26" t="str">
        <f>Table8[[#This Row],[Column1]]</f>
        <v>C32/4015150PresenningOK7</v>
      </c>
      <c r="L26">
        <f>Table8[[#This Row],[Jobbighetsnivå]]</f>
        <v>25</v>
      </c>
      <c r="M26" s="36">
        <f t="shared" si="0"/>
        <v>25</v>
      </c>
      <c r="O26" t="s">
        <v>62</v>
      </c>
      <c r="P26">
        <v>2</v>
      </c>
    </row>
    <row r="27" spans="1:16" x14ac:dyDescent="0.25">
      <c r="A27" s="5">
        <v>-5</v>
      </c>
      <c r="B27" s="6">
        <v>0</v>
      </c>
      <c r="C27" s="6" t="str">
        <f>'Bjälklag (10% slagg)'!M27</f>
        <v>C28/352054010</v>
      </c>
      <c r="D27" s="6">
        <f>'Bjälklag (20% slagg)'!K27</f>
        <v>0</v>
      </c>
      <c r="E27" s="6">
        <f>'Bjälklag (30% slagg)'!K27</f>
        <v>0</v>
      </c>
      <c r="F27" s="7" t="e">
        <f>#REF!</f>
        <v>#REF!</v>
      </c>
      <c r="K27" t="str">
        <f>Table8[[#This Row],[Column1]]</f>
        <v>C32/401552050OK7</v>
      </c>
      <c r="L27">
        <f>Table8[[#This Row],[Jobbighetsnivå]]</f>
        <v>26</v>
      </c>
      <c r="M27" s="36">
        <f t="shared" si="0"/>
        <v>26</v>
      </c>
      <c r="O27" t="s">
        <v>63</v>
      </c>
      <c r="P27">
        <v>3</v>
      </c>
    </row>
    <row r="28" spans="1:16" x14ac:dyDescent="0.25">
      <c r="A28" s="8">
        <v>-5</v>
      </c>
      <c r="B28">
        <v>2</v>
      </c>
      <c r="C28" t="str">
        <f>'Bjälklag (10% slagg)'!M28</f>
        <v>C28/352054010</v>
      </c>
      <c r="D28">
        <f>'Bjälklag (20% slagg)'!K28</f>
        <v>0</v>
      </c>
      <c r="E28">
        <f>'Bjälklag (30% slagg)'!K28</f>
        <v>0</v>
      </c>
      <c r="F28" s="9" t="e">
        <f>#REF!</f>
        <v>#REF!</v>
      </c>
      <c r="K28" t="str">
        <f>Table8[[#This Row],[Column1]]</f>
        <v>C32/402052050OK7</v>
      </c>
      <c r="L28">
        <f>Table8[[#This Row],[Jobbighetsnivå]]</f>
        <v>27</v>
      </c>
      <c r="M28" s="36">
        <f t="shared" si="0"/>
        <v>27</v>
      </c>
      <c r="O28" t="s">
        <v>64</v>
      </c>
      <c r="P28">
        <v>4</v>
      </c>
    </row>
    <row r="29" spans="1:16" x14ac:dyDescent="0.25">
      <c r="A29" s="8">
        <v>-5</v>
      </c>
      <c r="B29">
        <v>7</v>
      </c>
      <c r="C29" t="str">
        <f>'Bjälklag (10% slagg)'!M29</f>
        <v>C30/372054010</v>
      </c>
      <c r="D29">
        <f>'Bjälklag (20% slagg)'!K29</f>
        <v>0</v>
      </c>
      <c r="E29">
        <f>'Bjälklag (30% slagg)'!K29</f>
        <v>0</v>
      </c>
      <c r="F29" s="9" t="e">
        <f>#REF!</f>
        <v>#REF!</v>
      </c>
      <c r="K29" t="str">
        <f>Table8[[#This Row],[Column1]]</f>
        <v>C35/451510--OK7</v>
      </c>
      <c r="L29">
        <f>Table8[[#This Row],[Jobbighetsnivå]]</f>
        <v>28</v>
      </c>
      <c r="M29" s="36">
        <f t="shared" si="0"/>
        <v>28</v>
      </c>
      <c r="O29" t="s">
        <v>65</v>
      </c>
      <c r="P29">
        <v>5</v>
      </c>
    </row>
    <row r="30" spans="1:16" x14ac:dyDescent="0.25">
      <c r="A30" s="8">
        <v>-5</v>
      </c>
      <c r="B30">
        <v>12</v>
      </c>
      <c r="C30" t="str">
        <f>'Bjälklag (10% slagg)'!M30</f>
        <v>C30/372054010</v>
      </c>
      <c r="D30">
        <f>'Bjälklag (20% slagg)'!K30</f>
        <v>0</v>
      </c>
      <c r="E30">
        <f>'Bjälklag (30% slagg)'!K30</f>
        <v>0</v>
      </c>
      <c r="F30" s="9" t="e">
        <f>#REF!</f>
        <v>#REF!</v>
      </c>
      <c r="K30" t="str">
        <f>Table8[[#This Row],[Column1]]</f>
        <v>C35/451515--OK7</v>
      </c>
      <c r="L30">
        <f>Table8[[#This Row],[Jobbighetsnivå]]</f>
        <v>29</v>
      </c>
      <c r="M30" s="36">
        <f t="shared" si="0"/>
        <v>29</v>
      </c>
      <c r="O30" t="s">
        <v>66</v>
      </c>
      <c r="P30">
        <v>6</v>
      </c>
    </row>
    <row r="31" spans="1:16" ht="15.75" thickBot="1" x14ac:dyDescent="0.3">
      <c r="A31" s="10">
        <v>-5</v>
      </c>
      <c r="B31" s="11">
        <v>20</v>
      </c>
      <c r="C31" s="11" t="str">
        <f>'Bjälklag (10% slagg)'!M31</f>
        <v>-----Fryser innan täck</v>
      </c>
      <c r="D31" s="11">
        <f>'Bjälklag (20% slagg)'!K31</f>
        <v>0</v>
      </c>
      <c r="E31" s="11">
        <f>'Bjälklag (30% slagg)'!K31</f>
        <v>0</v>
      </c>
      <c r="F31" s="12" t="e">
        <f>#REF!</f>
        <v>#REF!</v>
      </c>
      <c r="K31" t="str">
        <f>Table8[[#This Row],[Column1]]</f>
        <v>C35/4515150PresenningOK7</v>
      </c>
      <c r="L31">
        <f>Table8[[#This Row],[Jobbighetsnivå]]</f>
        <v>30</v>
      </c>
      <c r="M31" s="36">
        <f t="shared" si="0"/>
        <v>30</v>
      </c>
      <c r="O31" t="s">
        <v>67</v>
      </c>
      <c r="P31">
        <v>7</v>
      </c>
    </row>
    <row r="32" spans="1:16" x14ac:dyDescent="0.25">
      <c r="A32" s="5">
        <v>-10</v>
      </c>
      <c r="B32" s="6">
        <v>0</v>
      </c>
      <c r="C32" s="6" t="str">
        <f>'Bjälklag (10% slagg)'!M32</f>
        <v>C28/352054010</v>
      </c>
      <c r="D32" s="6">
        <f>'Bjälklag (20% slagg)'!K32</f>
        <v>0</v>
      </c>
      <c r="E32" s="6">
        <f>'Bjälklag (30% slagg)'!K32</f>
        <v>0</v>
      </c>
      <c r="F32" s="7" t="e">
        <f>#REF!</f>
        <v>#REF!</v>
      </c>
      <c r="K32" t="str">
        <f>Table8[[#This Row],[Column1]]</f>
        <v>C35/451552050OK7</v>
      </c>
      <c r="L32">
        <f>Table8[[#This Row],[Jobbighetsnivå]]</f>
        <v>31</v>
      </c>
      <c r="M32" s="36">
        <f t="shared" si="0"/>
        <v>31</v>
      </c>
      <c r="O32" t="s">
        <v>68</v>
      </c>
      <c r="P32">
        <v>8</v>
      </c>
    </row>
    <row r="33" spans="1:16" x14ac:dyDescent="0.25">
      <c r="A33" s="8">
        <v>-10</v>
      </c>
      <c r="B33">
        <v>2</v>
      </c>
      <c r="C33" t="str">
        <f>'Bjälklag (10% slagg)'!M33</f>
        <v>C28/352054010</v>
      </c>
      <c r="D33">
        <f>'Bjälklag (20% slagg)'!K33</f>
        <v>0</v>
      </c>
      <c r="E33">
        <f>'Bjälklag (30% slagg)'!K33</f>
        <v>0</v>
      </c>
      <c r="F33" s="9" t="e">
        <f>#REF!</f>
        <v>#REF!</v>
      </c>
      <c r="K33" t="str">
        <f>Table8[[#This Row],[Column1]]</f>
        <v>C35/452052050OK7</v>
      </c>
      <c r="L33">
        <f>Table8[[#This Row],[Jobbighetsnivå]]</f>
        <v>32</v>
      </c>
      <c r="M33" s="36">
        <f t="shared" si="0"/>
        <v>32</v>
      </c>
      <c r="O33" t="s">
        <v>69</v>
      </c>
      <c r="P33">
        <v>9</v>
      </c>
    </row>
    <row r="34" spans="1:16" x14ac:dyDescent="0.25">
      <c r="A34" s="8">
        <v>-10</v>
      </c>
      <c r="B34">
        <v>7</v>
      </c>
      <c r="C34" t="str">
        <f>'Bjälklag (10% slagg)'!M34</f>
        <v>C32/402054010</v>
      </c>
      <c r="D34">
        <f>'Bjälklag (20% slagg)'!K34</f>
        <v>0</v>
      </c>
      <c r="E34">
        <f>'Bjälklag (30% slagg)'!K34</f>
        <v>0</v>
      </c>
      <c r="F34" s="9" t="e">
        <f>#REF!</f>
        <v>#REF!</v>
      </c>
      <c r="K34" t="str">
        <f>Table8[[#This Row],[Column1]]</f>
        <v>C40/5015100PresenningOK7</v>
      </c>
      <c r="L34">
        <f>Table8[[#This Row],[Jobbighetsnivå]]</f>
        <v>33</v>
      </c>
      <c r="M34" s="36">
        <f t="shared" si="0"/>
        <v>33</v>
      </c>
      <c r="O34" t="s">
        <v>70</v>
      </c>
      <c r="P34">
        <v>10</v>
      </c>
    </row>
    <row r="35" spans="1:16" x14ac:dyDescent="0.25">
      <c r="A35" s="8">
        <v>-10</v>
      </c>
      <c r="B35">
        <v>12</v>
      </c>
      <c r="C35" t="str">
        <f>'Bjälklag (10% slagg)'!M35</f>
        <v>-----Fryser innan täck</v>
      </c>
      <c r="D35">
        <f>'Bjälklag (20% slagg)'!K35</f>
        <v>0</v>
      </c>
      <c r="E35">
        <f>'Bjälklag (30% slagg)'!K35</f>
        <v>0</v>
      </c>
      <c r="F35" s="9" t="e">
        <f>#REF!</f>
        <v>#REF!</v>
      </c>
      <c r="K35" t="str">
        <f>Table8[[#This Row],[Column1]]</f>
        <v>C40/5015150PresenningOK7</v>
      </c>
      <c r="L35">
        <f>Table8[[#This Row],[Jobbighetsnivå]]</f>
        <v>34</v>
      </c>
      <c r="M35" s="36">
        <f t="shared" si="0"/>
        <v>34</v>
      </c>
      <c r="O35" t="s">
        <v>71</v>
      </c>
      <c r="P35">
        <v>11</v>
      </c>
    </row>
    <row r="36" spans="1:16" ht="15.75" thickBot="1" x14ac:dyDescent="0.3">
      <c r="A36" s="10">
        <v>-10</v>
      </c>
      <c r="B36" s="11">
        <v>20</v>
      </c>
      <c r="C36" s="11" t="str">
        <f>'Bjälklag (10% slagg)'!M36</f>
        <v>-----Fryser innan täck</v>
      </c>
      <c r="D36" s="11">
        <f>'Bjälklag (20% slagg)'!K36</f>
        <v>0</v>
      </c>
      <c r="E36" s="11">
        <f>'Bjälklag (30% slagg)'!K36</f>
        <v>0</v>
      </c>
      <c r="F36" s="12" t="e">
        <f>#REF!</f>
        <v>#REF!</v>
      </c>
      <c r="K36" t="str">
        <f>Table8[[#This Row],[Column1]]</f>
        <v>C40/502052050OK7</v>
      </c>
      <c r="L36">
        <f>Table8[[#This Row],[Jobbighetsnivå]]</f>
        <v>35</v>
      </c>
      <c r="M36" s="36">
        <f t="shared" si="0"/>
        <v>35</v>
      </c>
      <c r="O36" t="s">
        <v>72</v>
      </c>
      <c r="P36">
        <v>12</v>
      </c>
    </row>
    <row r="37" spans="1:16" x14ac:dyDescent="0.25">
      <c r="A37" s="5">
        <v>-15</v>
      </c>
      <c r="B37" s="6">
        <v>0</v>
      </c>
      <c r="C37" s="6" t="str">
        <f>'Bjälklag (10% slagg)'!M37</f>
        <v>C32/401554020</v>
      </c>
      <c r="D37" s="6">
        <f>'Bjälklag (20% slagg)'!K37</f>
        <v>0</v>
      </c>
      <c r="E37" s="6">
        <f>'Bjälklag (30% slagg)'!K37</f>
        <v>0</v>
      </c>
      <c r="F37" s="7" t="e">
        <f>#REF!</f>
        <v>#REF!</v>
      </c>
      <c r="K37" t="str">
        <f>Table8[[#This Row],[Column1]]</f>
        <v>-----Fryser innan täck</v>
      </c>
      <c r="L37">
        <f>Table8[[#This Row],[Jobbighetsnivå]]</f>
        <v>36</v>
      </c>
      <c r="M37" s="36">
        <f t="shared" si="0"/>
        <v>36</v>
      </c>
      <c r="O37" t="s">
        <v>73</v>
      </c>
      <c r="P37">
        <v>13</v>
      </c>
    </row>
    <row r="38" spans="1:16" ht="15.75" thickBot="1" x14ac:dyDescent="0.3">
      <c r="A38" s="8">
        <v>-15</v>
      </c>
      <c r="B38">
        <v>2</v>
      </c>
      <c r="C38" t="str">
        <f>'Bjälklag (10% slagg)'!M38</f>
        <v>C40/501554020</v>
      </c>
      <c r="D38">
        <f>'Bjälklag (20% slagg)'!K38</f>
        <v>0</v>
      </c>
      <c r="E38">
        <f>'Bjälklag (30% slagg)'!K38</f>
        <v>0</v>
      </c>
      <c r="F38" s="9" t="e">
        <f>#REF!</f>
        <v>#REF!</v>
      </c>
      <c r="K38" t="str">
        <f>Table8[[#This Row],[Column1]]</f>
        <v>-----Når ej 70%</v>
      </c>
      <c r="L38">
        <f>Table8[[#This Row],[Jobbighetsnivå]]</f>
        <v>37</v>
      </c>
      <c r="M38" s="36">
        <f t="shared" si="0"/>
        <v>37</v>
      </c>
      <c r="O38" t="s">
        <v>74</v>
      </c>
      <c r="P38">
        <v>14</v>
      </c>
    </row>
    <row r="39" spans="1:16" x14ac:dyDescent="0.25">
      <c r="A39" s="8">
        <v>-15</v>
      </c>
      <c r="B39">
        <v>7</v>
      </c>
      <c r="C39" t="str">
        <f>'Bjälklag (10% slagg)'!M39</f>
        <v>-----Fryser innan täck</v>
      </c>
      <c r="D39">
        <f>'Bjälklag (20% slagg)'!K39</f>
        <v>0</v>
      </c>
      <c r="E39">
        <f>'Bjälklag (30% slagg)'!K39</f>
        <v>0</v>
      </c>
      <c r="F39" s="9" t="e">
        <f>#REF!</f>
        <v>#REF!</v>
      </c>
      <c r="H39" s="24">
        <v>20</v>
      </c>
      <c r="I39" s="25">
        <v>0</v>
      </c>
      <c r="J39" s="35"/>
      <c r="K39" t="str">
        <f>'Bjälklag (10% slagg)'!M2</f>
        <v>C28/351520--</v>
      </c>
      <c r="L39">
        <f t="shared" ref="L39:L70" si="1">MATCH(K39, _xlfn.UNIQUE($K$39:$K$218), 0)</f>
        <v>1</v>
      </c>
      <c r="M39" s="36">
        <f t="shared" si="0"/>
        <v>38</v>
      </c>
      <c r="O39" t="s">
        <v>75</v>
      </c>
      <c r="P39">
        <v>15</v>
      </c>
    </row>
    <row r="40" spans="1:16" x14ac:dyDescent="0.25">
      <c r="A40" s="8">
        <v>-15</v>
      </c>
      <c r="B40">
        <v>12</v>
      </c>
      <c r="C40" t="str">
        <f>'Bjälklag (10% slagg)'!M40</f>
        <v>-----Fryser innan täck</v>
      </c>
      <c r="D40">
        <f>'Bjälklag (20% slagg)'!K40</f>
        <v>0</v>
      </c>
      <c r="E40">
        <f>'Bjälklag (30% slagg)'!K40</f>
        <v>0</v>
      </c>
      <c r="F40" s="9" t="e">
        <f>#REF!</f>
        <v>#REF!</v>
      </c>
      <c r="H40" s="26">
        <v>20</v>
      </c>
      <c r="I40" s="4">
        <v>2</v>
      </c>
      <c r="K40" t="str">
        <f>'Bjälklag (10% slagg)'!M3</f>
        <v>C28/351520--</v>
      </c>
      <c r="L40">
        <f t="shared" si="1"/>
        <v>1</v>
      </c>
      <c r="M40" s="36">
        <f t="shared" si="0"/>
        <v>38</v>
      </c>
      <c r="O40" t="s">
        <v>76</v>
      </c>
      <c r="P40">
        <v>16</v>
      </c>
    </row>
    <row r="41" spans="1:16" ht="15.75" thickBot="1" x14ac:dyDescent="0.3">
      <c r="A41" s="10">
        <v>-15</v>
      </c>
      <c r="B41" s="11">
        <v>20</v>
      </c>
      <c r="C41" s="11" t="str">
        <f>'Bjälklag (10% slagg)'!M41</f>
        <v>-----Fryser innan täck</v>
      </c>
      <c r="D41" s="11">
        <f>'Bjälklag (20% slagg)'!K41</f>
        <v>0</v>
      </c>
      <c r="E41" s="11">
        <f>'Bjälklag (30% slagg)'!K41</f>
        <v>0</v>
      </c>
      <c r="F41" s="12" t="e">
        <f>#REF!</f>
        <v>#REF!</v>
      </c>
      <c r="H41" s="27">
        <v>20</v>
      </c>
      <c r="I41" s="3">
        <v>7</v>
      </c>
      <c r="J41" s="35"/>
      <c r="K41" t="str">
        <f>'Bjälklag (10% slagg)'!M4</f>
        <v>C28/351520--</v>
      </c>
      <c r="L41">
        <f t="shared" si="1"/>
        <v>1</v>
      </c>
      <c r="M41" s="36">
        <f t="shared" si="0"/>
        <v>38</v>
      </c>
      <c r="O41" t="s">
        <v>77</v>
      </c>
      <c r="P41">
        <v>17</v>
      </c>
    </row>
    <row r="42" spans="1:16" x14ac:dyDescent="0.25">
      <c r="A42" s="5">
        <v>-20</v>
      </c>
      <c r="B42" s="6">
        <v>0</v>
      </c>
      <c r="C42" s="6" t="str">
        <f>'Bjälklag (10% slagg)'!M42</f>
        <v>-----Når ej 6 MPa</v>
      </c>
      <c r="D42" s="6">
        <f>'Bjälklag (20% slagg)'!K42</f>
        <v>0</v>
      </c>
      <c r="E42" s="6">
        <f>'Bjälklag (30% slagg)'!K42</f>
        <v>0</v>
      </c>
      <c r="F42" s="7" t="e">
        <f>#REF!</f>
        <v>#REF!</v>
      </c>
      <c r="H42" s="26">
        <v>20</v>
      </c>
      <c r="I42" s="4">
        <v>12</v>
      </c>
      <c r="K42" t="str">
        <f>'Bjälklag (10% slagg)'!M5</f>
        <v>C28/351520--</v>
      </c>
      <c r="L42">
        <f t="shared" si="1"/>
        <v>1</v>
      </c>
      <c r="M42" s="36">
        <f t="shared" si="0"/>
        <v>38</v>
      </c>
      <c r="O42" t="s">
        <v>78</v>
      </c>
      <c r="P42">
        <v>18</v>
      </c>
    </row>
    <row r="43" spans="1:16" ht="15.75" thickBot="1" x14ac:dyDescent="0.3">
      <c r="A43" s="8">
        <v>-20</v>
      </c>
      <c r="B43">
        <v>2</v>
      </c>
      <c r="C43" t="str">
        <f>'Bjälklag (10% slagg)'!M43</f>
        <v>-----Fryser innan täck</v>
      </c>
      <c r="D43">
        <f>'Bjälklag (20% slagg)'!K43</f>
        <v>0</v>
      </c>
      <c r="E43">
        <f>'Bjälklag (30% slagg)'!K43</f>
        <v>0</v>
      </c>
      <c r="F43" s="9" t="e">
        <f>#REF!</f>
        <v>#REF!</v>
      </c>
      <c r="H43" s="28">
        <v>20</v>
      </c>
      <c r="I43" s="29">
        <v>20</v>
      </c>
      <c r="J43" s="35"/>
      <c r="K43" t="str">
        <f>'Bjälklag (10% slagg)'!M6</f>
        <v>C28/351520--</v>
      </c>
      <c r="L43">
        <f t="shared" si="1"/>
        <v>1</v>
      </c>
      <c r="M43" s="36">
        <f t="shared" si="0"/>
        <v>38</v>
      </c>
      <c r="O43" t="s">
        <v>79</v>
      </c>
      <c r="P43">
        <v>19</v>
      </c>
    </row>
    <row r="44" spans="1:16" x14ac:dyDescent="0.25">
      <c r="A44" s="8">
        <v>-20</v>
      </c>
      <c r="B44">
        <v>7</v>
      </c>
      <c r="C44" t="str">
        <f>'Bjälklag (10% slagg)'!M44</f>
        <v>-----Fryser innan täck</v>
      </c>
      <c r="D44">
        <f>'Bjälklag (20% slagg)'!K44</f>
        <v>0</v>
      </c>
      <c r="E44">
        <f>'Bjälklag (30% slagg)'!K44</f>
        <v>0</v>
      </c>
      <c r="F44" s="9" t="e">
        <f>#REF!</f>
        <v>#REF!</v>
      </c>
      <c r="H44" s="30">
        <v>15</v>
      </c>
      <c r="I44" s="31">
        <v>0</v>
      </c>
      <c r="K44" t="str">
        <f>'Bjälklag (10% slagg)'!M7</f>
        <v>C30/371515--</v>
      </c>
      <c r="L44">
        <f t="shared" si="1"/>
        <v>2</v>
      </c>
      <c r="M44" s="36">
        <f t="shared" si="0"/>
        <v>39</v>
      </c>
      <c r="O44" t="s">
        <v>80</v>
      </c>
      <c r="P44">
        <v>20</v>
      </c>
    </row>
    <row r="45" spans="1:16" x14ac:dyDescent="0.25">
      <c r="A45" s="8">
        <v>-20</v>
      </c>
      <c r="B45">
        <v>12</v>
      </c>
      <c r="C45" t="str">
        <f>'Bjälklag (10% slagg)'!M45</f>
        <v>-----Fryser innan täck</v>
      </c>
      <c r="D45">
        <f>'Bjälklag (20% slagg)'!K45</f>
        <v>0</v>
      </c>
      <c r="E45">
        <f>'Bjälklag (30% slagg)'!K45</f>
        <v>0</v>
      </c>
      <c r="F45" s="9" t="e">
        <f>#REF!</f>
        <v>#REF!</v>
      </c>
      <c r="H45" s="27">
        <v>15</v>
      </c>
      <c r="I45" s="3">
        <v>2</v>
      </c>
      <c r="J45" s="35"/>
      <c r="K45" t="str">
        <f>'Bjälklag (10% slagg)'!M8</f>
        <v>C30/371515--</v>
      </c>
      <c r="L45">
        <f t="shared" si="1"/>
        <v>2</v>
      </c>
      <c r="M45" s="36">
        <f t="shared" si="0"/>
        <v>39</v>
      </c>
      <c r="O45" t="s">
        <v>81</v>
      </c>
      <c r="P45">
        <v>21</v>
      </c>
    </row>
    <row r="46" spans="1:16" ht="15.75" thickBot="1" x14ac:dyDescent="0.3">
      <c r="A46" s="10">
        <v>-20</v>
      </c>
      <c r="B46" s="11">
        <v>20</v>
      </c>
      <c r="C46" s="11" t="str">
        <f>'Bjälklag (10% slagg)'!M46</f>
        <v>-----Fryser innan täck</v>
      </c>
      <c r="D46" s="11">
        <f>'Bjälklag (20% slagg)'!K46</f>
        <v>0</v>
      </c>
      <c r="E46" s="11">
        <f>'Bjälklag (30% slagg)'!K46</f>
        <v>0</v>
      </c>
      <c r="F46" s="12" t="e">
        <f>#REF!</f>
        <v>#REF!</v>
      </c>
      <c r="H46" s="26">
        <v>15</v>
      </c>
      <c r="I46" s="4">
        <v>7</v>
      </c>
      <c r="K46" t="str">
        <f>'Bjälklag (10% slagg)'!M9</f>
        <v>C30/371515--</v>
      </c>
      <c r="L46">
        <f t="shared" si="1"/>
        <v>2</v>
      </c>
      <c r="M46" s="36">
        <f t="shared" si="0"/>
        <v>39</v>
      </c>
      <c r="O46" t="s">
        <v>82</v>
      </c>
      <c r="P46">
        <v>22</v>
      </c>
    </row>
    <row r="47" spans="1:16" x14ac:dyDescent="0.25">
      <c r="H47" s="27">
        <v>15</v>
      </c>
      <c r="I47" s="3">
        <v>12</v>
      </c>
      <c r="J47" s="35"/>
      <c r="K47" t="str">
        <f>'Bjälklag (10% slagg)'!M10</f>
        <v>C30/371515-Presenning</v>
      </c>
      <c r="L47">
        <f t="shared" si="1"/>
        <v>3</v>
      </c>
      <c r="M47" s="36">
        <f t="shared" si="0"/>
        <v>40</v>
      </c>
      <c r="O47" t="s">
        <v>83</v>
      </c>
      <c r="P47">
        <v>23</v>
      </c>
    </row>
    <row r="48" spans="1:16" ht="15.75" thickBot="1" x14ac:dyDescent="0.3">
      <c r="H48" s="32">
        <v>15</v>
      </c>
      <c r="I48" s="33">
        <v>20</v>
      </c>
      <c r="K48" t="str">
        <f>'Bjälklag (10% slagg)'!M11</f>
        <v>C30/371515-Presenning</v>
      </c>
      <c r="L48">
        <f t="shared" si="1"/>
        <v>3</v>
      </c>
      <c r="M48" s="36">
        <f t="shared" si="0"/>
        <v>40</v>
      </c>
      <c r="O48" t="s">
        <v>84</v>
      </c>
      <c r="P48">
        <v>24</v>
      </c>
    </row>
    <row r="49" spans="8:16" x14ac:dyDescent="0.25">
      <c r="H49" s="24">
        <v>10</v>
      </c>
      <c r="I49" s="25">
        <v>0</v>
      </c>
      <c r="J49" s="35"/>
      <c r="K49" t="str">
        <f>'Bjälklag (10% slagg)'!M12</f>
        <v>C35/451510--</v>
      </c>
      <c r="L49">
        <f t="shared" si="1"/>
        <v>4</v>
      </c>
      <c r="M49" s="36">
        <f t="shared" si="0"/>
        <v>41</v>
      </c>
      <c r="O49" t="s">
        <v>85</v>
      </c>
      <c r="P49">
        <v>25</v>
      </c>
    </row>
    <row r="50" spans="8:16" x14ac:dyDescent="0.25">
      <c r="H50" s="26">
        <v>10</v>
      </c>
      <c r="I50" s="4">
        <v>2</v>
      </c>
      <c r="K50" t="str">
        <f>'Bjälklag (10% slagg)'!M13</f>
        <v>C40/501510--</v>
      </c>
      <c r="L50">
        <f t="shared" si="1"/>
        <v>5</v>
      </c>
      <c r="M50" s="36">
        <f t="shared" si="0"/>
        <v>42</v>
      </c>
      <c r="O50" t="s">
        <v>86</v>
      </c>
      <c r="P50">
        <v>26</v>
      </c>
    </row>
    <row r="51" spans="8:16" x14ac:dyDescent="0.25">
      <c r="H51" s="27">
        <v>10</v>
      </c>
      <c r="I51" s="3">
        <v>7</v>
      </c>
      <c r="J51" s="35"/>
      <c r="K51" t="str">
        <f>'Bjälklag (10% slagg)'!M14</f>
        <v>C40/501510-Presenning</v>
      </c>
      <c r="L51">
        <f t="shared" si="1"/>
        <v>6</v>
      </c>
      <c r="M51" s="36">
        <f t="shared" si="0"/>
        <v>43</v>
      </c>
      <c r="O51" t="s">
        <v>87</v>
      </c>
      <c r="P51">
        <v>27</v>
      </c>
    </row>
    <row r="52" spans="8:16" x14ac:dyDescent="0.25">
      <c r="H52" s="26">
        <v>10</v>
      </c>
      <c r="I52" s="4">
        <v>12</v>
      </c>
      <c r="K52" t="str">
        <f>'Bjälklag (10% slagg)'!M15</f>
        <v>C40/501510-Presenning</v>
      </c>
      <c r="L52">
        <f t="shared" si="1"/>
        <v>6</v>
      </c>
      <c r="M52" s="36">
        <f t="shared" si="0"/>
        <v>43</v>
      </c>
      <c r="O52" t="s">
        <v>88</v>
      </c>
      <c r="P52">
        <v>28</v>
      </c>
    </row>
    <row r="53" spans="8:16" ht="15.75" thickBot="1" x14ac:dyDescent="0.3">
      <c r="H53" s="28">
        <v>10</v>
      </c>
      <c r="I53" s="29">
        <v>20</v>
      </c>
      <c r="J53" s="35"/>
      <c r="K53" t="str">
        <f>'Bjälklag (10% slagg)'!M16</f>
        <v>C40/501510-Presenning</v>
      </c>
      <c r="L53">
        <f t="shared" si="1"/>
        <v>6</v>
      </c>
      <c r="M53" s="36">
        <f t="shared" si="0"/>
        <v>43</v>
      </c>
      <c r="O53" t="s">
        <v>89</v>
      </c>
      <c r="P53">
        <v>29</v>
      </c>
    </row>
    <row r="54" spans="8:16" x14ac:dyDescent="0.25">
      <c r="H54" s="30">
        <v>5</v>
      </c>
      <c r="I54" s="31">
        <v>0</v>
      </c>
      <c r="K54" t="str">
        <f>'Bjälklag (10% slagg)'!M17</f>
        <v>C25/302054010</v>
      </c>
      <c r="L54">
        <f t="shared" si="1"/>
        <v>7</v>
      </c>
      <c r="M54" s="36">
        <f t="shared" si="0"/>
        <v>44</v>
      </c>
      <c r="O54" t="s">
        <v>90</v>
      </c>
      <c r="P54">
        <v>30</v>
      </c>
    </row>
    <row r="55" spans="8:16" x14ac:dyDescent="0.25">
      <c r="H55" s="27">
        <v>5</v>
      </c>
      <c r="I55" s="3">
        <v>2</v>
      </c>
      <c r="J55" s="35"/>
      <c r="K55" t="str">
        <f>'Bjälklag (10% slagg)'!M18</f>
        <v>C20/252054010</v>
      </c>
      <c r="L55">
        <f t="shared" si="1"/>
        <v>8</v>
      </c>
      <c r="M55" s="36">
        <f t="shared" si="0"/>
        <v>45</v>
      </c>
      <c r="O55" t="s">
        <v>91</v>
      </c>
      <c r="P55">
        <v>31</v>
      </c>
    </row>
    <row r="56" spans="8:16" x14ac:dyDescent="0.25">
      <c r="H56" s="26">
        <v>5</v>
      </c>
      <c r="I56" s="4">
        <v>7</v>
      </c>
      <c r="K56" t="str">
        <f>'Bjälklag (10% slagg)'!M19</f>
        <v>C28/352054010</v>
      </c>
      <c r="L56">
        <f t="shared" si="1"/>
        <v>9</v>
      </c>
      <c r="M56" s="36">
        <f t="shared" si="0"/>
        <v>46</v>
      </c>
      <c r="O56" t="s">
        <v>92</v>
      </c>
      <c r="P56">
        <v>32</v>
      </c>
    </row>
    <row r="57" spans="8:16" x14ac:dyDescent="0.25">
      <c r="H57" s="27">
        <v>5</v>
      </c>
      <c r="I57" s="3">
        <v>12</v>
      </c>
      <c r="J57" s="35"/>
      <c r="K57" t="str">
        <f>'Bjälklag (10% slagg)'!M20</f>
        <v>C28/352054010</v>
      </c>
      <c r="L57">
        <f t="shared" si="1"/>
        <v>9</v>
      </c>
      <c r="M57" s="36">
        <f t="shared" si="0"/>
        <v>46</v>
      </c>
      <c r="O57" t="s">
        <v>93</v>
      </c>
      <c r="P57">
        <v>33</v>
      </c>
    </row>
    <row r="58" spans="8:16" ht="15.75" thickBot="1" x14ac:dyDescent="0.3">
      <c r="H58" s="32">
        <v>5</v>
      </c>
      <c r="I58" s="33">
        <v>20</v>
      </c>
      <c r="K58" t="str">
        <f>'Bjälklag (10% slagg)'!M21</f>
        <v>C28/352054010</v>
      </c>
      <c r="L58">
        <f t="shared" si="1"/>
        <v>9</v>
      </c>
      <c r="M58" s="36">
        <f t="shared" si="0"/>
        <v>46</v>
      </c>
      <c r="O58" t="s">
        <v>94</v>
      </c>
      <c r="P58">
        <v>34</v>
      </c>
    </row>
    <row r="59" spans="8:16" x14ac:dyDescent="0.25">
      <c r="H59" s="24">
        <v>0</v>
      </c>
      <c r="I59" s="25">
        <v>0</v>
      </c>
      <c r="J59" s="35"/>
      <c r="K59" t="str">
        <f>'Bjälklag (10% slagg)'!M22</f>
        <v>C25/302054010</v>
      </c>
      <c r="L59">
        <f t="shared" si="1"/>
        <v>7</v>
      </c>
      <c r="M59" s="36">
        <f t="shared" si="0"/>
        <v>44</v>
      </c>
      <c r="O59" t="s">
        <v>95</v>
      </c>
      <c r="P59">
        <v>35</v>
      </c>
    </row>
    <row r="60" spans="8:16" x14ac:dyDescent="0.25">
      <c r="H60" s="26">
        <v>0</v>
      </c>
      <c r="I60" s="4">
        <v>2</v>
      </c>
      <c r="K60" t="str">
        <f>'Bjälklag (10% slagg)'!M23</f>
        <v>C28/352054010</v>
      </c>
      <c r="L60">
        <f t="shared" si="1"/>
        <v>9</v>
      </c>
      <c r="M60" s="36">
        <f t="shared" si="0"/>
        <v>46</v>
      </c>
      <c r="O60" t="s">
        <v>96</v>
      </c>
      <c r="P60">
        <v>36</v>
      </c>
    </row>
    <row r="61" spans="8:16" x14ac:dyDescent="0.25">
      <c r="H61" s="27">
        <v>0</v>
      </c>
      <c r="I61" s="3">
        <v>7</v>
      </c>
      <c r="J61" s="35"/>
      <c r="K61" t="str">
        <f>'Bjälklag (10% slagg)'!M24</f>
        <v>C28/352054010</v>
      </c>
      <c r="L61">
        <f t="shared" si="1"/>
        <v>9</v>
      </c>
      <c r="M61" s="36">
        <f t="shared" si="0"/>
        <v>46</v>
      </c>
      <c r="O61" t="s">
        <v>97</v>
      </c>
      <c r="P61">
        <v>37</v>
      </c>
    </row>
    <row r="62" spans="8:16" x14ac:dyDescent="0.25">
      <c r="H62" s="26">
        <v>0</v>
      </c>
      <c r="I62" s="4">
        <v>12</v>
      </c>
      <c r="K62" t="str">
        <f>'Bjälklag (10% slagg)'!M25</f>
        <v>C28/352054010</v>
      </c>
      <c r="L62">
        <f t="shared" si="1"/>
        <v>9</v>
      </c>
      <c r="M62" s="36">
        <f t="shared" si="0"/>
        <v>46</v>
      </c>
    </row>
    <row r="63" spans="8:16" ht="15.75" thickBot="1" x14ac:dyDescent="0.3">
      <c r="H63" s="28">
        <v>0</v>
      </c>
      <c r="I63" s="29">
        <v>20</v>
      </c>
      <c r="J63" s="35"/>
      <c r="K63" t="str">
        <f>'Bjälklag (10% slagg)'!M26</f>
        <v>C28/352054010</v>
      </c>
      <c r="L63">
        <f t="shared" si="1"/>
        <v>9</v>
      </c>
      <c r="M63" s="36">
        <f t="shared" si="0"/>
        <v>46</v>
      </c>
    </row>
    <row r="64" spans="8:16" x14ac:dyDescent="0.25">
      <c r="H64" s="30">
        <v>-5</v>
      </c>
      <c r="I64" s="31">
        <v>0</v>
      </c>
      <c r="K64" t="str">
        <f>'Bjälklag (10% slagg)'!M27</f>
        <v>C28/352054010</v>
      </c>
      <c r="L64">
        <f t="shared" si="1"/>
        <v>9</v>
      </c>
      <c r="M64" s="36">
        <f t="shared" si="0"/>
        <v>46</v>
      </c>
    </row>
    <row r="65" spans="8:13" x14ac:dyDescent="0.25">
      <c r="H65" s="27">
        <v>-5</v>
      </c>
      <c r="I65" s="3">
        <v>2</v>
      </c>
      <c r="J65" s="35"/>
      <c r="K65" t="str">
        <f>'Bjälklag (10% slagg)'!M28</f>
        <v>C28/352054010</v>
      </c>
      <c r="L65">
        <f t="shared" si="1"/>
        <v>9</v>
      </c>
      <c r="M65" s="36">
        <f t="shared" si="0"/>
        <v>46</v>
      </c>
    </row>
    <row r="66" spans="8:13" x14ac:dyDescent="0.25">
      <c r="H66" s="26">
        <v>-5</v>
      </c>
      <c r="I66" s="4">
        <v>7</v>
      </c>
      <c r="K66" t="str">
        <f>'Bjälklag (10% slagg)'!M29</f>
        <v>C30/372054010</v>
      </c>
      <c r="L66">
        <f t="shared" si="1"/>
        <v>10</v>
      </c>
      <c r="M66" s="36">
        <f t="shared" ref="M66:M129" si="2">MATCH(K66, _xlfn.UNIQUE($K$2:$K$218), 0)</f>
        <v>47</v>
      </c>
    </row>
    <row r="67" spans="8:13" x14ac:dyDescent="0.25">
      <c r="H67" s="27">
        <v>-5</v>
      </c>
      <c r="I67" s="3">
        <v>12</v>
      </c>
      <c r="J67" s="35"/>
      <c r="K67" t="str">
        <f>'Bjälklag (10% slagg)'!M30</f>
        <v>C30/372054010</v>
      </c>
      <c r="L67">
        <f t="shared" si="1"/>
        <v>10</v>
      </c>
      <c r="M67" s="36">
        <f t="shared" si="2"/>
        <v>47</v>
      </c>
    </row>
    <row r="68" spans="8:13" ht="15.75" thickBot="1" x14ac:dyDescent="0.3">
      <c r="H68" s="32">
        <v>-5</v>
      </c>
      <c r="I68" s="33">
        <v>20</v>
      </c>
      <c r="K68" t="str">
        <f>'Bjälklag (10% slagg)'!M31</f>
        <v>-----Fryser innan täck</v>
      </c>
      <c r="L68">
        <f t="shared" si="1"/>
        <v>11</v>
      </c>
      <c r="M68" s="36">
        <f t="shared" si="2"/>
        <v>36</v>
      </c>
    </row>
    <row r="69" spans="8:13" x14ac:dyDescent="0.25">
      <c r="H69" s="24">
        <v>-10</v>
      </c>
      <c r="I69" s="25">
        <v>0</v>
      </c>
      <c r="J69" s="35"/>
      <c r="K69" t="str">
        <f>'Bjälklag (10% slagg)'!M32</f>
        <v>C28/352054010</v>
      </c>
      <c r="L69">
        <f t="shared" si="1"/>
        <v>9</v>
      </c>
      <c r="M69" s="36">
        <f t="shared" si="2"/>
        <v>46</v>
      </c>
    </row>
    <row r="70" spans="8:13" x14ac:dyDescent="0.25">
      <c r="H70" s="26">
        <v>-10</v>
      </c>
      <c r="I70" s="4">
        <v>2</v>
      </c>
      <c r="K70" t="str">
        <f>'Bjälklag (10% slagg)'!M33</f>
        <v>C28/352054010</v>
      </c>
      <c r="L70">
        <f t="shared" si="1"/>
        <v>9</v>
      </c>
      <c r="M70" s="36">
        <f t="shared" si="2"/>
        <v>46</v>
      </c>
    </row>
    <row r="71" spans="8:13" x14ac:dyDescent="0.25">
      <c r="H71" s="27">
        <v>-10</v>
      </c>
      <c r="I71" s="3">
        <v>7</v>
      </c>
      <c r="J71" s="35"/>
      <c r="K71" t="str">
        <f>'Bjälklag (10% slagg)'!M34</f>
        <v>C32/402054010</v>
      </c>
      <c r="L71">
        <f t="shared" ref="L71:L102" si="3">MATCH(K71, _xlfn.UNIQUE($K$39:$K$218), 0)</f>
        <v>12</v>
      </c>
      <c r="M71" s="36">
        <f t="shared" si="2"/>
        <v>48</v>
      </c>
    </row>
    <row r="72" spans="8:13" x14ac:dyDescent="0.25">
      <c r="H72" s="26">
        <v>-10</v>
      </c>
      <c r="I72" s="4">
        <v>12</v>
      </c>
      <c r="K72" t="str">
        <f>'Bjälklag (10% slagg)'!M35</f>
        <v>-----Fryser innan täck</v>
      </c>
      <c r="L72">
        <f t="shared" si="3"/>
        <v>11</v>
      </c>
      <c r="M72" s="36">
        <f t="shared" si="2"/>
        <v>36</v>
      </c>
    </row>
    <row r="73" spans="8:13" ht="15.75" thickBot="1" x14ac:dyDescent="0.3">
      <c r="H73" s="28">
        <v>-10</v>
      </c>
      <c r="I73" s="29">
        <v>20</v>
      </c>
      <c r="J73" s="35"/>
      <c r="K73" t="str">
        <f>'Bjälklag (10% slagg)'!M36</f>
        <v>-----Fryser innan täck</v>
      </c>
      <c r="L73">
        <f t="shared" si="3"/>
        <v>11</v>
      </c>
      <c r="M73" s="36">
        <f t="shared" si="2"/>
        <v>36</v>
      </c>
    </row>
    <row r="74" spans="8:13" x14ac:dyDescent="0.25">
      <c r="H74" s="30">
        <v>-15</v>
      </c>
      <c r="I74" s="31">
        <v>0</v>
      </c>
      <c r="K74" t="str">
        <f>'Bjälklag (10% slagg)'!M37</f>
        <v>C32/401554020</v>
      </c>
      <c r="L74">
        <f t="shared" si="3"/>
        <v>13</v>
      </c>
      <c r="M74" s="36">
        <f t="shared" si="2"/>
        <v>49</v>
      </c>
    </row>
    <row r="75" spans="8:13" x14ac:dyDescent="0.25">
      <c r="H75" s="27">
        <v>-15</v>
      </c>
      <c r="I75" s="3">
        <v>2</v>
      </c>
      <c r="J75" s="35"/>
      <c r="K75" t="str">
        <f>'Bjälklag (10% slagg)'!M38</f>
        <v>C40/501554020</v>
      </c>
      <c r="L75">
        <f t="shared" si="3"/>
        <v>14</v>
      </c>
      <c r="M75" s="36">
        <f t="shared" si="2"/>
        <v>50</v>
      </c>
    </row>
    <row r="76" spans="8:13" x14ac:dyDescent="0.25">
      <c r="H76" s="26">
        <v>-15</v>
      </c>
      <c r="I76" s="4">
        <v>7</v>
      </c>
      <c r="K76" t="str">
        <f>'Bjälklag (10% slagg)'!M39</f>
        <v>-----Fryser innan täck</v>
      </c>
      <c r="L76">
        <f t="shared" si="3"/>
        <v>11</v>
      </c>
      <c r="M76" s="36">
        <f t="shared" si="2"/>
        <v>36</v>
      </c>
    </row>
    <row r="77" spans="8:13" x14ac:dyDescent="0.25">
      <c r="H77" s="27">
        <v>-15</v>
      </c>
      <c r="I77" s="3">
        <v>12</v>
      </c>
      <c r="J77" s="35"/>
      <c r="K77" t="str">
        <f>'Bjälklag (10% slagg)'!M40</f>
        <v>-----Fryser innan täck</v>
      </c>
      <c r="L77">
        <f t="shared" si="3"/>
        <v>11</v>
      </c>
      <c r="M77" s="36">
        <f t="shared" si="2"/>
        <v>36</v>
      </c>
    </row>
    <row r="78" spans="8:13" ht="15.75" thickBot="1" x14ac:dyDescent="0.3">
      <c r="H78" s="32">
        <v>-15</v>
      </c>
      <c r="I78" s="33">
        <v>20</v>
      </c>
      <c r="K78" t="str">
        <f>'Bjälklag (10% slagg)'!M41</f>
        <v>-----Fryser innan täck</v>
      </c>
      <c r="L78">
        <f t="shared" si="3"/>
        <v>11</v>
      </c>
      <c r="M78" s="36">
        <f t="shared" si="2"/>
        <v>36</v>
      </c>
    </row>
    <row r="79" spans="8:13" x14ac:dyDescent="0.25">
      <c r="H79" s="24">
        <v>-20</v>
      </c>
      <c r="I79" s="25">
        <v>0</v>
      </c>
      <c r="J79" s="35"/>
      <c r="K79" t="str">
        <f>'Bjälklag (10% slagg)'!M42</f>
        <v>-----Når ej 6 MPa</v>
      </c>
      <c r="L79">
        <f t="shared" si="3"/>
        <v>15</v>
      </c>
      <c r="M79" s="36">
        <f t="shared" si="2"/>
        <v>51</v>
      </c>
    </row>
    <row r="80" spans="8:13" x14ac:dyDescent="0.25">
      <c r="H80" s="26">
        <v>-20</v>
      </c>
      <c r="I80" s="4">
        <v>2</v>
      </c>
      <c r="K80" t="str">
        <f>'Bjälklag (10% slagg)'!M43</f>
        <v>-----Fryser innan täck</v>
      </c>
      <c r="L80">
        <f t="shared" si="3"/>
        <v>11</v>
      </c>
      <c r="M80" s="36">
        <f t="shared" si="2"/>
        <v>36</v>
      </c>
    </row>
    <row r="81" spans="8:13" x14ac:dyDescent="0.25">
      <c r="H81" s="27">
        <v>-20</v>
      </c>
      <c r="I81" s="3">
        <v>7</v>
      </c>
      <c r="J81" s="35"/>
      <c r="K81" t="str">
        <f>'Bjälklag (10% slagg)'!M44</f>
        <v>-----Fryser innan täck</v>
      </c>
      <c r="L81">
        <f t="shared" si="3"/>
        <v>11</v>
      </c>
      <c r="M81" s="36">
        <f t="shared" si="2"/>
        <v>36</v>
      </c>
    </row>
    <row r="82" spans="8:13" x14ac:dyDescent="0.25">
      <c r="H82" s="26">
        <v>-20</v>
      </c>
      <c r="I82" s="4">
        <v>12</v>
      </c>
      <c r="K82" t="str">
        <f>'Bjälklag (10% slagg)'!M45</f>
        <v>-----Fryser innan täck</v>
      </c>
      <c r="L82">
        <f t="shared" si="3"/>
        <v>11</v>
      </c>
      <c r="M82" s="36">
        <f t="shared" si="2"/>
        <v>36</v>
      </c>
    </row>
    <row r="83" spans="8:13" ht="15.75" thickBot="1" x14ac:dyDescent="0.3">
      <c r="H83" s="28">
        <v>-20</v>
      </c>
      <c r="I83" s="29">
        <v>20</v>
      </c>
      <c r="J83" s="35"/>
      <c r="K83" t="str">
        <f>'Bjälklag (10% slagg)'!M46</f>
        <v>-----Fryser innan täck</v>
      </c>
      <c r="L83">
        <f t="shared" si="3"/>
        <v>11</v>
      </c>
      <c r="M83" s="36">
        <f t="shared" si="2"/>
        <v>36</v>
      </c>
    </row>
    <row r="84" spans="8:13" x14ac:dyDescent="0.25">
      <c r="H84" s="24">
        <v>20</v>
      </c>
      <c r="I84" s="25">
        <v>0</v>
      </c>
      <c r="J84" s="35"/>
      <c r="K84">
        <f>'Bjälklag (20% slagg)'!K2</f>
        <v>0</v>
      </c>
      <c r="L84">
        <f t="shared" si="3"/>
        <v>16</v>
      </c>
      <c r="M84" s="36">
        <f t="shared" si="2"/>
        <v>52</v>
      </c>
    </row>
    <row r="85" spans="8:13" x14ac:dyDescent="0.25">
      <c r="H85" s="26">
        <v>20</v>
      </c>
      <c r="I85" s="4">
        <v>2</v>
      </c>
      <c r="K85">
        <f>'Bjälklag (20% slagg)'!K3</f>
        <v>0</v>
      </c>
      <c r="L85">
        <f t="shared" si="3"/>
        <v>16</v>
      </c>
      <c r="M85" s="36">
        <f t="shared" si="2"/>
        <v>52</v>
      </c>
    </row>
    <row r="86" spans="8:13" x14ac:dyDescent="0.25">
      <c r="H86" s="27">
        <v>20</v>
      </c>
      <c r="I86" s="3">
        <v>7</v>
      </c>
      <c r="J86" s="35"/>
      <c r="K86">
        <f>'Bjälklag (20% slagg)'!K4</f>
        <v>0</v>
      </c>
      <c r="L86">
        <f t="shared" si="3"/>
        <v>16</v>
      </c>
      <c r="M86" s="36">
        <f t="shared" si="2"/>
        <v>52</v>
      </c>
    </row>
    <row r="87" spans="8:13" x14ac:dyDescent="0.25">
      <c r="H87" s="26">
        <v>20</v>
      </c>
      <c r="I87" s="4">
        <v>12</v>
      </c>
      <c r="K87">
        <f>'Bjälklag (20% slagg)'!K5</f>
        <v>0</v>
      </c>
      <c r="L87">
        <f t="shared" si="3"/>
        <v>16</v>
      </c>
      <c r="M87" s="36">
        <f t="shared" si="2"/>
        <v>52</v>
      </c>
    </row>
    <row r="88" spans="8:13" ht="15.75" thickBot="1" x14ac:dyDescent="0.3">
      <c r="H88" s="28">
        <v>20</v>
      </c>
      <c r="I88" s="29">
        <v>20</v>
      </c>
      <c r="J88" s="35"/>
      <c r="K88">
        <f>'Bjälklag (20% slagg)'!K6</f>
        <v>0</v>
      </c>
      <c r="L88">
        <f t="shared" si="3"/>
        <v>16</v>
      </c>
      <c r="M88" s="36">
        <f t="shared" si="2"/>
        <v>52</v>
      </c>
    </row>
    <row r="89" spans="8:13" x14ac:dyDescent="0.25">
      <c r="H89" s="30">
        <v>15</v>
      </c>
      <c r="I89" s="31">
        <v>0</v>
      </c>
      <c r="K89">
        <f>'Bjälklag (20% slagg)'!K7</f>
        <v>0</v>
      </c>
      <c r="L89">
        <f t="shared" si="3"/>
        <v>16</v>
      </c>
      <c r="M89" s="36">
        <f t="shared" si="2"/>
        <v>52</v>
      </c>
    </row>
    <row r="90" spans="8:13" x14ac:dyDescent="0.25">
      <c r="H90" s="27">
        <v>15</v>
      </c>
      <c r="I90" s="3">
        <v>2</v>
      </c>
      <c r="J90" s="35"/>
      <c r="K90">
        <f>'Bjälklag (20% slagg)'!K8</f>
        <v>0</v>
      </c>
      <c r="L90">
        <f t="shared" si="3"/>
        <v>16</v>
      </c>
      <c r="M90" s="36">
        <f t="shared" si="2"/>
        <v>52</v>
      </c>
    </row>
    <row r="91" spans="8:13" x14ac:dyDescent="0.25">
      <c r="H91" s="26">
        <v>15</v>
      </c>
      <c r="I91" s="4">
        <v>7</v>
      </c>
      <c r="K91">
        <f>'Bjälklag (20% slagg)'!K9</f>
        <v>0</v>
      </c>
      <c r="L91">
        <f t="shared" si="3"/>
        <v>16</v>
      </c>
      <c r="M91" s="36">
        <f t="shared" si="2"/>
        <v>52</v>
      </c>
    </row>
    <row r="92" spans="8:13" x14ac:dyDescent="0.25">
      <c r="H92" s="27">
        <v>15</v>
      </c>
      <c r="I92" s="3">
        <v>12</v>
      </c>
      <c r="J92" s="35"/>
      <c r="K92">
        <f>'Bjälklag (20% slagg)'!K10</f>
        <v>0</v>
      </c>
      <c r="L92">
        <f t="shared" si="3"/>
        <v>16</v>
      </c>
      <c r="M92" s="36">
        <f t="shared" si="2"/>
        <v>52</v>
      </c>
    </row>
    <row r="93" spans="8:13" ht="15.75" thickBot="1" x14ac:dyDescent="0.3">
      <c r="H93" s="32">
        <v>15</v>
      </c>
      <c r="I93" s="33">
        <v>20</v>
      </c>
      <c r="K93">
        <f>'Bjälklag (20% slagg)'!K11</f>
        <v>0</v>
      </c>
      <c r="L93">
        <f t="shared" si="3"/>
        <v>16</v>
      </c>
      <c r="M93" s="36">
        <f t="shared" si="2"/>
        <v>52</v>
      </c>
    </row>
    <row r="94" spans="8:13" x14ac:dyDescent="0.25">
      <c r="H94" s="24">
        <v>10</v>
      </c>
      <c r="I94" s="25">
        <v>0</v>
      </c>
      <c r="J94" s="35"/>
      <c r="K94">
        <f>'Bjälklag (20% slagg)'!K12</f>
        <v>0</v>
      </c>
      <c r="L94">
        <f t="shared" si="3"/>
        <v>16</v>
      </c>
      <c r="M94" s="36">
        <f t="shared" si="2"/>
        <v>52</v>
      </c>
    </row>
    <row r="95" spans="8:13" x14ac:dyDescent="0.25">
      <c r="H95" s="26">
        <v>10</v>
      </c>
      <c r="I95" s="4">
        <v>2</v>
      </c>
      <c r="K95">
        <f>'Bjälklag (20% slagg)'!K13</f>
        <v>0</v>
      </c>
      <c r="L95">
        <f t="shared" si="3"/>
        <v>16</v>
      </c>
      <c r="M95" s="36">
        <f t="shared" si="2"/>
        <v>52</v>
      </c>
    </row>
    <row r="96" spans="8:13" x14ac:dyDescent="0.25">
      <c r="H96" s="27">
        <v>10</v>
      </c>
      <c r="I96" s="3">
        <v>7</v>
      </c>
      <c r="J96" s="35"/>
      <c r="K96">
        <f>'Bjälklag (20% slagg)'!K14</f>
        <v>0</v>
      </c>
      <c r="L96">
        <f t="shared" si="3"/>
        <v>16</v>
      </c>
      <c r="M96" s="36">
        <f t="shared" si="2"/>
        <v>52</v>
      </c>
    </row>
    <row r="97" spans="8:13" x14ac:dyDescent="0.25">
      <c r="H97" s="26">
        <v>10</v>
      </c>
      <c r="I97" s="4">
        <v>12</v>
      </c>
      <c r="K97">
        <f>'Bjälklag (20% slagg)'!K15</f>
        <v>0</v>
      </c>
      <c r="L97">
        <f t="shared" si="3"/>
        <v>16</v>
      </c>
      <c r="M97" s="36">
        <f t="shared" si="2"/>
        <v>52</v>
      </c>
    </row>
    <row r="98" spans="8:13" ht="15.75" thickBot="1" x14ac:dyDescent="0.3">
      <c r="H98" s="28">
        <v>10</v>
      </c>
      <c r="I98" s="29">
        <v>20</v>
      </c>
      <c r="J98" s="35"/>
      <c r="K98">
        <f>'Bjälklag (20% slagg)'!K16</f>
        <v>0</v>
      </c>
      <c r="L98">
        <f t="shared" si="3"/>
        <v>16</v>
      </c>
      <c r="M98" s="36">
        <f t="shared" si="2"/>
        <v>52</v>
      </c>
    </row>
    <row r="99" spans="8:13" x14ac:dyDescent="0.25">
      <c r="H99" s="30">
        <v>5</v>
      </c>
      <c r="I99" s="31">
        <v>0</v>
      </c>
      <c r="K99">
        <f>'Bjälklag (20% slagg)'!K17</f>
        <v>0</v>
      </c>
      <c r="L99">
        <f t="shared" si="3"/>
        <v>16</v>
      </c>
      <c r="M99" s="36">
        <f t="shared" si="2"/>
        <v>52</v>
      </c>
    </row>
    <row r="100" spans="8:13" x14ac:dyDescent="0.25">
      <c r="H100" s="27">
        <v>5</v>
      </c>
      <c r="I100" s="3">
        <v>2</v>
      </c>
      <c r="J100" s="35"/>
      <c r="K100">
        <f>'Bjälklag (20% slagg)'!K18</f>
        <v>0</v>
      </c>
      <c r="L100">
        <f t="shared" si="3"/>
        <v>16</v>
      </c>
      <c r="M100" s="36">
        <f t="shared" si="2"/>
        <v>52</v>
      </c>
    </row>
    <row r="101" spans="8:13" x14ac:dyDescent="0.25">
      <c r="H101" s="26">
        <v>5</v>
      </c>
      <c r="I101" s="4">
        <v>7</v>
      </c>
      <c r="K101">
        <f>'Bjälklag (20% slagg)'!K19</f>
        <v>0</v>
      </c>
      <c r="L101">
        <f t="shared" si="3"/>
        <v>16</v>
      </c>
      <c r="M101" s="36">
        <f t="shared" si="2"/>
        <v>52</v>
      </c>
    </row>
    <row r="102" spans="8:13" x14ac:dyDescent="0.25">
      <c r="H102" s="27">
        <v>5</v>
      </c>
      <c r="I102" s="3">
        <v>12</v>
      </c>
      <c r="J102" s="35"/>
      <c r="K102">
        <f>'Bjälklag (20% slagg)'!K20</f>
        <v>0</v>
      </c>
      <c r="L102">
        <f t="shared" si="3"/>
        <v>16</v>
      </c>
      <c r="M102" s="36">
        <f t="shared" si="2"/>
        <v>52</v>
      </c>
    </row>
    <row r="103" spans="8:13" ht="15.75" thickBot="1" x14ac:dyDescent="0.3">
      <c r="H103" s="32">
        <v>5</v>
      </c>
      <c r="I103" s="33">
        <v>20</v>
      </c>
      <c r="K103">
        <f>'Bjälklag (20% slagg)'!K21</f>
        <v>0</v>
      </c>
      <c r="L103">
        <f t="shared" ref="L103:L134" si="4">MATCH(K103, _xlfn.UNIQUE($K$39:$K$218), 0)</f>
        <v>16</v>
      </c>
      <c r="M103" s="36">
        <f t="shared" si="2"/>
        <v>52</v>
      </c>
    </row>
    <row r="104" spans="8:13" x14ac:dyDescent="0.25">
      <c r="H104" s="24">
        <v>0</v>
      </c>
      <c r="I104" s="25">
        <v>0</v>
      </c>
      <c r="J104" s="35"/>
      <c r="K104">
        <f>'Bjälklag (20% slagg)'!K22</f>
        <v>0</v>
      </c>
      <c r="L104">
        <f t="shared" si="4"/>
        <v>16</v>
      </c>
      <c r="M104" s="36">
        <f t="shared" si="2"/>
        <v>52</v>
      </c>
    </row>
    <row r="105" spans="8:13" x14ac:dyDescent="0.25">
      <c r="H105" s="26">
        <v>0</v>
      </c>
      <c r="I105" s="4">
        <v>2</v>
      </c>
      <c r="K105">
        <f>'Bjälklag (20% slagg)'!K23</f>
        <v>0</v>
      </c>
      <c r="L105">
        <f t="shared" si="4"/>
        <v>16</v>
      </c>
      <c r="M105" s="36">
        <f t="shared" si="2"/>
        <v>52</v>
      </c>
    </row>
    <row r="106" spans="8:13" x14ac:dyDescent="0.25">
      <c r="H106" s="27">
        <v>0</v>
      </c>
      <c r="I106" s="3">
        <v>7</v>
      </c>
      <c r="J106" s="35"/>
      <c r="K106">
        <f>'Bjälklag (20% slagg)'!K24</f>
        <v>0</v>
      </c>
      <c r="L106">
        <f t="shared" si="4"/>
        <v>16</v>
      </c>
      <c r="M106" s="36">
        <f t="shared" si="2"/>
        <v>52</v>
      </c>
    </row>
    <row r="107" spans="8:13" x14ac:dyDescent="0.25">
      <c r="H107" s="26">
        <v>0</v>
      </c>
      <c r="I107" s="4">
        <v>12</v>
      </c>
      <c r="K107">
        <f>'Bjälklag (20% slagg)'!K25</f>
        <v>0</v>
      </c>
      <c r="L107">
        <f t="shared" si="4"/>
        <v>16</v>
      </c>
      <c r="M107" s="36">
        <f t="shared" si="2"/>
        <v>52</v>
      </c>
    </row>
    <row r="108" spans="8:13" ht="15.75" thickBot="1" x14ac:dyDescent="0.3">
      <c r="H108" s="28">
        <v>0</v>
      </c>
      <c r="I108" s="29">
        <v>20</v>
      </c>
      <c r="J108" s="35"/>
      <c r="K108">
        <f>'Bjälklag (20% slagg)'!K26</f>
        <v>0</v>
      </c>
      <c r="L108">
        <f t="shared" si="4"/>
        <v>16</v>
      </c>
      <c r="M108" s="36">
        <f t="shared" si="2"/>
        <v>52</v>
      </c>
    </row>
    <row r="109" spans="8:13" x14ac:dyDescent="0.25">
      <c r="H109" s="30">
        <v>-5</v>
      </c>
      <c r="I109" s="31">
        <v>0</v>
      </c>
      <c r="K109">
        <f>'Bjälklag (20% slagg)'!K27</f>
        <v>0</v>
      </c>
      <c r="L109">
        <f t="shared" si="4"/>
        <v>16</v>
      </c>
      <c r="M109" s="36">
        <f t="shared" si="2"/>
        <v>52</v>
      </c>
    </row>
    <row r="110" spans="8:13" x14ac:dyDescent="0.25">
      <c r="H110" s="27">
        <v>-5</v>
      </c>
      <c r="I110" s="3">
        <v>2</v>
      </c>
      <c r="J110" s="35"/>
      <c r="K110">
        <f>'Bjälklag (20% slagg)'!K28</f>
        <v>0</v>
      </c>
      <c r="L110">
        <f t="shared" si="4"/>
        <v>16</v>
      </c>
      <c r="M110" s="36">
        <f t="shared" si="2"/>
        <v>52</v>
      </c>
    </row>
    <row r="111" spans="8:13" x14ac:dyDescent="0.25">
      <c r="H111" s="26">
        <v>-5</v>
      </c>
      <c r="I111" s="4">
        <v>7</v>
      </c>
      <c r="K111">
        <f>'Bjälklag (20% slagg)'!K29</f>
        <v>0</v>
      </c>
      <c r="L111">
        <f t="shared" si="4"/>
        <v>16</v>
      </c>
      <c r="M111" s="36">
        <f t="shared" si="2"/>
        <v>52</v>
      </c>
    </row>
    <row r="112" spans="8:13" x14ac:dyDescent="0.25">
      <c r="H112" s="27">
        <v>-5</v>
      </c>
      <c r="I112" s="3">
        <v>12</v>
      </c>
      <c r="J112" s="35"/>
      <c r="K112">
        <f>'Bjälklag (20% slagg)'!K30</f>
        <v>0</v>
      </c>
      <c r="L112">
        <f t="shared" si="4"/>
        <v>16</v>
      </c>
      <c r="M112" s="36">
        <f t="shared" si="2"/>
        <v>52</v>
      </c>
    </row>
    <row r="113" spans="8:13" ht="15.75" thickBot="1" x14ac:dyDescent="0.3">
      <c r="H113" s="32">
        <v>-5</v>
      </c>
      <c r="I113" s="33">
        <v>20</v>
      </c>
      <c r="K113">
        <f>'Bjälklag (20% slagg)'!K31</f>
        <v>0</v>
      </c>
      <c r="L113">
        <f t="shared" si="4"/>
        <v>16</v>
      </c>
      <c r="M113" s="36">
        <f t="shared" si="2"/>
        <v>52</v>
      </c>
    </row>
    <row r="114" spans="8:13" x14ac:dyDescent="0.25">
      <c r="H114" s="24">
        <v>-10</v>
      </c>
      <c r="I114" s="25">
        <v>0</v>
      </c>
      <c r="J114" s="35"/>
      <c r="K114">
        <f>'Bjälklag (20% slagg)'!K32</f>
        <v>0</v>
      </c>
      <c r="L114">
        <f t="shared" si="4"/>
        <v>16</v>
      </c>
      <c r="M114" s="36">
        <f t="shared" si="2"/>
        <v>52</v>
      </c>
    </row>
    <row r="115" spans="8:13" x14ac:dyDescent="0.25">
      <c r="H115" s="26">
        <v>-10</v>
      </c>
      <c r="I115" s="4">
        <v>2</v>
      </c>
      <c r="K115">
        <f>'Bjälklag (20% slagg)'!K33</f>
        <v>0</v>
      </c>
      <c r="L115">
        <f t="shared" si="4"/>
        <v>16</v>
      </c>
      <c r="M115" s="36">
        <f t="shared" si="2"/>
        <v>52</v>
      </c>
    </row>
    <row r="116" spans="8:13" x14ac:dyDescent="0.25">
      <c r="H116" s="27">
        <v>-10</v>
      </c>
      <c r="I116" s="3">
        <v>7</v>
      </c>
      <c r="J116" s="35"/>
      <c r="K116">
        <f>'Bjälklag (20% slagg)'!K34</f>
        <v>0</v>
      </c>
      <c r="L116">
        <f t="shared" si="4"/>
        <v>16</v>
      </c>
      <c r="M116" s="36">
        <f t="shared" si="2"/>
        <v>52</v>
      </c>
    </row>
    <row r="117" spans="8:13" x14ac:dyDescent="0.25">
      <c r="H117" s="26">
        <v>-10</v>
      </c>
      <c r="I117" s="4">
        <v>12</v>
      </c>
      <c r="K117">
        <f>'Bjälklag (20% slagg)'!K35</f>
        <v>0</v>
      </c>
      <c r="L117">
        <f t="shared" si="4"/>
        <v>16</v>
      </c>
      <c r="M117" s="36">
        <f t="shared" si="2"/>
        <v>52</v>
      </c>
    </row>
    <row r="118" spans="8:13" ht="15.75" thickBot="1" x14ac:dyDescent="0.3">
      <c r="H118" s="28">
        <v>-10</v>
      </c>
      <c r="I118" s="29">
        <v>20</v>
      </c>
      <c r="J118" s="35"/>
      <c r="K118">
        <f>'Bjälklag (20% slagg)'!K36</f>
        <v>0</v>
      </c>
      <c r="L118">
        <f t="shared" si="4"/>
        <v>16</v>
      </c>
      <c r="M118" s="36">
        <f t="shared" si="2"/>
        <v>52</v>
      </c>
    </row>
    <row r="119" spans="8:13" x14ac:dyDescent="0.25">
      <c r="H119" s="30">
        <v>-15</v>
      </c>
      <c r="I119" s="31">
        <v>0</v>
      </c>
      <c r="K119">
        <f>'Bjälklag (20% slagg)'!K37</f>
        <v>0</v>
      </c>
      <c r="L119">
        <f t="shared" si="4"/>
        <v>16</v>
      </c>
      <c r="M119" s="36">
        <f t="shared" si="2"/>
        <v>52</v>
      </c>
    </row>
    <row r="120" spans="8:13" x14ac:dyDescent="0.25">
      <c r="H120" s="27">
        <v>-15</v>
      </c>
      <c r="I120" s="3">
        <v>2</v>
      </c>
      <c r="J120" s="35"/>
      <c r="K120">
        <f>'Bjälklag (20% slagg)'!K38</f>
        <v>0</v>
      </c>
      <c r="L120">
        <f t="shared" si="4"/>
        <v>16</v>
      </c>
      <c r="M120" s="36">
        <f t="shared" si="2"/>
        <v>52</v>
      </c>
    </row>
    <row r="121" spans="8:13" x14ac:dyDescent="0.25">
      <c r="H121" s="26">
        <v>-15</v>
      </c>
      <c r="I121" s="4">
        <v>7</v>
      </c>
      <c r="K121">
        <f>'Bjälklag (20% slagg)'!K39</f>
        <v>0</v>
      </c>
      <c r="L121">
        <f t="shared" si="4"/>
        <v>16</v>
      </c>
      <c r="M121" s="36">
        <f t="shared" si="2"/>
        <v>52</v>
      </c>
    </row>
    <row r="122" spans="8:13" x14ac:dyDescent="0.25">
      <c r="H122" s="27">
        <v>-15</v>
      </c>
      <c r="I122" s="3">
        <v>12</v>
      </c>
      <c r="J122" s="35"/>
      <c r="K122">
        <f>'Bjälklag (20% slagg)'!K40</f>
        <v>0</v>
      </c>
      <c r="L122">
        <f t="shared" si="4"/>
        <v>16</v>
      </c>
      <c r="M122" s="36">
        <f t="shared" si="2"/>
        <v>52</v>
      </c>
    </row>
    <row r="123" spans="8:13" ht="15.75" thickBot="1" x14ac:dyDescent="0.3">
      <c r="H123" s="32">
        <v>-15</v>
      </c>
      <c r="I123" s="33">
        <v>20</v>
      </c>
      <c r="K123">
        <f>'Bjälklag (20% slagg)'!K41</f>
        <v>0</v>
      </c>
      <c r="L123">
        <f t="shared" si="4"/>
        <v>16</v>
      </c>
      <c r="M123" s="36">
        <f t="shared" si="2"/>
        <v>52</v>
      </c>
    </row>
    <row r="124" spans="8:13" x14ac:dyDescent="0.25">
      <c r="H124" s="24">
        <v>-20</v>
      </c>
      <c r="I124" s="25">
        <v>0</v>
      </c>
      <c r="J124" s="35"/>
      <c r="K124">
        <f>'Bjälklag (20% slagg)'!K42</f>
        <v>0</v>
      </c>
      <c r="L124">
        <f t="shared" si="4"/>
        <v>16</v>
      </c>
      <c r="M124" s="36">
        <f t="shared" si="2"/>
        <v>52</v>
      </c>
    </row>
    <row r="125" spans="8:13" x14ac:dyDescent="0.25">
      <c r="H125" s="26">
        <v>-20</v>
      </c>
      <c r="I125" s="4">
        <v>2</v>
      </c>
      <c r="K125">
        <f>'Bjälklag (20% slagg)'!K43</f>
        <v>0</v>
      </c>
      <c r="L125">
        <f t="shared" si="4"/>
        <v>16</v>
      </c>
      <c r="M125" s="36">
        <f t="shared" si="2"/>
        <v>52</v>
      </c>
    </row>
    <row r="126" spans="8:13" x14ac:dyDescent="0.25">
      <c r="H126" s="27">
        <v>-20</v>
      </c>
      <c r="I126" s="3">
        <v>7</v>
      </c>
      <c r="J126" s="35"/>
      <c r="K126">
        <f>'Bjälklag (20% slagg)'!K44</f>
        <v>0</v>
      </c>
      <c r="L126">
        <f t="shared" si="4"/>
        <v>16</v>
      </c>
      <c r="M126" s="36">
        <f t="shared" si="2"/>
        <v>52</v>
      </c>
    </row>
    <row r="127" spans="8:13" x14ac:dyDescent="0.25">
      <c r="H127" s="26">
        <v>-20</v>
      </c>
      <c r="I127" s="4">
        <v>12</v>
      </c>
      <c r="K127">
        <f>'Bjälklag (20% slagg)'!K45</f>
        <v>0</v>
      </c>
      <c r="L127">
        <f t="shared" si="4"/>
        <v>16</v>
      </c>
      <c r="M127" s="36">
        <f t="shared" si="2"/>
        <v>52</v>
      </c>
    </row>
    <row r="128" spans="8:13" ht="15.75" thickBot="1" x14ac:dyDescent="0.3">
      <c r="H128" s="28">
        <v>-20</v>
      </c>
      <c r="I128" s="29">
        <v>20</v>
      </c>
      <c r="J128" s="35"/>
      <c r="K128">
        <f>'Bjälklag (20% slagg)'!K46</f>
        <v>0</v>
      </c>
      <c r="L128">
        <f t="shared" si="4"/>
        <v>16</v>
      </c>
      <c r="M128" s="36">
        <f t="shared" si="2"/>
        <v>52</v>
      </c>
    </row>
    <row r="129" spans="8:13" x14ac:dyDescent="0.25">
      <c r="H129" s="24">
        <v>20</v>
      </c>
      <c r="I129" s="25">
        <v>0</v>
      </c>
      <c r="J129" s="35"/>
      <c r="K129">
        <f>'Bjälklag (30% slagg)'!K2</f>
        <v>0</v>
      </c>
      <c r="L129">
        <f t="shared" si="4"/>
        <v>16</v>
      </c>
      <c r="M129" s="36">
        <f t="shared" si="2"/>
        <v>52</v>
      </c>
    </row>
    <row r="130" spans="8:13" x14ac:dyDescent="0.25">
      <c r="H130" s="26">
        <v>20</v>
      </c>
      <c r="I130" s="4">
        <v>2</v>
      </c>
      <c r="K130">
        <f>'Bjälklag (30% slagg)'!K3</f>
        <v>0</v>
      </c>
      <c r="L130">
        <f t="shared" si="4"/>
        <v>16</v>
      </c>
      <c r="M130" s="36">
        <f t="shared" ref="M130:M193" si="5">MATCH(K130, _xlfn.UNIQUE($K$2:$K$218), 0)</f>
        <v>52</v>
      </c>
    </row>
    <row r="131" spans="8:13" x14ac:dyDescent="0.25">
      <c r="H131" s="27">
        <v>20</v>
      </c>
      <c r="I131" s="3">
        <v>7</v>
      </c>
      <c r="J131" s="35"/>
      <c r="K131">
        <f>'Bjälklag (30% slagg)'!K4</f>
        <v>0</v>
      </c>
      <c r="L131">
        <f t="shared" si="4"/>
        <v>16</v>
      </c>
      <c r="M131" s="36">
        <f t="shared" si="5"/>
        <v>52</v>
      </c>
    </row>
    <row r="132" spans="8:13" x14ac:dyDescent="0.25">
      <c r="H132" s="26">
        <v>20</v>
      </c>
      <c r="I132" s="4">
        <v>12</v>
      </c>
      <c r="K132">
        <f>'Bjälklag (30% slagg)'!K5</f>
        <v>0</v>
      </c>
      <c r="L132">
        <f t="shared" si="4"/>
        <v>16</v>
      </c>
      <c r="M132" s="36">
        <f t="shared" si="5"/>
        <v>52</v>
      </c>
    </row>
    <row r="133" spans="8:13" ht="15.75" thickBot="1" x14ac:dyDescent="0.3">
      <c r="H133" s="28">
        <v>20</v>
      </c>
      <c r="I133" s="29">
        <v>20</v>
      </c>
      <c r="J133" s="35"/>
      <c r="K133">
        <f>'Bjälklag (30% slagg)'!K6</f>
        <v>0</v>
      </c>
      <c r="L133">
        <f t="shared" si="4"/>
        <v>16</v>
      </c>
      <c r="M133" s="36">
        <f t="shared" si="5"/>
        <v>52</v>
      </c>
    </row>
    <row r="134" spans="8:13" x14ac:dyDescent="0.25">
      <c r="H134" s="30">
        <v>15</v>
      </c>
      <c r="I134" s="31">
        <v>0</v>
      </c>
      <c r="K134">
        <f>'Bjälklag (30% slagg)'!K7</f>
        <v>0</v>
      </c>
      <c r="L134">
        <f t="shared" si="4"/>
        <v>16</v>
      </c>
      <c r="M134" s="36">
        <f t="shared" si="5"/>
        <v>52</v>
      </c>
    </row>
    <row r="135" spans="8:13" x14ac:dyDescent="0.25">
      <c r="H135" s="27">
        <v>15</v>
      </c>
      <c r="I135" s="3">
        <v>2</v>
      </c>
      <c r="J135" s="35"/>
      <c r="K135">
        <f>'Bjälklag (30% slagg)'!K8</f>
        <v>0</v>
      </c>
      <c r="L135">
        <f t="shared" ref="L135:L166" si="6">MATCH(K135, _xlfn.UNIQUE($K$39:$K$218), 0)</f>
        <v>16</v>
      </c>
      <c r="M135" s="36">
        <f t="shared" si="5"/>
        <v>52</v>
      </c>
    </row>
    <row r="136" spans="8:13" x14ac:dyDescent="0.25">
      <c r="H136" s="26">
        <v>15</v>
      </c>
      <c r="I136" s="4">
        <v>7</v>
      </c>
      <c r="K136">
        <f>'Bjälklag (30% slagg)'!K9</f>
        <v>0</v>
      </c>
      <c r="L136">
        <f t="shared" si="6"/>
        <v>16</v>
      </c>
      <c r="M136" s="36">
        <f t="shared" si="5"/>
        <v>52</v>
      </c>
    </row>
    <row r="137" spans="8:13" x14ac:dyDescent="0.25">
      <c r="H137" s="27">
        <v>15</v>
      </c>
      <c r="I137" s="3">
        <v>12</v>
      </c>
      <c r="J137" s="35"/>
      <c r="K137">
        <f>'Bjälklag (30% slagg)'!K10</f>
        <v>0</v>
      </c>
      <c r="L137">
        <f t="shared" si="6"/>
        <v>16</v>
      </c>
      <c r="M137" s="36">
        <f t="shared" si="5"/>
        <v>52</v>
      </c>
    </row>
    <row r="138" spans="8:13" ht="15.75" thickBot="1" x14ac:dyDescent="0.3">
      <c r="H138" s="32">
        <v>15</v>
      </c>
      <c r="I138" s="33">
        <v>20</v>
      </c>
      <c r="K138">
        <f>'Bjälklag (30% slagg)'!K11</f>
        <v>0</v>
      </c>
      <c r="L138">
        <f t="shared" si="6"/>
        <v>16</v>
      </c>
      <c r="M138" s="36">
        <f t="shared" si="5"/>
        <v>52</v>
      </c>
    </row>
    <row r="139" spans="8:13" x14ac:dyDescent="0.25">
      <c r="H139" s="24">
        <v>10</v>
      </c>
      <c r="I139" s="25">
        <v>0</v>
      </c>
      <c r="J139" s="35"/>
      <c r="K139">
        <f>'Bjälklag (30% slagg)'!K12</f>
        <v>0</v>
      </c>
      <c r="L139">
        <f t="shared" si="6"/>
        <v>16</v>
      </c>
      <c r="M139" s="36">
        <f t="shared" si="5"/>
        <v>52</v>
      </c>
    </row>
    <row r="140" spans="8:13" x14ac:dyDescent="0.25">
      <c r="H140" s="26">
        <v>10</v>
      </c>
      <c r="I140" s="4">
        <v>2</v>
      </c>
      <c r="K140">
        <f>'Bjälklag (30% slagg)'!K13</f>
        <v>0</v>
      </c>
      <c r="L140">
        <f t="shared" si="6"/>
        <v>16</v>
      </c>
      <c r="M140" s="36">
        <f t="shared" si="5"/>
        <v>52</v>
      </c>
    </row>
    <row r="141" spans="8:13" x14ac:dyDescent="0.25">
      <c r="H141" s="27">
        <v>10</v>
      </c>
      <c r="I141" s="3">
        <v>7</v>
      </c>
      <c r="J141" s="35"/>
      <c r="K141">
        <f>'Bjälklag (30% slagg)'!K14</f>
        <v>0</v>
      </c>
      <c r="L141">
        <f t="shared" si="6"/>
        <v>16</v>
      </c>
      <c r="M141" s="36">
        <f t="shared" si="5"/>
        <v>52</v>
      </c>
    </row>
    <row r="142" spans="8:13" x14ac:dyDescent="0.25">
      <c r="H142" s="26">
        <v>10</v>
      </c>
      <c r="I142" s="4">
        <v>12</v>
      </c>
      <c r="K142">
        <f>'Bjälklag (30% slagg)'!K15</f>
        <v>0</v>
      </c>
      <c r="L142">
        <f t="shared" si="6"/>
        <v>16</v>
      </c>
      <c r="M142" s="36">
        <f t="shared" si="5"/>
        <v>52</v>
      </c>
    </row>
    <row r="143" spans="8:13" ht="15.75" thickBot="1" x14ac:dyDescent="0.3">
      <c r="H143" s="28">
        <v>10</v>
      </c>
      <c r="I143" s="29">
        <v>20</v>
      </c>
      <c r="J143" s="35"/>
      <c r="K143">
        <f>'Bjälklag (30% slagg)'!K16</f>
        <v>0</v>
      </c>
      <c r="L143">
        <f t="shared" si="6"/>
        <v>16</v>
      </c>
      <c r="M143" s="36">
        <f t="shared" si="5"/>
        <v>52</v>
      </c>
    </row>
    <row r="144" spans="8:13" x14ac:dyDescent="0.25">
      <c r="H144" s="30">
        <v>5</v>
      </c>
      <c r="I144" s="31">
        <v>0</v>
      </c>
      <c r="K144">
        <f>'Bjälklag (30% slagg)'!K17</f>
        <v>0</v>
      </c>
      <c r="L144">
        <f t="shared" si="6"/>
        <v>16</v>
      </c>
      <c r="M144" s="36">
        <f t="shared" si="5"/>
        <v>52</v>
      </c>
    </row>
    <row r="145" spans="8:13" x14ac:dyDescent="0.25">
      <c r="H145" s="27">
        <v>5</v>
      </c>
      <c r="I145" s="3">
        <v>2</v>
      </c>
      <c r="J145" s="35"/>
      <c r="K145">
        <f>'Bjälklag (30% slagg)'!K18</f>
        <v>0</v>
      </c>
      <c r="L145">
        <f t="shared" si="6"/>
        <v>16</v>
      </c>
      <c r="M145" s="36">
        <f t="shared" si="5"/>
        <v>52</v>
      </c>
    </row>
    <row r="146" spans="8:13" x14ac:dyDescent="0.25">
      <c r="H146" s="26">
        <v>5</v>
      </c>
      <c r="I146" s="4">
        <v>7</v>
      </c>
      <c r="K146">
        <f>'Bjälklag (30% slagg)'!K19</f>
        <v>0</v>
      </c>
      <c r="L146">
        <f t="shared" si="6"/>
        <v>16</v>
      </c>
      <c r="M146" s="36">
        <f t="shared" si="5"/>
        <v>52</v>
      </c>
    </row>
    <row r="147" spans="8:13" x14ac:dyDescent="0.25">
      <c r="H147" s="27">
        <v>5</v>
      </c>
      <c r="I147" s="3">
        <v>12</v>
      </c>
      <c r="J147" s="35"/>
      <c r="K147">
        <f>'Bjälklag (30% slagg)'!K20</f>
        <v>0</v>
      </c>
      <c r="L147">
        <f t="shared" si="6"/>
        <v>16</v>
      </c>
      <c r="M147" s="36">
        <f t="shared" si="5"/>
        <v>52</v>
      </c>
    </row>
    <row r="148" spans="8:13" ht="15.75" thickBot="1" x14ac:dyDescent="0.3">
      <c r="H148" s="32">
        <v>5</v>
      </c>
      <c r="I148" s="33">
        <v>20</v>
      </c>
      <c r="K148">
        <f>'Bjälklag (30% slagg)'!K21</f>
        <v>0</v>
      </c>
      <c r="L148">
        <f t="shared" si="6"/>
        <v>16</v>
      </c>
      <c r="M148" s="36">
        <f t="shared" si="5"/>
        <v>52</v>
      </c>
    </row>
    <row r="149" spans="8:13" x14ac:dyDescent="0.25">
      <c r="H149" s="24">
        <v>0</v>
      </c>
      <c r="I149" s="25">
        <v>0</v>
      </c>
      <c r="J149" s="35"/>
      <c r="K149">
        <f>'Bjälklag (30% slagg)'!K22</f>
        <v>0</v>
      </c>
      <c r="L149">
        <f t="shared" si="6"/>
        <v>16</v>
      </c>
      <c r="M149" s="36">
        <f t="shared" si="5"/>
        <v>52</v>
      </c>
    </row>
    <row r="150" spans="8:13" x14ac:dyDescent="0.25">
      <c r="H150" s="26">
        <v>0</v>
      </c>
      <c r="I150" s="4">
        <v>2</v>
      </c>
      <c r="K150">
        <f>'Bjälklag (30% slagg)'!K23</f>
        <v>0</v>
      </c>
      <c r="L150">
        <f t="shared" si="6"/>
        <v>16</v>
      </c>
      <c r="M150" s="36">
        <f t="shared" si="5"/>
        <v>52</v>
      </c>
    </row>
    <row r="151" spans="8:13" x14ac:dyDescent="0.25">
      <c r="H151" s="27">
        <v>0</v>
      </c>
      <c r="I151" s="3">
        <v>7</v>
      </c>
      <c r="J151" s="35"/>
      <c r="K151">
        <f>'Bjälklag (30% slagg)'!K24</f>
        <v>0</v>
      </c>
      <c r="L151">
        <f t="shared" si="6"/>
        <v>16</v>
      </c>
      <c r="M151" s="36">
        <f t="shared" si="5"/>
        <v>52</v>
      </c>
    </row>
    <row r="152" spans="8:13" x14ac:dyDescent="0.25">
      <c r="H152" s="26">
        <v>0</v>
      </c>
      <c r="I152" s="4">
        <v>12</v>
      </c>
      <c r="K152">
        <f>'Bjälklag (30% slagg)'!K25</f>
        <v>0</v>
      </c>
      <c r="L152">
        <f t="shared" si="6"/>
        <v>16</v>
      </c>
      <c r="M152" s="36">
        <f t="shared" si="5"/>
        <v>52</v>
      </c>
    </row>
    <row r="153" spans="8:13" ht="15.75" thickBot="1" x14ac:dyDescent="0.3">
      <c r="H153" s="28">
        <v>0</v>
      </c>
      <c r="I153" s="29">
        <v>20</v>
      </c>
      <c r="J153" s="35"/>
      <c r="K153">
        <f>'Bjälklag (30% slagg)'!K26</f>
        <v>0</v>
      </c>
      <c r="L153">
        <f t="shared" si="6"/>
        <v>16</v>
      </c>
      <c r="M153" s="36">
        <f t="shared" si="5"/>
        <v>52</v>
      </c>
    </row>
    <row r="154" spans="8:13" x14ac:dyDescent="0.25">
      <c r="H154" s="30">
        <v>-5</v>
      </c>
      <c r="I154" s="31">
        <v>0</v>
      </c>
      <c r="K154">
        <f>'Bjälklag (30% slagg)'!K27</f>
        <v>0</v>
      </c>
      <c r="L154">
        <f t="shared" si="6"/>
        <v>16</v>
      </c>
      <c r="M154" s="36">
        <f t="shared" si="5"/>
        <v>52</v>
      </c>
    </row>
    <row r="155" spans="8:13" x14ac:dyDescent="0.25">
      <c r="H155" s="27">
        <v>-5</v>
      </c>
      <c r="I155" s="3">
        <v>2</v>
      </c>
      <c r="J155" s="35"/>
      <c r="K155">
        <f>'Bjälklag (30% slagg)'!K28</f>
        <v>0</v>
      </c>
      <c r="L155">
        <f t="shared" si="6"/>
        <v>16</v>
      </c>
      <c r="M155" s="36">
        <f t="shared" si="5"/>
        <v>52</v>
      </c>
    </row>
    <row r="156" spans="8:13" x14ac:dyDescent="0.25">
      <c r="H156" s="26">
        <v>-5</v>
      </c>
      <c r="I156" s="4">
        <v>7</v>
      </c>
      <c r="K156">
        <f>'Bjälklag (30% slagg)'!K29</f>
        <v>0</v>
      </c>
      <c r="L156">
        <f t="shared" si="6"/>
        <v>16</v>
      </c>
      <c r="M156" s="36">
        <f t="shared" si="5"/>
        <v>52</v>
      </c>
    </row>
    <row r="157" spans="8:13" x14ac:dyDescent="0.25">
      <c r="H157" s="27">
        <v>-5</v>
      </c>
      <c r="I157" s="3">
        <v>12</v>
      </c>
      <c r="J157" s="35"/>
      <c r="K157">
        <f>'Bjälklag (30% slagg)'!K30</f>
        <v>0</v>
      </c>
      <c r="L157">
        <f t="shared" si="6"/>
        <v>16</v>
      </c>
      <c r="M157" s="36">
        <f t="shared" si="5"/>
        <v>52</v>
      </c>
    </row>
    <row r="158" spans="8:13" ht="15.75" thickBot="1" x14ac:dyDescent="0.3">
      <c r="H158" s="32">
        <v>-5</v>
      </c>
      <c r="I158" s="33">
        <v>20</v>
      </c>
      <c r="K158">
        <f>'Bjälklag (30% slagg)'!K31</f>
        <v>0</v>
      </c>
      <c r="L158">
        <f t="shared" si="6"/>
        <v>16</v>
      </c>
      <c r="M158" s="36">
        <f t="shared" si="5"/>
        <v>52</v>
      </c>
    </row>
    <row r="159" spans="8:13" x14ac:dyDescent="0.25">
      <c r="H159" s="24">
        <v>-10</v>
      </c>
      <c r="I159" s="25">
        <v>0</v>
      </c>
      <c r="J159" s="35"/>
      <c r="K159">
        <f>'Bjälklag (30% slagg)'!K32</f>
        <v>0</v>
      </c>
      <c r="L159">
        <f t="shared" si="6"/>
        <v>16</v>
      </c>
      <c r="M159" s="36">
        <f t="shared" si="5"/>
        <v>52</v>
      </c>
    </row>
    <row r="160" spans="8:13" x14ac:dyDescent="0.25">
      <c r="H160" s="26">
        <v>-10</v>
      </c>
      <c r="I160" s="4">
        <v>2</v>
      </c>
      <c r="K160">
        <f>'Bjälklag (30% slagg)'!K33</f>
        <v>0</v>
      </c>
      <c r="L160">
        <f t="shared" si="6"/>
        <v>16</v>
      </c>
      <c r="M160" s="36">
        <f t="shared" si="5"/>
        <v>52</v>
      </c>
    </row>
    <row r="161" spans="8:13" x14ac:dyDescent="0.25">
      <c r="H161" s="27">
        <v>-10</v>
      </c>
      <c r="I161" s="3">
        <v>7</v>
      </c>
      <c r="J161" s="35"/>
      <c r="K161">
        <f>'Bjälklag (30% slagg)'!K34</f>
        <v>0</v>
      </c>
      <c r="L161">
        <f t="shared" si="6"/>
        <v>16</v>
      </c>
      <c r="M161" s="36">
        <f t="shared" si="5"/>
        <v>52</v>
      </c>
    </row>
    <row r="162" spans="8:13" x14ac:dyDescent="0.25">
      <c r="H162" s="26">
        <v>-10</v>
      </c>
      <c r="I162" s="4">
        <v>12</v>
      </c>
      <c r="K162">
        <f>'Bjälklag (30% slagg)'!K35</f>
        <v>0</v>
      </c>
      <c r="L162">
        <f t="shared" si="6"/>
        <v>16</v>
      </c>
      <c r="M162" s="36">
        <f t="shared" si="5"/>
        <v>52</v>
      </c>
    </row>
    <row r="163" spans="8:13" ht="15.75" thickBot="1" x14ac:dyDescent="0.3">
      <c r="H163" s="28">
        <v>-10</v>
      </c>
      <c r="I163" s="29">
        <v>20</v>
      </c>
      <c r="J163" s="35"/>
      <c r="K163">
        <f>'Bjälklag (30% slagg)'!K36</f>
        <v>0</v>
      </c>
      <c r="L163">
        <f t="shared" si="6"/>
        <v>16</v>
      </c>
      <c r="M163" s="36">
        <f t="shared" si="5"/>
        <v>52</v>
      </c>
    </row>
    <row r="164" spans="8:13" x14ac:dyDescent="0.25">
      <c r="H164" s="30">
        <v>-15</v>
      </c>
      <c r="I164" s="31">
        <v>0</v>
      </c>
      <c r="K164">
        <f>'Bjälklag (30% slagg)'!K37</f>
        <v>0</v>
      </c>
      <c r="L164">
        <f t="shared" si="6"/>
        <v>16</v>
      </c>
      <c r="M164" s="36">
        <f t="shared" si="5"/>
        <v>52</v>
      </c>
    </row>
    <row r="165" spans="8:13" x14ac:dyDescent="0.25">
      <c r="H165" s="27">
        <v>-15</v>
      </c>
      <c r="I165" s="3">
        <v>2</v>
      </c>
      <c r="J165" s="35"/>
      <c r="K165">
        <f>'Bjälklag (30% slagg)'!K38</f>
        <v>0</v>
      </c>
      <c r="L165">
        <f t="shared" si="6"/>
        <v>16</v>
      </c>
      <c r="M165" s="36">
        <f t="shared" si="5"/>
        <v>52</v>
      </c>
    </row>
    <row r="166" spans="8:13" x14ac:dyDescent="0.25">
      <c r="H166" s="26">
        <v>-15</v>
      </c>
      <c r="I166" s="4">
        <v>7</v>
      </c>
      <c r="K166">
        <f>'Bjälklag (30% slagg)'!K39</f>
        <v>0</v>
      </c>
      <c r="L166">
        <f t="shared" si="6"/>
        <v>16</v>
      </c>
      <c r="M166" s="36">
        <f t="shared" si="5"/>
        <v>52</v>
      </c>
    </row>
    <row r="167" spans="8:13" x14ac:dyDescent="0.25">
      <c r="H167" s="27">
        <v>-15</v>
      </c>
      <c r="I167" s="3">
        <v>12</v>
      </c>
      <c r="J167" s="35"/>
      <c r="K167">
        <f>'Bjälklag (30% slagg)'!K40</f>
        <v>0</v>
      </c>
      <c r="L167">
        <f t="shared" ref="L167:L198" si="7">MATCH(K167, _xlfn.UNIQUE($K$39:$K$218), 0)</f>
        <v>16</v>
      </c>
      <c r="M167" s="36">
        <f t="shared" si="5"/>
        <v>52</v>
      </c>
    </row>
    <row r="168" spans="8:13" ht="15.75" thickBot="1" x14ac:dyDescent="0.3">
      <c r="H168" s="32">
        <v>-15</v>
      </c>
      <c r="I168" s="33">
        <v>20</v>
      </c>
      <c r="K168">
        <f>'Bjälklag (30% slagg)'!K41</f>
        <v>0</v>
      </c>
      <c r="L168">
        <f t="shared" si="7"/>
        <v>16</v>
      </c>
      <c r="M168" s="36">
        <f t="shared" si="5"/>
        <v>52</v>
      </c>
    </row>
    <row r="169" spans="8:13" x14ac:dyDescent="0.25">
      <c r="H169" s="24">
        <v>-20</v>
      </c>
      <c r="I169" s="25">
        <v>0</v>
      </c>
      <c r="J169" s="35"/>
      <c r="K169">
        <f>'Bjälklag (30% slagg)'!K42</f>
        <v>0</v>
      </c>
      <c r="L169">
        <f t="shared" si="7"/>
        <v>16</v>
      </c>
      <c r="M169" s="36">
        <f t="shared" si="5"/>
        <v>52</v>
      </c>
    </row>
    <row r="170" spans="8:13" x14ac:dyDescent="0.25">
      <c r="H170" s="26">
        <v>-20</v>
      </c>
      <c r="I170" s="4">
        <v>2</v>
      </c>
      <c r="K170">
        <f>'Bjälklag (30% slagg)'!K43</f>
        <v>0</v>
      </c>
      <c r="L170">
        <f t="shared" si="7"/>
        <v>16</v>
      </c>
      <c r="M170" s="36">
        <f t="shared" si="5"/>
        <v>52</v>
      </c>
    </row>
    <row r="171" spans="8:13" x14ac:dyDescent="0.25">
      <c r="H171" s="27">
        <v>-20</v>
      </c>
      <c r="I171" s="3">
        <v>7</v>
      </c>
      <c r="J171" s="35"/>
      <c r="K171">
        <f>'Bjälklag (30% slagg)'!K44</f>
        <v>0</v>
      </c>
      <c r="L171">
        <f t="shared" si="7"/>
        <v>16</v>
      </c>
      <c r="M171" s="36">
        <f t="shared" si="5"/>
        <v>52</v>
      </c>
    </row>
    <row r="172" spans="8:13" x14ac:dyDescent="0.25">
      <c r="H172" s="26">
        <v>-20</v>
      </c>
      <c r="I172" s="4">
        <v>12</v>
      </c>
      <c r="K172">
        <f>'Bjälklag (30% slagg)'!K45</f>
        <v>0</v>
      </c>
      <c r="L172">
        <f t="shared" si="7"/>
        <v>16</v>
      </c>
      <c r="M172" s="36">
        <f t="shared" si="5"/>
        <v>52</v>
      </c>
    </row>
    <row r="173" spans="8:13" ht="15.75" thickBot="1" x14ac:dyDescent="0.3">
      <c r="H173" s="28">
        <v>-20</v>
      </c>
      <c r="I173" s="29">
        <v>20</v>
      </c>
      <c r="J173" s="35"/>
      <c r="K173">
        <f>'Bjälklag (30% slagg)'!K46</f>
        <v>0</v>
      </c>
      <c r="L173">
        <f t="shared" si="7"/>
        <v>16</v>
      </c>
      <c r="M173" s="36">
        <f t="shared" si="5"/>
        <v>52</v>
      </c>
    </row>
    <row r="174" spans="8:13" x14ac:dyDescent="0.25">
      <c r="H174" s="24">
        <v>20</v>
      </c>
      <c r="I174" s="25">
        <v>0</v>
      </c>
      <c r="J174" s="35"/>
      <c r="K174">
        <f>'Bjälklag (40% slagg)'!K2</f>
        <v>0</v>
      </c>
      <c r="L174">
        <f t="shared" si="7"/>
        <v>16</v>
      </c>
      <c r="M174" s="36">
        <f t="shared" si="5"/>
        <v>52</v>
      </c>
    </row>
    <row r="175" spans="8:13" x14ac:dyDescent="0.25">
      <c r="H175" s="26">
        <v>20</v>
      </c>
      <c r="I175" s="4">
        <v>2</v>
      </c>
      <c r="K175">
        <f>'Bjälklag (40% slagg)'!K3</f>
        <v>0</v>
      </c>
      <c r="L175">
        <f t="shared" si="7"/>
        <v>16</v>
      </c>
      <c r="M175" s="36">
        <f t="shared" si="5"/>
        <v>52</v>
      </c>
    </row>
    <row r="176" spans="8:13" x14ac:dyDescent="0.25">
      <c r="H176" s="27">
        <v>20</v>
      </c>
      <c r="I176" s="3">
        <v>7</v>
      </c>
      <c r="J176" s="35"/>
      <c r="K176">
        <f>'Bjälklag (40% slagg)'!K4</f>
        <v>0</v>
      </c>
      <c r="L176">
        <f t="shared" si="7"/>
        <v>16</v>
      </c>
      <c r="M176" s="36">
        <f t="shared" si="5"/>
        <v>52</v>
      </c>
    </row>
    <row r="177" spans="8:13" x14ac:dyDescent="0.25">
      <c r="H177" s="26">
        <v>20</v>
      </c>
      <c r="I177" s="4">
        <v>12</v>
      </c>
      <c r="K177">
        <f>'Bjälklag (40% slagg)'!K5</f>
        <v>0</v>
      </c>
      <c r="L177">
        <f t="shared" si="7"/>
        <v>16</v>
      </c>
      <c r="M177" s="36">
        <f t="shared" si="5"/>
        <v>52</v>
      </c>
    </row>
    <row r="178" spans="8:13" ht="15.75" thickBot="1" x14ac:dyDescent="0.3">
      <c r="H178" s="28">
        <v>20</v>
      </c>
      <c r="I178" s="29">
        <v>20</v>
      </c>
      <c r="J178" s="35"/>
      <c r="K178">
        <f>'Bjälklag (40% slagg)'!K6</f>
        <v>0</v>
      </c>
      <c r="L178">
        <f t="shared" si="7"/>
        <v>16</v>
      </c>
      <c r="M178" s="36">
        <f t="shared" si="5"/>
        <v>52</v>
      </c>
    </row>
    <row r="179" spans="8:13" x14ac:dyDescent="0.25">
      <c r="H179" s="30">
        <v>15</v>
      </c>
      <c r="I179" s="31">
        <v>0</v>
      </c>
      <c r="K179">
        <f>'Bjälklag (40% slagg)'!K7</f>
        <v>0</v>
      </c>
      <c r="L179">
        <f t="shared" si="7"/>
        <v>16</v>
      </c>
      <c r="M179" s="36">
        <f t="shared" si="5"/>
        <v>52</v>
      </c>
    </row>
    <row r="180" spans="8:13" x14ac:dyDescent="0.25">
      <c r="H180" s="27">
        <v>15</v>
      </c>
      <c r="I180" s="3">
        <v>2</v>
      </c>
      <c r="J180" s="35"/>
      <c r="K180">
        <f>'Bjälklag (40% slagg)'!K8</f>
        <v>0</v>
      </c>
      <c r="L180">
        <f t="shared" si="7"/>
        <v>16</v>
      </c>
      <c r="M180" s="36">
        <f t="shared" si="5"/>
        <v>52</v>
      </c>
    </row>
    <row r="181" spans="8:13" x14ac:dyDescent="0.25">
      <c r="H181" s="26">
        <v>15</v>
      </c>
      <c r="I181" s="4">
        <v>7</v>
      </c>
      <c r="K181">
        <f>'Bjälklag (40% slagg)'!K9</f>
        <v>0</v>
      </c>
      <c r="L181">
        <f t="shared" si="7"/>
        <v>16</v>
      </c>
      <c r="M181" s="36">
        <f t="shared" si="5"/>
        <v>52</v>
      </c>
    </row>
    <row r="182" spans="8:13" x14ac:dyDescent="0.25">
      <c r="H182" s="27">
        <v>15</v>
      </c>
      <c r="I182" s="3">
        <v>12</v>
      </c>
      <c r="J182" s="35"/>
      <c r="K182">
        <f>'Bjälklag (40% slagg)'!K10</f>
        <v>0</v>
      </c>
      <c r="L182">
        <f t="shared" si="7"/>
        <v>16</v>
      </c>
      <c r="M182" s="36">
        <f t="shared" si="5"/>
        <v>52</v>
      </c>
    </row>
    <row r="183" spans="8:13" ht="15.75" thickBot="1" x14ac:dyDescent="0.3">
      <c r="H183" s="32">
        <v>15</v>
      </c>
      <c r="I183" s="33">
        <v>20</v>
      </c>
      <c r="K183">
        <f>'Bjälklag (40% slagg)'!K11</f>
        <v>0</v>
      </c>
      <c r="L183">
        <f t="shared" si="7"/>
        <v>16</v>
      </c>
      <c r="M183" s="36">
        <f t="shared" si="5"/>
        <v>52</v>
      </c>
    </row>
    <row r="184" spans="8:13" x14ac:dyDescent="0.25">
      <c r="H184" s="24">
        <v>10</v>
      </c>
      <c r="I184" s="25">
        <v>0</v>
      </c>
      <c r="J184" s="35"/>
      <c r="K184">
        <f>'Bjälklag (40% slagg)'!K12</f>
        <v>0</v>
      </c>
      <c r="L184">
        <f t="shared" si="7"/>
        <v>16</v>
      </c>
      <c r="M184" s="36">
        <f t="shared" si="5"/>
        <v>52</v>
      </c>
    </row>
    <row r="185" spans="8:13" x14ac:dyDescent="0.25">
      <c r="H185" s="26">
        <v>10</v>
      </c>
      <c r="I185" s="4">
        <v>2</v>
      </c>
      <c r="K185">
        <f>'Bjälklag (40% slagg)'!K13</f>
        <v>0</v>
      </c>
      <c r="L185">
        <f t="shared" si="7"/>
        <v>16</v>
      </c>
      <c r="M185" s="36">
        <f t="shared" si="5"/>
        <v>52</v>
      </c>
    </row>
    <row r="186" spans="8:13" x14ac:dyDescent="0.25">
      <c r="H186" s="27">
        <v>10</v>
      </c>
      <c r="I186" s="3">
        <v>7</v>
      </c>
      <c r="J186" s="35"/>
      <c r="K186">
        <f>'Bjälklag (40% slagg)'!K14</f>
        <v>0</v>
      </c>
      <c r="L186">
        <f t="shared" si="7"/>
        <v>16</v>
      </c>
      <c r="M186" s="36">
        <f t="shared" si="5"/>
        <v>52</v>
      </c>
    </row>
    <row r="187" spans="8:13" x14ac:dyDescent="0.25">
      <c r="H187" s="26">
        <v>10</v>
      </c>
      <c r="I187" s="4">
        <v>12</v>
      </c>
      <c r="K187">
        <f>'Bjälklag (40% slagg)'!K15</f>
        <v>0</v>
      </c>
      <c r="L187">
        <f t="shared" si="7"/>
        <v>16</v>
      </c>
      <c r="M187" s="36">
        <f t="shared" si="5"/>
        <v>52</v>
      </c>
    </row>
    <row r="188" spans="8:13" ht="15.75" thickBot="1" x14ac:dyDescent="0.3">
      <c r="H188" s="28">
        <v>10</v>
      </c>
      <c r="I188" s="29">
        <v>20</v>
      </c>
      <c r="J188" s="35"/>
      <c r="K188">
        <f>'Bjälklag (40% slagg)'!K16</f>
        <v>0</v>
      </c>
      <c r="L188">
        <f t="shared" si="7"/>
        <v>16</v>
      </c>
      <c r="M188" s="36">
        <f t="shared" si="5"/>
        <v>52</v>
      </c>
    </row>
    <row r="189" spans="8:13" x14ac:dyDescent="0.25">
      <c r="H189" s="30">
        <v>5</v>
      </c>
      <c r="I189" s="31">
        <v>0</v>
      </c>
      <c r="K189">
        <f>'Bjälklag (40% slagg)'!K17</f>
        <v>0</v>
      </c>
      <c r="L189">
        <f t="shared" si="7"/>
        <v>16</v>
      </c>
      <c r="M189" s="36">
        <f t="shared" si="5"/>
        <v>52</v>
      </c>
    </row>
    <row r="190" spans="8:13" x14ac:dyDescent="0.25">
      <c r="H190" s="27">
        <v>5</v>
      </c>
      <c r="I190" s="3">
        <v>2</v>
      </c>
      <c r="J190" s="35"/>
      <c r="K190">
        <f>'Bjälklag (40% slagg)'!K18</f>
        <v>0</v>
      </c>
      <c r="L190">
        <f t="shared" si="7"/>
        <v>16</v>
      </c>
      <c r="M190" s="36">
        <f t="shared" si="5"/>
        <v>52</v>
      </c>
    </row>
    <row r="191" spans="8:13" x14ac:dyDescent="0.25">
      <c r="H191" s="26">
        <v>5</v>
      </c>
      <c r="I191" s="4">
        <v>7</v>
      </c>
      <c r="K191">
        <f>'Bjälklag (40% slagg)'!K19</f>
        <v>0</v>
      </c>
      <c r="L191">
        <f t="shared" si="7"/>
        <v>16</v>
      </c>
      <c r="M191" s="36">
        <f t="shared" si="5"/>
        <v>52</v>
      </c>
    </row>
    <row r="192" spans="8:13" x14ac:dyDescent="0.25">
      <c r="H192" s="27">
        <v>5</v>
      </c>
      <c r="I192" s="3">
        <v>12</v>
      </c>
      <c r="J192" s="35"/>
      <c r="K192">
        <f>'Bjälklag (40% slagg)'!K20</f>
        <v>0</v>
      </c>
      <c r="L192">
        <f t="shared" si="7"/>
        <v>16</v>
      </c>
      <c r="M192" s="36">
        <f t="shared" si="5"/>
        <v>52</v>
      </c>
    </row>
    <row r="193" spans="8:13" ht="15.75" thickBot="1" x14ac:dyDescent="0.3">
      <c r="H193" s="32">
        <v>5</v>
      </c>
      <c r="I193" s="33">
        <v>20</v>
      </c>
      <c r="K193">
        <f>'Bjälklag (40% slagg)'!K21</f>
        <v>0</v>
      </c>
      <c r="L193">
        <f t="shared" si="7"/>
        <v>16</v>
      </c>
      <c r="M193" s="36">
        <f t="shared" si="5"/>
        <v>52</v>
      </c>
    </row>
    <row r="194" spans="8:13" x14ac:dyDescent="0.25">
      <c r="H194" s="24">
        <v>0</v>
      </c>
      <c r="I194" s="25">
        <v>0</v>
      </c>
      <c r="J194" s="35"/>
      <c r="K194">
        <f>'Bjälklag (40% slagg)'!K22</f>
        <v>0</v>
      </c>
      <c r="L194">
        <f t="shared" si="7"/>
        <v>16</v>
      </c>
      <c r="M194" s="36">
        <f t="shared" ref="M194:M218" si="8">MATCH(K194, _xlfn.UNIQUE($K$2:$K$218), 0)</f>
        <v>52</v>
      </c>
    </row>
    <row r="195" spans="8:13" x14ac:dyDescent="0.25">
      <c r="H195" s="26">
        <v>0</v>
      </c>
      <c r="I195" s="4">
        <v>2</v>
      </c>
      <c r="K195">
        <f>'Bjälklag (40% slagg)'!K23</f>
        <v>0</v>
      </c>
      <c r="L195">
        <f t="shared" si="7"/>
        <v>16</v>
      </c>
      <c r="M195" s="36">
        <f t="shared" si="8"/>
        <v>52</v>
      </c>
    </row>
    <row r="196" spans="8:13" x14ac:dyDescent="0.25">
      <c r="H196" s="27">
        <v>0</v>
      </c>
      <c r="I196" s="3">
        <v>7</v>
      </c>
      <c r="J196" s="35"/>
      <c r="K196">
        <f>'Bjälklag (40% slagg)'!K24</f>
        <v>0</v>
      </c>
      <c r="L196">
        <f t="shared" si="7"/>
        <v>16</v>
      </c>
      <c r="M196" s="36">
        <f t="shared" si="8"/>
        <v>52</v>
      </c>
    </row>
    <row r="197" spans="8:13" x14ac:dyDescent="0.25">
      <c r="H197" s="26">
        <v>0</v>
      </c>
      <c r="I197" s="4">
        <v>12</v>
      </c>
      <c r="K197">
        <f>'Bjälklag (40% slagg)'!K25</f>
        <v>0</v>
      </c>
      <c r="L197">
        <f t="shared" si="7"/>
        <v>16</v>
      </c>
      <c r="M197" s="36">
        <f t="shared" si="8"/>
        <v>52</v>
      </c>
    </row>
    <row r="198" spans="8:13" ht="15.75" thickBot="1" x14ac:dyDescent="0.3">
      <c r="H198" s="28">
        <v>0</v>
      </c>
      <c r="I198" s="29">
        <v>20</v>
      </c>
      <c r="J198" s="35"/>
      <c r="K198">
        <f>'Bjälklag (40% slagg)'!K26</f>
        <v>0</v>
      </c>
      <c r="L198">
        <f t="shared" si="7"/>
        <v>16</v>
      </c>
      <c r="M198" s="36">
        <f t="shared" si="8"/>
        <v>52</v>
      </c>
    </row>
    <row r="199" spans="8:13" x14ac:dyDescent="0.25">
      <c r="H199" s="30">
        <v>-5</v>
      </c>
      <c r="I199" s="31">
        <v>0</v>
      </c>
      <c r="K199">
        <f>'Bjälklag (40% slagg)'!K27</f>
        <v>0</v>
      </c>
      <c r="L199">
        <f t="shared" ref="L199:L218" si="9">MATCH(K199, _xlfn.UNIQUE($K$39:$K$218), 0)</f>
        <v>16</v>
      </c>
      <c r="M199" s="36">
        <f t="shared" si="8"/>
        <v>52</v>
      </c>
    </row>
    <row r="200" spans="8:13" x14ac:dyDescent="0.25">
      <c r="H200" s="27">
        <v>-5</v>
      </c>
      <c r="I200" s="3">
        <v>2</v>
      </c>
      <c r="J200" s="35"/>
      <c r="K200">
        <f>'Bjälklag (40% slagg)'!K28</f>
        <v>0</v>
      </c>
      <c r="L200">
        <f t="shared" si="9"/>
        <v>16</v>
      </c>
      <c r="M200" s="36">
        <f t="shared" si="8"/>
        <v>52</v>
      </c>
    </row>
    <row r="201" spans="8:13" x14ac:dyDescent="0.25">
      <c r="H201" s="26">
        <v>-5</v>
      </c>
      <c r="I201" s="4">
        <v>7</v>
      </c>
      <c r="K201">
        <f>'Bjälklag (40% slagg)'!K29</f>
        <v>0</v>
      </c>
      <c r="L201">
        <f t="shared" si="9"/>
        <v>16</v>
      </c>
      <c r="M201" s="36">
        <f t="shared" si="8"/>
        <v>52</v>
      </c>
    </row>
    <row r="202" spans="8:13" x14ac:dyDescent="0.25">
      <c r="H202" s="27">
        <v>-5</v>
      </c>
      <c r="I202" s="3">
        <v>12</v>
      </c>
      <c r="J202" s="35"/>
      <c r="K202">
        <f>'Bjälklag (40% slagg)'!K30</f>
        <v>0</v>
      </c>
      <c r="L202">
        <f t="shared" si="9"/>
        <v>16</v>
      </c>
      <c r="M202" s="36">
        <f t="shared" si="8"/>
        <v>52</v>
      </c>
    </row>
    <row r="203" spans="8:13" ht="15.75" thickBot="1" x14ac:dyDescent="0.3">
      <c r="H203" s="32">
        <v>-5</v>
      </c>
      <c r="I203" s="33">
        <v>20</v>
      </c>
      <c r="K203">
        <f>'Bjälklag (40% slagg)'!K31</f>
        <v>0</v>
      </c>
      <c r="L203">
        <f t="shared" si="9"/>
        <v>16</v>
      </c>
      <c r="M203" s="36">
        <f t="shared" si="8"/>
        <v>52</v>
      </c>
    </row>
    <row r="204" spans="8:13" x14ac:dyDescent="0.25">
      <c r="H204" s="24">
        <v>-10</v>
      </c>
      <c r="I204" s="25">
        <v>0</v>
      </c>
      <c r="J204" s="35"/>
      <c r="K204">
        <f>'Bjälklag (40% slagg)'!K32</f>
        <v>0</v>
      </c>
      <c r="L204">
        <f t="shared" si="9"/>
        <v>16</v>
      </c>
      <c r="M204" s="36">
        <f t="shared" si="8"/>
        <v>52</v>
      </c>
    </row>
    <row r="205" spans="8:13" x14ac:dyDescent="0.25">
      <c r="H205" s="26">
        <v>-10</v>
      </c>
      <c r="I205" s="4">
        <v>2</v>
      </c>
      <c r="K205">
        <f>'Bjälklag (40% slagg)'!K33</f>
        <v>0</v>
      </c>
      <c r="L205">
        <f t="shared" si="9"/>
        <v>16</v>
      </c>
      <c r="M205" s="36">
        <f t="shared" si="8"/>
        <v>52</v>
      </c>
    </row>
    <row r="206" spans="8:13" x14ac:dyDescent="0.25">
      <c r="H206" s="27">
        <v>-10</v>
      </c>
      <c r="I206" s="3">
        <v>7</v>
      </c>
      <c r="J206" s="35"/>
      <c r="K206">
        <f>'Bjälklag (40% slagg)'!K34</f>
        <v>0</v>
      </c>
      <c r="L206">
        <f t="shared" si="9"/>
        <v>16</v>
      </c>
      <c r="M206" s="36">
        <f t="shared" si="8"/>
        <v>52</v>
      </c>
    </row>
    <row r="207" spans="8:13" x14ac:dyDescent="0.25">
      <c r="H207" s="26">
        <v>-10</v>
      </c>
      <c r="I207" s="4">
        <v>12</v>
      </c>
      <c r="K207">
        <f>'Bjälklag (40% slagg)'!K35</f>
        <v>0</v>
      </c>
      <c r="L207">
        <f t="shared" si="9"/>
        <v>16</v>
      </c>
      <c r="M207" s="36">
        <f t="shared" si="8"/>
        <v>52</v>
      </c>
    </row>
    <row r="208" spans="8:13" ht="15.75" thickBot="1" x14ac:dyDescent="0.3">
      <c r="H208" s="28">
        <v>-10</v>
      </c>
      <c r="I208" s="29">
        <v>20</v>
      </c>
      <c r="J208" s="35"/>
      <c r="K208">
        <f>'Bjälklag (40% slagg)'!K36</f>
        <v>0</v>
      </c>
      <c r="L208">
        <f t="shared" si="9"/>
        <v>16</v>
      </c>
      <c r="M208" s="36">
        <f t="shared" si="8"/>
        <v>52</v>
      </c>
    </row>
    <row r="209" spans="8:13" x14ac:dyDescent="0.25">
      <c r="H209" s="30">
        <v>-15</v>
      </c>
      <c r="I209" s="31">
        <v>0</v>
      </c>
      <c r="K209">
        <f>'Bjälklag (40% slagg)'!K37</f>
        <v>0</v>
      </c>
      <c r="L209">
        <f t="shared" si="9"/>
        <v>16</v>
      </c>
      <c r="M209" s="36">
        <f t="shared" si="8"/>
        <v>52</v>
      </c>
    </row>
    <row r="210" spans="8:13" x14ac:dyDescent="0.25">
      <c r="H210" s="27">
        <v>-15</v>
      </c>
      <c r="I210" s="3">
        <v>2</v>
      </c>
      <c r="J210" s="35"/>
      <c r="K210">
        <f>'Bjälklag (40% slagg)'!K38</f>
        <v>0</v>
      </c>
      <c r="L210">
        <f t="shared" si="9"/>
        <v>16</v>
      </c>
      <c r="M210" s="36">
        <f t="shared" si="8"/>
        <v>52</v>
      </c>
    </row>
    <row r="211" spans="8:13" x14ac:dyDescent="0.25">
      <c r="H211" s="26">
        <v>-15</v>
      </c>
      <c r="I211" s="4">
        <v>7</v>
      </c>
      <c r="K211">
        <f>'Bjälklag (40% slagg)'!K39</f>
        <v>0</v>
      </c>
      <c r="L211">
        <f t="shared" si="9"/>
        <v>16</v>
      </c>
      <c r="M211" s="36">
        <f t="shared" si="8"/>
        <v>52</v>
      </c>
    </row>
    <row r="212" spans="8:13" x14ac:dyDescent="0.25">
      <c r="H212" s="27">
        <v>-15</v>
      </c>
      <c r="I212" s="3">
        <v>12</v>
      </c>
      <c r="J212" s="35"/>
      <c r="K212">
        <f>'Bjälklag (40% slagg)'!K40</f>
        <v>0</v>
      </c>
      <c r="L212">
        <f t="shared" si="9"/>
        <v>16</v>
      </c>
      <c r="M212" s="36">
        <f t="shared" si="8"/>
        <v>52</v>
      </c>
    </row>
    <row r="213" spans="8:13" ht="15.75" thickBot="1" x14ac:dyDescent="0.3">
      <c r="H213" s="32">
        <v>-15</v>
      </c>
      <c r="I213" s="33">
        <v>20</v>
      </c>
      <c r="K213">
        <f>'Bjälklag (40% slagg)'!K41</f>
        <v>0</v>
      </c>
      <c r="L213">
        <f t="shared" si="9"/>
        <v>16</v>
      </c>
      <c r="M213" s="36">
        <f t="shared" si="8"/>
        <v>52</v>
      </c>
    </row>
    <row r="214" spans="8:13" x14ac:dyDescent="0.25">
      <c r="H214" s="24">
        <v>-20</v>
      </c>
      <c r="I214" s="25">
        <v>0</v>
      </c>
      <c r="J214" s="35"/>
      <c r="K214">
        <f>'Bjälklag (40% slagg)'!K42</f>
        <v>0</v>
      </c>
      <c r="L214">
        <f t="shared" si="9"/>
        <v>16</v>
      </c>
      <c r="M214" s="36">
        <f t="shared" si="8"/>
        <v>52</v>
      </c>
    </row>
    <row r="215" spans="8:13" x14ac:dyDescent="0.25">
      <c r="H215" s="26">
        <v>-20</v>
      </c>
      <c r="I215" s="4">
        <v>2</v>
      </c>
      <c r="K215">
        <f>'Bjälklag (40% slagg)'!K43</f>
        <v>0</v>
      </c>
      <c r="L215">
        <f t="shared" si="9"/>
        <v>16</v>
      </c>
      <c r="M215" s="36">
        <f t="shared" si="8"/>
        <v>52</v>
      </c>
    </row>
    <row r="216" spans="8:13" x14ac:dyDescent="0.25">
      <c r="H216" s="27">
        <v>-20</v>
      </c>
      <c r="I216" s="3">
        <v>7</v>
      </c>
      <c r="J216" s="35"/>
      <c r="K216">
        <f>'Bjälklag (40% slagg)'!K44</f>
        <v>0</v>
      </c>
      <c r="L216">
        <f t="shared" si="9"/>
        <v>16</v>
      </c>
      <c r="M216" s="36">
        <f t="shared" si="8"/>
        <v>52</v>
      </c>
    </row>
    <row r="217" spans="8:13" x14ac:dyDescent="0.25">
      <c r="H217" s="26">
        <v>-20</v>
      </c>
      <c r="I217" s="4">
        <v>12</v>
      </c>
      <c r="K217">
        <f>'Bjälklag (40% slagg)'!K45</f>
        <v>0</v>
      </c>
      <c r="L217">
        <f t="shared" si="9"/>
        <v>16</v>
      </c>
      <c r="M217" s="36">
        <f t="shared" si="8"/>
        <v>52</v>
      </c>
    </row>
    <row r="218" spans="8:13" ht="15.75" thickBot="1" x14ac:dyDescent="0.3">
      <c r="H218" s="28">
        <v>-20</v>
      </c>
      <c r="I218" s="29">
        <v>20</v>
      </c>
      <c r="J218" s="35"/>
      <c r="K218">
        <f>'Bjälklag (40% slagg)'!K46</f>
        <v>0</v>
      </c>
      <c r="L218">
        <f t="shared" si="9"/>
        <v>16</v>
      </c>
      <c r="M218" s="36">
        <f t="shared" si="8"/>
        <v>52</v>
      </c>
    </row>
    <row r="219" spans="8:13" x14ac:dyDescent="0.25">
      <c r="K219" t="s">
        <v>25</v>
      </c>
      <c r="L219" s="36">
        <f>MAX(L39:L218)</f>
        <v>16</v>
      </c>
      <c r="M219" s="36">
        <f>MAX(M39:M218)</f>
        <v>52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dimension ref="A1:M45"/>
  <sheetViews>
    <sheetView workbookViewId="0">
      <selection activeCell="L2" sqref="L2:M38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37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2" max="12" width="22.140625" bestFit="1" customWidth="1"/>
  </cols>
  <sheetData>
    <row r="1" spans="1:13" x14ac:dyDescent="0.25">
      <c r="A1" t="s">
        <v>26</v>
      </c>
      <c r="B1" t="s">
        <v>27</v>
      </c>
      <c r="C1" t="s">
        <v>28</v>
      </c>
      <c r="D1" t="s">
        <v>2</v>
      </c>
      <c r="E1" t="s">
        <v>3</v>
      </c>
      <c r="F1" t="s">
        <v>4</v>
      </c>
      <c r="G1" t="s">
        <v>98</v>
      </c>
      <c r="H1" t="s">
        <v>7</v>
      </c>
      <c r="I1" t="s">
        <v>22</v>
      </c>
      <c r="J1" t="s">
        <v>29</v>
      </c>
    </row>
    <row r="2" spans="1:13" x14ac:dyDescent="0.25">
      <c r="A2">
        <v>1</v>
      </c>
      <c r="B2" s="2" t="s">
        <v>9</v>
      </c>
      <c r="C2" s="2">
        <v>15</v>
      </c>
      <c r="D2" s="2">
        <v>20</v>
      </c>
      <c r="E2" s="2" t="s">
        <v>10</v>
      </c>
      <c r="F2" s="2" t="s">
        <v>10</v>
      </c>
      <c r="G2" s="2" t="s">
        <v>55</v>
      </c>
      <c r="H2" s="2"/>
      <c r="I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C20/251520--OK7</v>
      </c>
      <c r="J2">
        <f>Table8[[#This Row],[Paket]]</f>
        <v>1</v>
      </c>
      <c r="L2" t="s">
        <v>61</v>
      </c>
      <c r="M2">
        <v>1</v>
      </c>
    </row>
    <row r="3" spans="1:13" x14ac:dyDescent="0.25">
      <c r="A3">
        <v>2</v>
      </c>
      <c r="B3" s="2" t="s">
        <v>9</v>
      </c>
      <c r="C3" s="2">
        <v>15</v>
      </c>
      <c r="D3" s="2">
        <v>15</v>
      </c>
      <c r="E3" s="2" t="s">
        <v>10</v>
      </c>
      <c r="F3" s="2" t="s">
        <v>10</v>
      </c>
      <c r="G3" s="2" t="s">
        <v>55</v>
      </c>
      <c r="H3" s="2"/>
      <c r="I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C20/251515--OK7</v>
      </c>
      <c r="J3">
        <f>Table8[[#This Row],[Paket]]</f>
        <v>2</v>
      </c>
      <c r="L3" t="s">
        <v>62</v>
      </c>
      <c r="M3">
        <v>2</v>
      </c>
    </row>
    <row r="4" spans="1:13" x14ac:dyDescent="0.25">
      <c r="A4">
        <v>3</v>
      </c>
      <c r="B4" s="2" t="s">
        <v>9</v>
      </c>
      <c r="C4" s="2">
        <v>15</v>
      </c>
      <c r="D4" s="2">
        <v>15</v>
      </c>
      <c r="E4" s="2">
        <v>0</v>
      </c>
      <c r="F4" s="2" t="s">
        <v>10</v>
      </c>
      <c r="G4" s="2" t="s">
        <v>55</v>
      </c>
      <c r="H4" s="2"/>
      <c r="I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C20/2515150-OK7</v>
      </c>
      <c r="J4">
        <f>Table8[[#This Row],[Paket]]</f>
        <v>3</v>
      </c>
      <c r="L4" t="s">
        <v>63</v>
      </c>
      <c r="M4">
        <v>3</v>
      </c>
    </row>
    <row r="5" spans="1:13" x14ac:dyDescent="0.25">
      <c r="A5">
        <v>4</v>
      </c>
      <c r="B5" s="2" t="s">
        <v>9</v>
      </c>
      <c r="C5" s="2">
        <v>15</v>
      </c>
      <c r="D5" s="2">
        <v>15</v>
      </c>
      <c r="E5" s="2">
        <v>0</v>
      </c>
      <c r="F5" s="2" t="s">
        <v>11</v>
      </c>
      <c r="G5" s="2" t="s">
        <v>55</v>
      </c>
      <c r="H5" s="2"/>
      <c r="I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C20/2515150PresenningOK7</v>
      </c>
      <c r="J5">
        <f>Table8[[#This Row],[Paket]]</f>
        <v>4</v>
      </c>
      <c r="L5" t="s">
        <v>64</v>
      </c>
      <c r="M5">
        <v>4</v>
      </c>
    </row>
    <row r="6" spans="1:13" x14ac:dyDescent="0.25">
      <c r="A6">
        <v>5</v>
      </c>
      <c r="B6" s="2" t="s">
        <v>9</v>
      </c>
      <c r="C6" s="2">
        <v>15</v>
      </c>
      <c r="D6" s="2">
        <v>20</v>
      </c>
      <c r="E6" s="2">
        <v>0</v>
      </c>
      <c r="F6" s="2" t="s">
        <v>11</v>
      </c>
      <c r="G6" s="2" t="s">
        <v>55</v>
      </c>
      <c r="H6" s="2"/>
      <c r="I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C20/2515200PresenningOK7</v>
      </c>
      <c r="J6">
        <f>Table8[[#This Row],[Paket]]</f>
        <v>5</v>
      </c>
      <c r="L6" t="s">
        <v>65</v>
      </c>
      <c r="M6">
        <v>5</v>
      </c>
    </row>
    <row r="7" spans="1:13" x14ac:dyDescent="0.25">
      <c r="A7">
        <v>6</v>
      </c>
      <c r="B7" s="2" t="s">
        <v>9</v>
      </c>
      <c r="C7" s="2">
        <v>20</v>
      </c>
      <c r="D7" s="2">
        <v>5</v>
      </c>
      <c r="E7" s="2">
        <v>20</v>
      </c>
      <c r="F7" s="2" t="s">
        <v>10</v>
      </c>
      <c r="G7" s="2" t="s">
        <v>55</v>
      </c>
      <c r="H7" s="2"/>
      <c r="I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C20/2520520-OK7</v>
      </c>
      <c r="J7">
        <f>Table8[[#This Row],[Paket]]</f>
        <v>6</v>
      </c>
      <c r="L7" t="s">
        <v>66</v>
      </c>
      <c r="M7">
        <v>6</v>
      </c>
    </row>
    <row r="8" spans="1:13" x14ac:dyDescent="0.25">
      <c r="A8">
        <v>7</v>
      </c>
      <c r="B8" s="2" t="s">
        <v>9</v>
      </c>
      <c r="C8" s="2">
        <v>20</v>
      </c>
      <c r="D8" s="2">
        <v>5</v>
      </c>
      <c r="E8" s="2">
        <v>20</v>
      </c>
      <c r="F8" s="2">
        <v>10</v>
      </c>
      <c r="G8" s="2" t="s">
        <v>55</v>
      </c>
      <c r="H8" s="2"/>
      <c r="I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C20/252052010OK7</v>
      </c>
      <c r="J8">
        <f>Table8[[#This Row],[Paket]]</f>
        <v>7</v>
      </c>
      <c r="L8" t="s">
        <v>67</v>
      </c>
      <c r="M8">
        <v>7</v>
      </c>
    </row>
    <row r="9" spans="1:13" x14ac:dyDescent="0.25">
      <c r="A9">
        <v>8</v>
      </c>
      <c r="B9" s="2" t="s">
        <v>9</v>
      </c>
      <c r="C9" s="2">
        <v>20</v>
      </c>
      <c r="D9" s="2">
        <v>5</v>
      </c>
      <c r="E9" s="2">
        <v>20</v>
      </c>
      <c r="F9" s="2">
        <v>20</v>
      </c>
      <c r="G9" s="2" t="s">
        <v>55</v>
      </c>
      <c r="H9" s="2"/>
      <c r="I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C20/252052020OK7</v>
      </c>
      <c r="J9">
        <f>Table8[[#This Row],[Paket]]</f>
        <v>8</v>
      </c>
      <c r="L9" t="s">
        <v>68</v>
      </c>
      <c r="M9">
        <v>8</v>
      </c>
    </row>
    <row r="10" spans="1:13" x14ac:dyDescent="0.25">
      <c r="A10">
        <v>9</v>
      </c>
      <c r="B10" s="2" t="s">
        <v>9</v>
      </c>
      <c r="C10" s="2">
        <v>20</v>
      </c>
      <c r="D10" s="2">
        <v>5</v>
      </c>
      <c r="E10" s="2">
        <v>20</v>
      </c>
      <c r="F10" s="2">
        <v>30</v>
      </c>
      <c r="G10" s="2" t="s">
        <v>55</v>
      </c>
      <c r="H10" s="2"/>
      <c r="I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C20/252052030OK7</v>
      </c>
      <c r="J10">
        <f>Table8[[#This Row],[Paket]]</f>
        <v>9</v>
      </c>
      <c r="L10" t="s">
        <v>69</v>
      </c>
      <c r="M10">
        <v>9</v>
      </c>
    </row>
    <row r="11" spans="1:13" x14ac:dyDescent="0.25">
      <c r="A11">
        <v>10</v>
      </c>
      <c r="B11" s="2" t="s">
        <v>9</v>
      </c>
      <c r="C11" s="2">
        <v>20</v>
      </c>
      <c r="D11" s="2">
        <v>5</v>
      </c>
      <c r="E11" s="2">
        <v>20</v>
      </c>
      <c r="F11" s="2">
        <v>50</v>
      </c>
      <c r="G11" s="2" t="s">
        <v>55</v>
      </c>
      <c r="H11" s="2"/>
      <c r="I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C20/252052050OK7</v>
      </c>
      <c r="J11">
        <f>Table8[[#This Row],[Paket]]</f>
        <v>10</v>
      </c>
      <c r="L11" t="s">
        <v>70</v>
      </c>
      <c r="M11">
        <v>10</v>
      </c>
    </row>
    <row r="12" spans="1:13" x14ac:dyDescent="0.25">
      <c r="A12">
        <v>11</v>
      </c>
      <c r="B12" s="2" t="s">
        <v>16</v>
      </c>
      <c r="C12" s="2">
        <v>15</v>
      </c>
      <c r="D12" s="2">
        <v>20</v>
      </c>
      <c r="E12" s="2" t="s">
        <v>10</v>
      </c>
      <c r="F12" s="2" t="s">
        <v>10</v>
      </c>
      <c r="G12" s="2" t="s">
        <v>55</v>
      </c>
      <c r="H12" s="2"/>
      <c r="I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C25/301520--OK7</v>
      </c>
      <c r="J12">
        <f>Table8[[#This Row],[Paket]]</f>
        <v>11</v>
      </c>
      <c r="L12" t="s">
        <v>71</v>
      </c>
      <c r="M12">
        <v>11</v>
      </c>
    </row>
    <row r="13" spans="1:13" x14ac:dyDescent="0.25">
      <c r="A13">
        <v>12</v>
      </c>
      <c r="B13" s="2" t="s">
        <v>16</v>
      </c>
      <c r="C13" s="2">
        <v>15</v>
      </c>
      <c r="D13" s="2">
        <v>20</v>
      </c>
      <c r="E13" s="2">
        <v>0</v>
      </c>
      <c r="F13" s="2" t="s">
        <v>11</v>
      </c>
      <c r="G13" s="2" t="s">
        <v>55</v>
      </c>
      <c r="H13" s="2"/>
      <c r="I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C25/3015200PresenningOK7</v>
      </c>
      <c r="J13">
        <f>Table8[[#This Row],[Paket]]</f>
        <v>12</v>
      </c>
      <c r="L13" t="s">
        <v>72</v>
      </c>
      <c r="M13">
        <v>12</v>
      </c>
    </row>
    <row r="14" spans="1:13" x14ac:dyDescent="0.25">
      <c r="A14">
        <v>13</v>
      </c>
      <c r="B14" s="2" t="s">
        <v>16</v>
      </c>
      <c r="C14" s="2">
        <v>20</v>
      </c>
      <c r="D14" s="2">
        <v>5</v>
      </c>
      <c r="E14" s="2">
        <v>20</v>
      </c>
      <c r="F14" s="2">
        <v>10</v>
      </c>
      <c r="G14" s="2" t="s">
        <v>55</v>
      </c>
      <c r="H14" s="2"/>
      <c r="I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C25/302052010OK7</v>
      </c>
      <c r="J14">
        <f>Table8[[#This Row],[Paket]]</f>
        <v>13</v>
      </c>
      <c r="L14" t="s">
        <v>73</v>
      </c>
      <c r="M14">
        <v>13</v>
      </c>
    </row>
    <row r="15" spans="1:13" x14ac:dyDescent="0.25">
      <c r="A15">
        <v>14</v>
      </c>
      <c r="B15" s="2" t="s">
        <v>16</v>
      </c>
      <c r="C15" s="2">
        <v>20</v>
      </c>
      <c r="D15" s="2">
        <v>5</v>
      </c>
      <c r="E15" s="2">
        <v>20</v>
      </c>
      <c r="F15" s="2">
        <v>50</v>
      </c>
      <c r="G15" s="2" t="s">
        <v>55</v>
      </c>
      <c r="H15" s="2"/>
      <c r="I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C25/302052050OK7</v>
      </c>
      <c r="J15">
        <f>Table8[[#This Row],[Paket]]</f>
        <v>14</v>
      </c>
      <c r="L15" t="s">
        <v>74</v>
      </c>
      <c r="M15">
        <v>14</v>
      </c>
    </row>
    <row r="16" spans="1:13" x14ac:dyDescent="0.25">
      <c r="A16">
        <v>15</v>
      </c>
      <c r="B16" s="2" t="s">
        <v>12</v>
      </c>
      <c r="C16" s="2">
        <v>15</v>
      </c>
      <c r="D16" s="2">
        <v>10</v>
      </c>
      <c r="E16" s="2" t="s">
        <v>10</v>
      </c>
      <c r="F16" s="2" t="s">
        <v>10</v>
      </c>
      <c r="G16" s="2" t="s">
        <v>55</v>
      </c>
      <c r="H16" s="2"/>
      <c r="I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C28/351510--OK7</v>
      </c>
      <c r="J16">
        <f>Table8[[#This Row],[Paket]]</f>
        <v>15</v>
      </c>
      <c r="L16" t="s">
        <v>75</v>
      </c>
      <c r="M16">
        <v>15</v>
      </c>
    </row>
    <row r="17" spans="1:13" x14ac:dyDescent="0.25">
      <c r="A17">
        <v>16</v>
      </c>
      <c r="B17" s="2" t="s">
        <v>12</v>
      </c>
      <c r="C17" s="2">
        <v>15</v>
      </c>
      <c r="D17" s="2">
        <v>15</v>
      </c>
      <c r="E17" s="2" t="s">
        <v>10</v>
      </c>
      <c r="F17" s="2" t="s">
        <v>10</v>
      </c>
      <c r="G17" s="2" t="s">
        <v>55</v>
      </c>
      <c r="H17" s="2"/>
      <c r="I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C28/351515--OK7</v>
      </c>
      <c r="J17">
        <f>Table8[[#This Row],[Paket]]</f>
        <v>16</v>
      </c>
      <c r="L17" t="s">
        <v>76</v>
      </c>
      <c r="M17">
        <v>16</v>
      </c>
    </row>
    <row r="18" spans="1:13" x14ac:dyDescent="0.25">
      <c r="A18">
        <v>17</v>
      </c>
      <c r="B18" s="2" t="s">
        <v>12</v>
      </c>
      <c r="C18" s="2">
        <v>15</v>
      </c>
      <c r="D18" s="2">
        <v>20</v>
      </c>
      <c r="E18" s="2" t="s">
        <v>10</v>
      </c>
      <c r="F18" s="2" t="s">
        <v>10</v>
      </c>
      <c r="G18" s="2" t="s">
        <v>55</v>
      </c>
      <c r="H18" s="2"/>
      <c r="I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C28/351520--OK7</v>
      </c>
      <c r="J18">
        <f>Table8[[#This Row],[Paket]]</f>
        <v>17</v>
      </c>
      <c r="L18" t="s">
        <v>77</v>
      </c>
      <c r="M18">
        <v>17</v>
      </c>
    </row>
    <row r="19" spans="1:13" x14ac:dyDescent="0.25">
      <c r="A19">
        <v>18</v>
      </c>
      <c r="B19" s="2" t="s">
        <v>12</v>
      </c>
      <c r="C19" s="2">
        <v>15</v>
      </c>
      <c r="D19" s="2">
        <v>15</v>
      </c>
      <c r="E19" s="2">
        <v>0</v>
      </c>
      <c r="F19" s="2" t="s">
        <v>10</v>
      </c>
      <c r="G19" s="2" t="s">
        <v>55</v>
      </c>
      <c r="H19" s="2"/>
      <c r="I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C28/3515150-OK7</v>
      </c>
      <c r="J19">
        <f>Table8[[#This Row],[Paket]]</f>
        <v>18</v>
      </c>
      <c r="L19" t="s">
        <v>78</v>
      </c>
      <c r="M19">
        <v>18</v>
      </c>
    </row>
    <row r="20" spans="1:13" x14ac:dyDescent="0.25">
      <c r="A20">
        <v>19</v>
      </c>
      <c r="B20" s="2" t="s">
        <v>12</v>
      </c>
      <c r="C20" s="2">
        <v>15</v>
      </c>
      <c r="D20" s="2">
        <v>20</v>
      </c>
      <c r="E20" s="2">
        <v>0</v>
      </c>
      <c r="F20" s="2" t="s">
        <v>11</v>
      </c>
      <c r="G20" s="2" t="s">
        <v>55</v>
      </c>
      <c r="H20" s="2"/>
      <c r="I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C28/3515200PresenningOK7</v>
      </c>
      <c r="J20">
        <f>Table8[[#This Row],[Paket]]</f>
        <v>19</v>
      </c>
      <c r="L20" t="s">
        <v>79</v>
      </c>
      <c r="M20">
        <v>19</v>
      </c>
    </row>
    <row r="21" spans="1:13" x14ac:dyDescent="0.25">
      <c r="A21">
        <v>20</v>
      </c>
      <c r="B21" s="2" t="s">
        <v>12</v>
      </c>
      <c r="C21" s="2">
        <v>20</v>
      </c>
      <c r="D21" s="2">
        <v>5</v>
      </c>
      <c r="E21" s="2">
        <v>20</v>
      </c>
      <c r="F21" s="2">
        <v>50</v>
      </c>
      <c r="G21" s="2" t="s">
        <v>55</v>
      </c>
      <c r="H21" s="2"/>
      <c r="I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C28/352052050OK7</v>
      </c>
      <c r="J21">
        <f>Table8[[#This Row],[Paket]]</f>
        <v>20</v>
      </c>
      <c r="L21" t="s">
        <v>80</v>
      </c>
      <c r="M21">
        <v>20</v>
      </c>
    </row>
    <row r="22" spans="1:13" x14ac:dyDescent="0.25">
      <c r="A22">
        <v>21</v>
      </c>
      <c r="B22" s="2" t="s">
        <v>43</v>
      </c>
      <c r="C22" s="2">
        <v>15</v>
      </c>
      <c r="D22" s="2">
        <v>10</v>
      </c>
      <c r="E22" s="2">
        <v>0</v>
      </c>
      <c r="F22" s="2" t="s">
        <v>11</v>
      </c>
      <c r="G22" s="2" t="s">
        <v>55</v>
      </c>
      <c r="H22" s="2"/>
      <c r="I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C30/3715100PresenningOK7</v>
      </c>
      <c r="J22">
        <f>Table8[[#This Row],[Paket]]</f>
        <v>21</v>
      </c>
      <c r="L22" t="s">
        <v>81</v>
      </c>
      <c r="M22">
        <v>21</v>
      </c>
    </row>
    <row r="23" spans="1:13" x14ac:dyDescent="0.25">
      <c r="A23">
        <v>22</v>
      </c>
      <c r="B23" s="2" t="s">
        <v>43</v>
      </c>
      <c r="C23" s="2">
        <v>15</v>
      </c>
      <c r="D23" s="2">
        <v>15</v>
      </c>
      <c r="E23" s="2">
        <v>0</v>
      </c>
      <c r="F23" s="2" t="s">
        <v>11</v>
      </c>
      <c r="G23" s="2" t="s">
        <v>55</v>
      </c>
      <c r="H23" s="2"/>
      <c r="I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C30/3715150PresenningOK7</v>
      </c>
      <c r="J23">
        <f>Table8[[#This Row],[Paket]]</f>
        <v>22</v>
      </c>
      <c r="L23" t="s">
        <v>82</v>
      </c>
      <c r="M23">
        <v>22</v>
      </c>
    </row>
    <row r="24" spans="1:13" x14ac:dyDescent="0.25">
      <c r="A24">
        <v>23</v>
      </c>
      <c r="B24" s="2" t="s">
        <v>43</v>
      </c>
      <c r="C24" s="2">
        <v>20</v>
      </c>
      <c r="D24" s="2">
        <v>5</v>
      </c>
      <c r="E24" s="2">
        <v>20</v>
      </c>
      <c r="F24" s="2">
        <v>50</v>
      </c>
      <c r="G24" s="2" t="s">
        <v>55</v>
      </c>
      <c r="H24" s="2"/>
      <c r="I2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C30/372052050OK7</v>
      </c>
      <c r="J24">
        <f>Table8[[#This Row],[Paket]]</f>
        <v>23</v>
      </c>
      <c r="L24" t="s">
        <v>83</v>
      </c>
      <c r="M24">
        <v>23</v>
      </c>
    </row>
    <row r="25" spans="1:13" x14ac:dyDescent="0.25">
      <c r="A25">
        <v>24</v>
      </c>
      <c r="B25" s="2" t="s">
        <v>45</v>
      </c>
      <c r="C25" s="2">
        <v>15</v>
      </c>
      <c r="D25" s="2">
        <v>10</v>
      </c>
      <c r="E25" s="2">
        <v>0</v>
      </c>
      <c r="F25" s="2" t="s">
        <v>11</v>
      </c>
      <c r="G25" s="2" t="s">
        <v>55</v>
      </c>
      <c r="H25" s="2"/>
      <c r="I2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C32/4015100PresenningOK7</v>
      </c>
      <c r="J25">
        <f>Table8[[#This Row],[Paket]]</f>
        <v>24</v>
      </c>
      <c r="L25" t="s">
        <v>84</v>
      </c>
      <c r="M25">
        <v>24</v>
      </c>
    </row>
    <row r="26" spans="1:13" x14ac:dyDescent="0.25">
      <c r="A26">
        <v>25</v>
      </c>
      <c r="B26" s="2" t="s">
        <v>45</v>
      </c>
      <c r="C26" s="2">
        <v>15</v>
      </c>
      <c r="D26" s="2">
        <v>15</v>
      </c>
      <c r="E26" s="2">
        <v>0</v>
      </c>
      <c r="F26" s="2" t="s">
        <v>11</v>
      </c>
      <c r="G26" s="2" t="s">
        <v>55</v>
      </c>
      <c r="H26" s="2"/>
      <c r="I2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C32/4015150PresenningOK7</v>
      </c>
      <c r="J26">
        <f>Table8[[#This Row],[Paket]]</f>
        <v>25</v>
      </c>
      <c r="L26" t="s">
        <v>85</v>
      </c>
      <c r="M26">
        <v>25</v>
      </c>
    </row>
    <row r="27" spans="1:13" x14ac:dyDescent="0.25">
      <c r="A27">
        <v>26</v>
      </c>
      <c r="B27" s="2" t="s">
        <v>45</v>
      </c>
      <c r="C27" s="2">
        <v>15</v>
      </c>
      <c r="D27" s="2">
        <v>5</v>
      </c>
      <c r="E27" s="2">
        <v>20</v>
      </c>
      <c r="F27" s="2">
        <v>50</v>
      </c>
      <c r="G27" s="2" t="s">
        <v>55</v>
      </c>
      <c r="H27" s="2"/>
      <c r="I2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C32/401552050OK7</v>
      </c>
      <c r="J27">
        <f>Table8[[#This Row],[Paket]]</f>
        <v>26</v>
      </c>
      <c r="L27" t="s">
        <v>86</v>
      </c>
      <c r="M27">
        <v>26</v>
      </c>
    </row>
    <row r="28" spans="1:13" x14ac:dyDescent="0.25">
      <c r="A28">
        <v>27</v>
      </c>
      <c r="B28" s="2" t="s">
        <v>45</v>
      </c>
      <c r="C28" s="2">
        <v>20</v>
      </c>
      <c r="D28" s="2">
        <v>5</v>
      </c>
      <c r="E28" s="2">
        <v>20</v>
      </c>
      <c r="F28" s="2">
        <v>50</v>
      </c>
      <c r="G28" s="2" t="s">
        <v>55</v>
      </c>
      <c r="H28" s="2"/>
      <c r="I2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C32/402052050OK7</v>
      </c>
      <c r="J28">
        <f>Table8[[#This Row],[Paket]]</f>
        <v>27</v>
      </c>
      <c r="L28" t="s">
        <v>87</v>
      </c>
      <c r="M28">
        <v>27</v>
      </c>
    </row>
    <row r="29" spans="1:13" x14ac:dyDescent="0.25">
      <c r="A29">
        <v>28</v>
      </c>
      <c r="B29" s="2" t="s">
        <v>13</v>
      </c>
      <c r="C29" s="2">
        <v>15</v>
      </c>
      <c r="D29" s="2">
        <v>10</v>
      </c>
      <c r="E29" s="2" t="s">
        <v>10</v>
      </c>
      <c r="F29" s="2" t="s">
        <v>10</v>
      </c>
      <c r="G29" s="2" t="s">
        <v>55</v>
      </c>
      <c r="H29" s="2"/>
      <c r="I2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C35/451510--OK7</v>
      </c>
      <c r="J29">
        <f>Table8[[#This Row],[Paket]]</f>
        <v>28</v>
      </c>
      <c r="L29" t="s">
        <v>88</v>
      </c>
      <c r="M29">
        <v>28</v>
      </c>
    </row>
    <row r="30" spans="1:13" x14ac:dyDescent="0.25">
      <c r="A30">
        <v>29</v>
      </c>
      <c r="B30" s="2" t="s">
        <v>13</v>
      </c>
      <c r="C30" s="2">
        <v>15</v>
      </c>
      <c r="D30" s="2">
        <v>15</v>
      </c>
      <c r="E30" s="2" t="s">
        <v>10</v>
      </c>
      <c r="F30" s="2" t="s">
        <v>10</v>
      </c>
      <c r="G30" s="2" t="s">
        <v>55</v>
      </c>
      <c r="H30" s="2"/>
      <c r="I3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C35/451515--OK7</v>
      </c>
      <c r="J30">
        <f>Table8[[#This Row],[Paket]]</f>
        <v>29</v>
      </c>
      <c r="L30" t="s">
        <v>89</v>
      </c>
      <c r="M30">
        <v>29</v>
      </c>
    </row>
    <row r="31" spans="1:13" x14ac:dyDescent="0.25">
      <c r="A31">
        <v>30</v>
      </c>
      <c r="B31" s="2" t="s">
        <v>13</v>
      </c>
      <c r="C31" s="2">
        <v>15</v>
      </c>
      <c r="D31" s="2">
        <v>15</v>
      </c>
      <c r="E31" s="2">
        <v>0</v>
      </c>
      <c r="F31" s="2" t="s">
        <v>11</v>
      </c>
      <c r="G31" s="2" t="s">
        <v>55</v>
      </c>
      <c r="H31" s="2"/>
      <c r="I3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C35/4515150PresenningOK7</v>
      </c>
      <c r="J31">
        <f>Table8[[#This Row],[Paket]]</f>
        <v>30</v>
      </c>
      <c r="L31" t="s">
        <v>90</v>
      </c>
      <c r="M31">
        <v>30</v>
      </c>
    </row>
    <row r="32" spans="1:13" x14ac:dyDescent="0.25">
      <c r="A32">
        <v>31</v>
      </c>
      <c r="B32" s="2" t="s">
        <v>13</v>
      </c>
      <c r="C32" s="2">
        <v>15</v>
      </c>
      <c r="D32" s="2">
        <v>5</v>
      </c>
      <c r="E32" s="2">
        <v>20</v>
      </c>
      <c r="F32" s="2">
        <v>50</v>
      </c>
      <c r="G32" s="2" t="s">
        <v>55</v>
      </c>
      <c r="H32" s="2"/>
      <c r="I3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C35/451552050OK7</v>
      </c>
      <c r="J32">
        <f>Table8[[#This Row],[Paket]]</f>
        <v>31</v>
      </c>
      <c r="L32" t="s">
        <v>91</v>
      </c>
      <c r="M32">
        <v>31</v>
      </c>
    </row>
    <row r="33" spans="1:13" x14ac:dyDescent="0.25">
      <c r="A33">
        <v>32</v>
      </c>
      <c r="B33" s="2" t="s">
        <v>13</v>
      </c>
      <c r="C33" s="2">
        <v>20</v>
      </c>
      <c r="D33" s="2">
        <v>5</v>
      </c>
      <c r="E33" s="2">
        <v>20</v>
      </c>
      <c r="F33" s="2">
        <v>50</v>
      </c>
      <c r="G33" s="2" t="s">
        <v>55</v>
      </c>
      <c r="H33" s="2"/>
      <c r="I3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C35/452052050OK7</v>
      </c>
      <c r="J33">
        <f>Table8[[#This Row],[Paket]]</f>
        <v>32</v>
      </c>
      <c r="L33" t="s">
        <v>92</v>
      </c>
      <c r="M33">
        <v>32</v>
      </c>
    </row>
    <row r="34" spans="1:13" x14ac:dyDescent="0.25">
      <c r="A34">
        <v>33</v>
      </c>
      <c r="B34" s="2" t="s">
        <v>14</v>
      </c>
      <c r="C34" s="2">
        <v>15</v>
      </c>
      <c r="D34" s="2">
        <v>10</v>
      </c>
      <c r="E34" s="2">
        <v>0</v>
      </c>
      <c r="F34" s="2" t="s">
        <v>11</v>
      </c>
      <c r="G34" s="2" t="s">
        <v>55</v>
      </c>
      <c r="H34" s="2"/>
      <c r="I3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C40/5015100PresenningOK7</v>
      </c>
      <c r="J34">
        <f>Table8[[#This Row],[Paket]]</f>
        <v>33</v>
      </c>
      <c r="L34" t="s">
        <v>93</v>
      </c>
      <c r="M34">
        <v>33</v>
      </c>
    </row>
    <row r="35" spans="1:13" x14ac:dyDescent="0.25">
      <c r="A35">
        <v>34</v>
      </c>
      <c r="B35" s="2" t="s">
        <v>14</v>
      </c>
      <c r="C35" s="2">
        <v>15</v>
      </c>
      <c r="D35" s="2">
        <v>15</v>
      </c>
      <c r="E35" s="2">
        <v>0</v>
      </c>
      <c r="F35" s="2" t="s">
        <v>11</v>
      </c>
      <c r="G35" s="2" t="s">
        <v>55</v>
      </c>
      <c r="H35" s="2"/>
      <c r="I3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C40/5015150PresenningOK7</v>
      </c>
      <c r="J35">
        <f>Table8[[#This Row],[Paket]]</f>
        <v>34</v>
      </c>
      <c r="L35" t="s">
        <v>94</v>
      </c>
      <c r="M35">
        <v>34</v>
      </c>
    </row>
    <row r="36" spans="1:13" x14ac:dyDescent="0.25">
      <c r="A36">
        <v>35</v>
      </c>
      <c r="B36" s="2" t="s">
        <v>14</v>
      </c>
      <c r="C36" s="2">
        <v>20</v>
      </c>
      <c r="D36" s="2">
        <v>5</v>
      </c>
      <c r="E36" s="2">
        <v>20</v>
      </c>
      <c r="F36" s="2">
        <v>50</v>
      </c>
      <c r="G36" s="2" t="s">
        <v>55</v>
      </c>
      <c r="H36" s="2"/>
      <c r="I3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C40/502052050OK7</v>
      </c>
      <c r="J36">
        <f>Table8[[#This Row],[Paket]]</f>
        <v>35</v>
      </c>
      <c r="L36" t="s">
        <v>95</v>
      </c>
      <c r="M36">
        <v>35</v>
      </c>
    </row>
    <row r="37" spans="1:13" x14ac:dyDescent="0.25">
      <c r="A37">
        <v>36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  <c r="G37" s="2"/>
      <c r="H37" s="2" t="s">
        <v>15</v>
      </c>
      <c r="I3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-----Fryser innan täck</v>
      </c>
      <c r="J37">
        <f>Table8[[#This Row],[Paket]]</f>
        <v>36</v>
      </c>
      <c r="L37" t="s">
        <v>96</v>
      </c>
      <c r="M37">
        <v>36</v>
      </c>
    </row>
    <row r="38" spans="1:13" x14ac:dyDescent="0.25">
      <c r="A38">
        <v>37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10</v>
      </c>
      <c r="G38" s="2"/>
      <c r="H38" s="2" t="s">
        <v>17</v>
      </c>
      <c r="I3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7 D]]&amp;Table8[[#This Row],[Kommentar]]</f>
        <v>-----Når ej 70%</v>
      </c>
      <c r="J38">
        <f>Table8[[#This Row],[Paket]]</f>
        <v>37</v>
      </c>
      <c r="L38" t="s">
        <v>97</v>
      </c>
      <c r="M38">
        <v>37</v>
      </c>
    </row>
    <row r="39" spans="1:13" x14ac:dyDescent="0.25">
      <c r="B39" s="2"/>
      <c r="C39" s="2"/>
      <c r="D39" s="2"/>
      <c r="E39" s="2"/>
      <c r="F39" s="2"/>
      <c r="G39" s="2"/>
      <c r="H39" s="2"/>
    </row>
    <row r="44" spans="1:13" x14ac:dyDescent="0.25">
      <c r="C44" t="s">
        <v>14</v>
      </c>
      <c r="D44">
        <v>10</v>
      </c>
      <c r="E44">
        <v>5</v>
      </c>
      <c r="F44">
        <v>20</v>
      </c>
      <c r="G44">
        <v>50</v>
      </c>
    </row>
    <row r="45" spans="1:13" x14ac:dyDescent="0.25">
      <c r="C45" t="s">
        <v>14</v>
      </c>
      <c r="D45">
        <v>10</v>
      </c>
      <c r="E45">
        <v>5</v>
      </c>
      <c r="F45">
        <v>20</v>
      </c>
      <c r="G45">
        <v>50</v>
      </c>
    </row>
  </sheetData>
  <phoneticPr fontId="3" type="noConversion"/>
  <dataValidations count="4">
    <dataValidation type="list" allowBlank="1" showInputMessage="1" showErrorMessage="1" sqref="C2:C38" xr:uid="{17E13913-F335-496B-B2BA-16112119B815}">
      <formula1>"10,15,20,25,-"</formula1>
    </dataValidation>
    <dataValidation type="list" allowBlank="1" showInputMessage="1" showErrorMessage="1" sqref="D2:D38" xr:uid="{B9779B60-0F9E-4898-AFD4-704DCEA47B05}">
      <formula1>"5,10,15,20,-"</formula1>
    </dataValidation>
    <dataValidation type="list" allowBlank="1" showInputMessage="1" showErrorMessage="1" sqref="E2:E38" xr:uid="{540FD120-1526-4F5A-ACAF-2A894C5105C1}">
      <formula1>"0,5,10,15,20,-"</formula1>
    </dataValidation>
    <dataValidation type="list" allowBlank="1" showInputMessage="1" showErrorMessage="1" sqref="F2:F38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52DD61-573D-45AA-869F-E83858648F78}">
          <x14:formula1>
            <xm:f>Förutsättningar!$A$2:$A$9</xm:f>
          </x14:formula1>
          <xm:sqref>B2:B38</xm:sqref>
        </x14:dataValidation>
        <x14:dataValidation type="list" allowBlank="1" showInputMessage="1" showErrorMessage="1" xr:uid="{31589423-A127-4D6C-A300-B39A4647BF39}">
          <x14:formula1>
            <xm:f>Förutsättningar!$I$2</xm:f>
          </x14:formula1>
          <xm:sqref>G2:G38</xm:sqref>
        </x14:dataValidation>
        <x14:dataValidation type="list" allowBlank="1" showInputMessage="1" showErrorMessage="1" xr:uid="{F363F602-EC61-477D-9710-D42E73C53D53}">
          <x14:formula1>
            <xm:f>Förutsättningar!$H$2:$H$3</xm:f>
          </x14:formula1>
          <xm:sqref>H2:H38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dimension ref="A1:O100"/>
  <sheetViews>
    <sheetView zoomScale="115" zoomScaleNormal="115" workbookViewId="0">
      <selection activeCell="J16" sqref="J16"/>
    </sheetView>
  </sheetViews>
  <sheetFormatPr defaultRowHeight="15" x14ac:dyDescent="0.25"/>
  <cols>
    <col min="1" max="1" width="14.5703125" customWidth="1"/>
    <col min="2" max="2" width="12" customWidth="1"/>
    <col min="3" max="6" width="12.140625" customWidth="1"/>
    <col min="7" max="7" width="6.7109375" customWidth="1"/>
    <col min="9" max="9" width="13.42578125" customWidth="1"/>
    <col min="10" max="10" width="14.85546875" customWidth="1"/>
    <col min="11" max="11" width="18.85546875" customWidth="1"/>
    <col min="12" max="12" width="14.42578125" customWidth="1"/>
    <col min="13" max="13" width="10.7109375" customWidth="1"/>
    <col min="15" max="15" width="16.140625" bestFit="1" customWidth="1"/>
  </cols>
  <sheetData>
    <row r="1" spans="1:13" ht="18" customHeight="1" thickBot="1" x14ac:dyDescent="0.3">
      <c r="A1" s="71" t="s">
        <v>30</v>
      </c>
      <c r="B1" s="72" t="s">
        <v>31</v>
      </c>
      <c r="C1" s="100" t="s">
        <v>32</v>
      </c>
      <c r="D1" s="100" t="s">
        <v>33</v>
      </c>
      <c r="E1" s="100" t="s">
        <v>34</v>
      </c>
      <c r="F1" s="101" t="s">
        <v>35</v>
      </c>
    </row>
    <row r="2" spans="1:13" ht="15" customHeight="1" x14ac:dyDescent="0.25">
      <c r="A2" s="49"/>
      <c r="B2" s="61">
        <v>0</v>
      </c>
      <c r="C2" s="46">
        <f>'Data till Lathund, Kådgenererin'!M39</f>
        <v>38</v>
      </c>
      <c r="D2" s="37">
        <f>'Data till Lathund, Kådgenererin'!M84</f>
        <v>52</v>
      </c>
      <c r="E2" s="37">
        <f>'Data till Lathund, Kådgenererin'!M129</f>
        <v>52</v>
      </c>
      <c r="F2" s="43">
        <f>'Data till Lathund, Kådgenererin'!M174</f>
        <v>52</v>
      </c>
      <c r="I2" s="103" t="s">
        <v>48</v>
      </c>
      <c r="J2">
        <v>2</v>
      </c>
      <c r="K2" t="s">
        <v>49</v>
      </c>
      <c r="L2" s="103" t="s">
        <v>48</v>
      </c>
      <c r="M2">
        <f>AVERAGE(J2,J7,J12)</f>
        <v>1.3333333333333333</v>
      </c>
    </row>
    <row r="3" spans="1:13" ht="15" customHeight="1" x14ac:dyDescent="0.25">
      <c r="A3" s="50"/>
      <c r="B3" s="62">
        <v>2</v>
      </c>
      <c r="C3" s="47">
        <f>'Data till Lathund, Kådgenererin'!M40</f>
        <v>38</v>
      </c>
      <c r="D3" s="39">
        <f>'Data till Lathund, Kådgenererin'!M85</f>
        <v>52</v>
      </c>
      <c r="E3" s="39">
        <f>'Data till Lathund, Kådgenererin'!M130</f>
        <v>52</v>
      </c>
      <c r="F3" s="43">
        <f>'Data till Lathund, Kådgenererin'!M175</f>
        <v>52</v>
      </c>
      <c r="I3" s="103" t="s">
        <v>50</v>
      </c>
      <c r="J3">
        <v>3</v>
      </c>
      <c r="L3" s="103" t="s">
        <v>50</v>
      </c>
      <c r="M3">
        <f t="shared" ref="M3:M5" si="0">AVERAGE(J3,J8,J13)</f>
        <v>2</v>
      </c>
    </row>
    <row r="4" spans="1:13" ht="15" customHeight="1" x14ac:dyDescent="0.25">
      <c r="A4" s="50">
        <v>20</v>
      </c>
      <c r="B4" s="63">
        <v>7</v>
      </c>
      <c r="C4" s="47">
        <f>'Data till Lathund, Kådgenererin'!M41</f>
        <v>38</v>
      </c>
      <c r="D4" s="39">
        <f>'Data till Lathund, Kådgenererin'!M86</f>
        <v>52</v>
      </c>
      <c r="E4" s="39">
        <f>'Data till Lathund, Kådgenererin'!M131</f>
        <v>52</v>
      </c>
      <c r="F4" s="43">
        <f>'Data till Lathund, Kådgenererin'!M176</f>
        <v>52</v>
      </c>
      <c r="I4" s="103" t="s">
        <v>51</v>
      </c>
      <c r="J4">
        <v>4</v>
      </c>
      <c r="L4" s="103" t="s">
        <v>51</v>
      </c>
      <c r="M4">
        <f t="shared" si="0"/>
        <v>3.6666666666666665</v>
      </c>
    </row>
    <row r="5" spans="1:13" ht="15" customHeight="1" x14ac:dyDescent="0.25">
      <c r="A5" s="50"/>
      <c r="B5" s="62">
        <v>12</v>
      </c>
      <c r="C5" s="47">
        <f>'Data till Lathund, Kådgenererin'!M42</f>
        <v>38</v>
      </c>
      <c r="D5" s="39">
        <f>'Data till Lathund, Kådgenererin'!M87</f>
        <v>52</v>
      </c>
      <c r="E5" s="39">
        <f>'Data till Lathund, Kådgenererin'!M132</f>
        <v>52</v>
      </c>
      <c r="F5" s="43">
        <f>'Data till Lathund, Kådgenererin'!M177</f>
        <v>52</v>
      </c>
      <c r="I5" s="103" t="s">
        <v>52</v>
      </c>
      <c r="J5">
        <v>4</v>
      </c>
      <c r="L5" s="103" t="s">
        <v>52</v>
      </c>
      <c r="M5">
        <f t="shared" si="0"/>
        <v>4</v>
      </c>
    </row>
    <row r="6" spans="1:13" ht="15" customHeight="1" thickBot="1" x14ac:dyDescent="0.3">
      <c r="A6" s="51"/>
      <c r="B6" s="64">
        <v>20</v>
      </c>
      <c r="C6" s="48">
        <f>'Data till Lathund, Kådgenererin'!M43</f>
        <v>38</v>
      </c>
      <c r="D6" s="40">
        <f>'Data till Lathund, Kådgenererin'!M88</f>
        <v>52</v>
      </c>
      <c r="E6" s="40">
        <f>'Data till Lathund, Kådgenererin'!M133</f>
        <v>52</v>
      </c>
      <c r="F6" s="44">
        <f>'Data till Lathund, Kådgenererin'!M178</f>
        <v>52</v>
      </c>
    </row>
    <row r="7" spans="1:13" ht="15" customHeight="1" x14ac:dyDescent="0.25">
      <c r="A7" s="52"/>
      <c r="B7" s="65">
        <v>0</v>
      </c>
      <c r="C7" s="46">
        <f>'Data till Lathund, Kådgenererin'!M44</f>
        <v>39</v>
      </c>
      <c r="D7" s="37">
        <f>'Data till Lathund, Kådgenererin'!M89</f>
        <v>52</v>
      </c>
      <c r="E7" s="37">
        <f>'Data till Lathund, Kådgenererin'!M134</f>
        <v>52</v>
      </c>
      <c r="F7" s="45">
        <f>'Data till Lathund, Kådgenererin'!M179</f>
        <v>52</v>
      </c>
      <c r="I7" s="103" t="s">
        <v>48</v>
      </c>
      <c r="J7">
        <v>0</v>
      </c>
    </row>
    <row r="8" spans="1:13" ht="15" customHeight="1" x14ac:dyDescent="0.25">
      <c r="A8" s="53"/>
      <c r="B8" s="63">
        <v>2</v>
      </c>
      <c r="C8" s="47">
        <f>'Data till Lathund, Kådgenererin'!M45</f>
        <v>39</v>
      </c>
      <c r="D8" s="39">
        <f>'Data till Lathund, Kådgenererin'!M90</f>
        <v>52</v>
      </c>
      <c r="E8" s="39">
        <f>'Data till Lathund, Kådgenererin'!M135</f>
        <v>52</v>
      </c>
      <c r="F8" s="43">
        <f>'Data till Lathund, Kådgenererin'!M180</f>
        <v>52</v>
      </c>
      <c r="I8" s="103" t="s">
        <v>50</v>
      </c>
      <c r="J8">
        <v>1</v>
      </c>
    </row>
    <row r="9" spans="1:13" ht="15" customHeight="1" x14ac:dyDescent="0.25">
      <c r="A9" s="53">
        <v>15</v>
      </c>
      <c r="B9" s="62">
        <v>7</v>
      </c>
      <c r="C9" s="47">
        <f>'Data till Lathund, Kådgenererin'!M46</f>
        <v>39</v>
      </c>
      <c r="D9" s="39">
        <f>'Data till Lathund, Kådgenererin'!M91</f>
        <v>52</v>
      </c>
      <c r="E9" s="39">
        <f>'Data till Lathund, Kådgenererin'!M136</f>
        <v>52</v>
      </c>
      <c r="F9" s="43">
        <f>'Data till Lathund, Kådgenererin'!M181</f>
        <v>52</v>
      </c>
      <c r="I9" s="103" t="s">
        <v>51</v>
      </c>
      <c r="J9">
        <v>3</v>
      </c>
    </row>
    <row r="10" spans="1:13" ht="15" customHeight="1" x14ac:dyDescent="0.25">
      <c r="A10" s="53"/>
      <c r="B10" s="63">
        <v>12</v>
      </c>
      <c r="C10" s="47">
        <f>'Data till Lathund, Kådgenererin'!M47</f>
        <v>40</v>
      </c>
      <c r="D10" s="39">
        <f>'Data till Lathund, Kådgenererin'!M92</f>
        <v>52</v>
      </c>
      <c r="E10" s="39">
        <f>'Data till Lathund, Kådgenererin'!M137</f>
        <v>52</v>
      </c>
      <c r="F10" s="43">
        <f>'Data till Lathund, Kådgenererin'!M182</f>
        <v>52</v>
      </c>
      <c r="I10" s="103" t="s">
        <v>52</v>
      </c>
      <c r="J10">
        <v>4</v>
      </c>
    </row>
    <row r="11" spans="1:13" ht="15" customHeight="1" thickBot="1" x14ac:dyDescent="0.3">
      <c r="A11" s="54"/>
      <c r="B11" s="66">
        <v>20</v>
      </c>
      <c r="C11" s="48">
        <f>'Data till Lathund, Kådgenererin'!M48</f>
        <v>40</v>
      </c>
      <c r="D11" s="40">
        <f>'Data till Lathund, Kådgenererin'!M93</f>
        <v>52</v>
      </c>
      <c r="E11" s="40">
        <f>'Data till Lathund, Kådgenererin'!M138</f>
        <v>52</v>
      </c>
      <c r="F11" s="44">
        <f>'Data till Lathund, Kådgenererin'!M183</f>
        <v>52</v>
      </c>
    </row>
    <row r="12" spans="1:13" ht="15" customHeight="1" x14ac:dyDescent="0.25">
      <c r="A12" s="49"/>
      <c r="B12" s="61">
        <v>0</v>
      </c>
      <c r="C12" s="46">
        <f>'Data till Lathund, Kådgenererin'!M49</f>
        <v>41</v>
      </c>
      <c r="D12" s="37">
        <f>'Data till Lathund, Kådgenererin'!M94</f>
        <v>52</v>
      </c>
      <c r="E12" s="37">
        <f>'Data till Lathund, Kådgenererin'!M139</f>
        <v>52</v>
      </c>
      <c r="F12" s="45">
        <f>'Data till Lathund, Kådgenererin'!M184</f>
        <v>52</v>
      </c>
      <c r="I12" s="103" t="s">
        <v>48</v>
      </c>
      <c r="J12">
        <v>2</v>
      </c>
    </row>
    <row r="13" spans="1:13" ht="15" customHeight="1" x14ac:dyDescent="0.25">
      <c r="A13" s="50"/>
      <c r="B13" s="62">
        <v>2</v>
      </c>
      <c r="C13" s="47">
        <f>'Data till Lathund, Kådgenererin'!M50</f>
        <v>42</v>
      </c>
      <c r="D13" s="39">
        <f>'Data till Lathund, Kådgenererin'!M95</f>
        <v>52</v>
      </c>
      <c r="E13" s="39">
        <f>'Data till Lathund, Kådgenererin'!M140</f>
        <v>52</v>
      </c>
      <c r="F13" s="43">
        <f>'Data till Lathund, Kådgenererin'!M185</f>
        <v>52</v>
      </c>
      <c r="I13" s="103" t="s">
        <v>50</v>
      </c>
      <c r="J13">
        <v>2</v>
      </c>
    </row>
    <row r="14" spans="1:13" ht="15" customHeight="1" x14ac:dyDescent="0.25">
      <c r="A14" s="50">
        <v>10</v>
      </c>
      <c r="B14" s="63">
        <v>7</v>
      </c>
      <c r="C14" s="47">
        <f>'Data till Lathund, Kådgenererin'!M51</f>
        <v>43</v>
      </c>
      <c r="D14" s="39">
        <f>'Data till Lathund, Kådgenererin'!M96</f>
        <v>52</v>
      </c>
      <c r="E14" s="39">
        <f>'Data till Lathund, Kådgenererin'!M141</f>
        <v>52</v>
      </c>
      <c r="F14" s="43">
        <f>'Data till Lathund, Kådgenererin'!M186</f>
        <v>52</v>
      </c>
      <c r="I14" s="103" t="s">
        <v>51</v>
      </c>
      <c r="J14">
        <v>4</v>
      </c>
    </row>
    <row r="15" spans="1:13" ht="15" customHeight="1" x14ac:dyDescent="0.25">
      <c r="A15" s="50"/>
      <c r="B15" s="62">
        <v>12</v>
      </c>
      <c r="C15" s="47">
        <f>'Data till Lathund, Kådgenererin'!M52</f>
        <v>43</v>
      </c>
      <c r="D15" s="39">
        <f>'Data till Lathund, Kådgenererin'!M97</f>
        <v>52</v>
      </c>
      <c r="E15" s="39">
        <f>'Data till Lathund, Kådgenererin'!M142</f>
        <v>52</v>
      </c>
      <c r="F15" s="43">
        <f>'Data till Lathund, Kådgenererin'!M187</f>
        <v>52</v>
      </c>
      <c r="I15" s="103" t="s">
        <v>52</v>
      </c>
      <c r="J15">
        <v>4</v>
      </c>
    </row>
    <row r="16" spans="1:13" ht="15" customHeight="1" thickBot="1" x14ac:dyDescent="0.3">
      <c r="A16" s="51"/>
      <c r="B16" s="64">
        <v>20</v>
      </c>
      <c r="C16" s="48">
        <f>'Data till Lathund, Kådgenererin'!M53</f>
        <v>43</v>
      </c>
      <c r="D16" s="40">
        <f>'Data till Lathund, Kådgenererin'!M98</f>
        <v>52</v>
      </c>
      <c r="E16" s="40">
        <f>'Data till Lathund, Kådgenererin'!M143</f>
        <v>52</v>
      </c>
      <c r="F16" s="44">
        <f>'Data till Lathund, Kådgenererin'!M188</f>
        <v>52</v>
      </c>
    </row>
    <row r="17" spans="1:14" ht="15" customHeight="1" x14ac:dyDescent="0.25">
      <c r="A17" s="52"/>
      <c r="B17" s="65">
        <v>0</v>
      </c>
      <c r="C17" s="46">
        <f>'Data till Lathund, Kådgenererin'!M54</f>
        <v>44</v>
      </c>
      <c r="D17" s="37">
        <f>'Data till Lathund, Kådgenererin'!M99</f>
        <v>52</v>
      </c>
      <c r="E17" s="37">
        <f>'Data till Lathund, Kådgenererin'!M144</f>
        <v>52</v>
      </c>
      <c r="F17" s="45">
        <f>'Data till Lathund, Kådgenererin'!M189</f>
        <v>52</v>
      </c>
      <c r="I17" s="103" t="s">
        <v>48</v>
      </c>
      <c r="J17">
        <v>0</v>
      </c>
      <c r="K17" t="s">
        <v>53</v>
      </c>
      <c r="L17" s="103" t="s">
        <v>48</v>
      </c>
      <c r="M17">
        <f>AVERAGE(J17,J22,J27)</f>
        <v>0</v>
      </c>
    </row>
    <row r="18" spans="1:14" ht="15" customHeight="1" x14ac:dyDescent="0.25">
      <c r="A18" s="53"/>
      <c r="B18" s="63">
        <v>2</v>
      </c>
      <c r="C18" s="47">
        <f>'Data till Lathund, Kådgenererin'!M55</f>
        <v>45</v>
      </c>
      <c r="D18" s="39">
        <f>'Data till Lathund, Kådgenererin'!M100</f>
        <v>52</v>
      </c>
      <c r="E18" s="39">
        <f>'Data till Lathund, Kådgenererin'!M145</f>
        <v>52</v>
      </c>
      <c r="F18" s="43">
        <f>'Data till Lathund, Kådgenererin'!M190</f>
        <v>52</v>
      </c>
      <c r="I18" s="103" t="s">
        <v>50</v>
      </c>
      <c r="J18">
        <v>1</v>
      </c>
      <c r="L18" s="103" t="s">
        <v>50</v>
      </c>
      <c r="M18">
        <f t="shared" ref="M18:M20" si="1">AVERAGE(J18,J23,J28)</f>
        <v>0.66666666666666663</v>
      </c>
    </row>
    <row r="19" spans="1:14" ht="15" customHeight="1" x14ac:dyDescent="0.25">
      <c r="A19" s="53">
        <v>5</v>
      </c>
      <c r="B19" s="62">
        <v>7</v>
      </c>
      <c r="C19" s="47">
        <f>'Data till Lathund, Kådgenererin'!M56</f>
        <v>46</v>
      </c>
      <c r="D19" s="39">
        <f>'Data till Lathund, Kådgenererin'!M101</f>
        <v>52</v>
      </c>
      <c r="E19" s="39">
        <f>'Data till Lathund, Kådgenererin'!M146</f>
        <v>52</v>
      </c>
      <c r="F19" s="43">
        <f>'Data till Lathund, Kådgenererin'!M191</f>
        <v>52</v>
      </c>
      <c r="I19" s="103" t="s">
        <v>51</v>
      </c>
      <c r="J19">
        <v>3</v>
      </c>
      <c r="L19" s="103" t="s">
        <v>51</v>
      </c>
      <c r="M19">
        <f t="shared" si="1"/>
        <v>3</v>
      </c>
      <c r="N19">
        <f>M19/4</f>
        <v>0.75</v>
      </c>
    </row>
    <row r="20" spans="1:14" ht="15" customHeight="1" x14ac:dyDescent="0.25">
      <c r="A20" s="53"/>
      <c r="B20" s="63">
        <v>12</v>
      </c>
      <c r="C20" s="47">
        <f>'Data till Lathund, Kådgenererin'!M57</f>
        <v>46</v>
      </c>
      <c r="D20" s="39">
        <f>'Data till Lathund, Kådgenererin'!M102</f>
        <v>52</v>
      </c>
      <c r="E20" s="39">
        <f>'Data till Lathund, Kådgenererin'!M147</f>
        <v>52</v>
      </c>
      <c r="F20" s="43">
        <f>'Data till Lathund, Kådgenererin'!M192</f>
        <v>52</v>
      </c>
      <c r="I20" s="103" t="s">
        <v>52</v>
      </c>
      <c r="J20">
        <v>4</v>
      </c>
      <c r="L20" s="103" t="s">
        <v>52</v>
      </c>
      <c r="M20">
        <f t="shared" si="1"/>
        <v>3.3333333333333335</v>
      </c>
    </row>
    <row r="21" spans="1:14" ht="15" customHeight="1" thickBot="1" x14ac:dyDescent="0.3">
      <c r="A21" s="54"/>
      <c r="B21" s="66">
        <v>20</v>
      </c>
      <c r="C21" s="48">
        <f>'Data till Lathund, Kådgenererin'!M58</f>
        <v>46</v>
      </c>
      <c r="D21" s="40">
        <f>'Data till Lathund, Kådgenererin'!M103</f>
        <v>52</v>
      </c>
      <c r="E21" s="40">
        <f>'Data till Lathund, Kådgenererin'!M148</f>
        <v>52</v>
      </c>
      <c r="F21" s="44">
        <f>'Data till Lathund, Kådgenererin'!M193</f>
        <v>52</v>
      </c>
    </row>
    <row r="22" spans="1:14" ht="15" customHeight="1" x14ac:dyDescent="0.25">
      <c r="A22" s="49"/>
      <c r="B22" s="61">
        <v>0</v>
      </c>
      <c r="C22" s="46">
        <f>'Data till Lathund, Kådgenererin'!M59</f>
        <v>44</v>
      </c>
      <c r="D22" s="37">
        <f>'Data till Lathund, Kådgenererin'!M104</f>
        <v>52</v>
      </c>
      <c r="E22" s="37">
        <f>'Data till Lathund, Kådgenererin'!M149</f>
        <v>52</v>
      </c>
      <c r="F22" s="45">
        <f>'Data till Lathund, Kådgenererin'!M194</f>
        <v>52</v>
      </c>
      <c r="I22" s="103" t="s">
        <v>48</v>
      </c>
      <c r="J22">
        <v>0</v>
      </c>
    </row>
    <row r="23" spans="1:14" ht="15" customHeight="1" x14ac:dyDescent="0.25">
      <c r="A23" s="50"/>
      <c r="B23" s="62">
        <v>2</v>
      </c>
      <c r="C23" s="47">
        <f>'Data till Lathund, Kådgenererin'!M60</f>
        <v>46</v>
      </c>
      <c r="D23" s="39">
        <f>'Data till Lathund, Kådgenererin'!M105</f>
        <v>52</v>
      </c>
      <c r="E23" s="39">
        <f>'Data till Lathund, Kådgenererin'!M150</f>
        <v>52</v>
      </c>
      <c r="F23" s="43">
        <f>'Data till Lathund, Kådgenererin'!M195</f>
        <v>52</v>
      </c>
      <c r="I23" s="103" t="s">
        <v>50</v>
      </c>
      <c r="J23">
        <v>1</v>
      </c>
    </row>
    <row r="24" spans="1:14" ht="15" customHeight="1" x14ac:dyDescent="0.25">
      <c r="A24" s="50">
        <v>0</v>
      </c>
      <c r="B24" s="63">
        <v>7</v>
      </c>
      <c r="C24" s="47">
        <f>'Data till Lathund, Kådgenererin'!M61</f>
        <v>46</v>
      </c>
      <c r="D24" s="39">
        <f>'Data till Lathund, Kådgenererin'!M106</f>
        <v>52</v>
      </c>
      <c r="E24" s="39">
        <f>'Data till Lathund, Kådgenererin'!M151</f>
        <v>52</v>
      </c>
      <c r="F24" s="43">
        <f>'Data till Lathund, Kådgenererin'!M196</f>
        <v>52</v>
      </c>
      <c r="I24" s="103" t="s">
        <v>51</v>
      </c>
      <c r="J24">
        <v>3</v>
      </c>
    </row>
    <row r="25" spans="1:14" ht="15" customHeight="1" x14ac:dyDescent="0.25">
      <c r="A25" s="50"/>
      <c r="B25" s="62">
        <v>12</v>
      </c>
      <c r="C25" s="47">
        <f>'Data till Lathund, Kådgenererin'!M62</f>
        <v>46</v>
      </c>
      <c r="D25" s="39">
        <f>'Data till Lathund, Kådgenererin'!M107</f>
        <v>52</v>
      </c>
      <c r="E25" s="39">
        <f>'Data till Lathund, Kådgenererin'!M152</f>
        <v>52</v>
      </c>
      <c r="F25" s="43">
        <f>'Data till Lathund, Kådgenererin'!M197</f>
        <v>52</v>
      </c>
      <c r="I25" s="103" t="s">
        <v>52</v>
      </c>
      <c r="J25">
        <v>3</v>
      </c>
    </row>
    <row r="26" spans="1:14" ht="15" customHeight="1" thickBot="1" x14ac:dyDescent="0.3">
      <c r="A26" s="51"/>
      <c r="B26" s="64">
        <v>20</v>
      </c>
      <c r="C26" s="48">
        <f>'Data till Lathund, Kådgenererin'!M63</f>
        <v>46</v>
      </c>
      <c r="D26" s="40">
        <f>'Data till Lathund, Kådgenererin'!M108</f>
        <v>52</v>
      </c>
      <c r="E26" s="40">
        <f>'Data till Lathund, Kådgenererin'!M153</f>
        <v>52</v>
      </c>
      <c r="F26" s="44">
        <f>'Data till Lathund, Kådgenererin'!M198</f>
        <v>52</v>
      </c>
    </row>
    <row r="27" spans="1:14" ht="15" customHeight="1" x14ac:dyDescent="0.25">
      <c r="A27" s="55"/>
      <c r="B27" s="65">
        <v>0</v>
      </c>
      <c r="C27" s="46">
        <f>'Data till Lathund, Kådgenererin'!M64</f>
        <v>46</v>
      </c>
      <c r="D27" s="37">
        <f>'Data till Lathund, Kådgenererin'!M109</f>
        <v>52</v>
      </c>
      <c r="E27" s="37">
        <f>'Data till Lathund, Kådgenererin'!M154</f>
        <v>52</v>
      </c>
      <c r="F27" s="45">
        <f>'Data till Lathund, Kådgenererin'!M199</f>
        <v>52</v>
      </c>
      <c r="I27" s="103" t="s">
        <v>48</v>
      </c>
      <c r="J27">
        <v>0</v>
      </c>
    </row>
    <row r="28" spans="1:14" ht="15" customHeight="1" x14ac:dyDescent="0.25">
      <c r="A28" s="56"/>
      <c r="B28" s="63">
        <v>2</v>
      </c>
      <c r="C28" s="47">
        <f>'Data till Lathund, Kådgenererin'!M65</f>
        <v>46</v>
      </c>
      <c r="D28" s="39">
        <f>'Data till Lathund, Kådgenererin'!M110</f>
        <v>52</v>
      </c>
      <c r="E28" s="39">
        <f>'Data till Lathund, Kådgenererin'!M155</f>
        <v>52</v>
      </c>
      <c r="F28" s="43">
        <f>'Data till Lathund, Kådgenererin'!M200</f>
        <v>52</v>
      </c>
      <c r="I28" s="103" t="s">
        <v>50</v>
      </c>
      <c r="J28">
        <v>0</v>
      </c>
    </row>
    <row r="29" spans="1:14" ht="15" customHeight="1" x14ac:dyDescent="0.25">
      <c r="A29" s="56">
        <v>-5</v>
      </c>
      <c r="B29" s="62">
        <v>7</v>
      </c>
      <c r="C29" s="47">
        <f>'Data till Lathund, Kådgenererin'!M66</f>
        <v>47</v>
      </c>
      <c r="D29" s="39">
        <f>'Data till Lathund, Kådgenererin'!M111</f>
        <v>52</v>
      </c>
      <c r="E29" s="39">
        <f>'Data till Lathund, Kådgenererin'!M156</f>
        <v>52</v>
      </c>
      <c r="F29" s="43">
        <f>'Data till Lathund, Kådgenererin'!M201</f>
        <v>52</v>
      </c>
      <c r="I29" s="103" t="s">
        <v>51</v>
      </c>
      <c r="J29">
        <v>3</v>
      </c>
    </row>
    <row r="30" spans="1:14" ht="15" customHeight="1" x14ac:dyDescent="0.25">
      <c r="A30" s="56"/>
      <c r="B30" s="63">
        <v>12</v>
      </c>
      <c r="C30" s="47">
        <f>'Data till Lathund, Kådgenererin'!M67</f>
        <v>47</v>
      </c>
      <c r="D30" s="39">
        <f>'Data till Lathund, Kådgenererin'!M112</f>
        <v>52</v>
      </c>
      <c r="E30" s="39">
        <f>'Data till Lathund, Kådgenererin'!M157</f>
        <v>52</v>
      </c>
      <c r="F30" s="43">
        <f>'Data till Lathund, Kådgenererin'!M202</f>
        <v>52</v>
      </c>
      <c r="I30" s="103" t="s">
        <v>52</v>
      </c>
      <c r="J30">
        <v>3</v>
      </c>
    </row>
    <row r="31" spans="1:14" ht="15" customHeight="1" thickBot="1" x14ac:dyDescent="0.3">
      <c r="A31" s="57"/>
      <c r="B31" s="66">
        <v>20</v>
      </c>
      <c r="C31" s="48">
        <f>'Data till Lathund, Kådgenererin'!M68</f>
        <v>36</v>
      </c>
      <c r="D31" s="40">
        <f>'Data till Lathund, Kådgenererin'!M113</f>
        <v>52</v>
      </c>
      <c r="E31" s="40">
        <f>'Data till Lathund, Kådgenererin'!M158</f>
        <v>52</v>
      </c>
      <c r="F31" s="44">
        <f>'Data till Lathund, Kådgenererin'!M203</f>
        <v>52</v>
      </c>
    </row>
    <row r="32" spans="1:14" ht="15" customHeight="1" x14ac:dyDescent="0.25">
      <c r="A32" s="58"/>
      <c r="B32" s="61">
        <v>0</v>
      </c>
      <c r="C32" s="46">
        <f>'Data till Lathund, Kådgenererin'!M69</f>
        <v>46</v>
      </c>
      <c r="D32" s="37">
        <f>'Data till Lathund, Kådgenererin'!M114</f>
        <v>52</v>
      </c>
      <c r="E32" s="37">
        <f>'Data till Lathund, Kådgenererin'!M159</f>
        <v>52</v>
      </c>
      <c r="F32" s="45">
        <f>'Data till Lathund, Kådgenererin'!M204</f>
        <v>52</v>
      </c>
      <c r="I32" s="103" t="s">
        <v>48</v>
      </c>
      <c r="J32">
        <v>0</v>
      </c>
      <c r="K32" t="s">
        <v>54</v>
      </c>
      <c r="L32" s="103" t="s">
        <v>48</v>
      </c>
      <c r="M32">
        <f>AVERAGE(J32,J37,J42)</f>
        <v>0.33333333333333331</v>
      </c>
    </row>
    <row r="33" spans="1:13" ht="15" customHeight="1" x14ac:dyDescent="0.25">
      <c r="A33" s="59"/>
      <c r="B33" s="62">
        <v>2</v>
      </c>
      <c r="C33" s="47">
        <f>'Data till Lathund, Kådgenererin'!M70</f>
        <v>46</v>
      </c>
      <c r="D33" s="39">
        <f>'Data till Lathund, Kådgenererin'!M115</f>
        <v>52</v>
      </c>
      <c r="E33" s="39">
        <f>'Data till Lathund, Kådgenererin'!M160</f>
        <v>52</v>
      </c>
      <c r="F33" s="43">
        <f>'Data till Lathund, Kådgenererin'!M205</f>
        <v>52</v>
      </c>
      <c r="I33" s="103" t="s">
        <v>50</v>
      </c>
      <c r="J33">
        <v>0</v>
      </c>
      <c r="L33" s="103" t="s">
        <v>50</v>
      </c>
      <c r="M33">
        <f t="shared" ref="M33:M35" si="2">AVERAGE(J33,J38,J43)</f>
        <v>0.33333333333333331</v>
      </c>
    </row>
    <row r="34" spans="1:13" ht="15" customHeight="1" x14ac:dyDescent="0.25">
      <c r="A34" s="59">
        <v>-10</v>
      </c>
      <c r="B34" s="63">
        <v>7</v>
      </c>
      <c r="C34" s="47">
        <f>'Data till Lathund, Kådgenererin'!M71</f>
        <v>48</v>
      </c>
      <c r="D34" s="39">
        <f>'Data till Lathund, Kådgenererin'!M116</f>
        <v>52</v>
      </c>
      <c r="E34" s="39">
        <f>'Data till Lathund, Kådgenererin'!M161</f>
        <v>52</v>
      </c>
      <c r="F34" s="43">
        <f>'Data till Lathund, Kådgenererin'!M206</f>
        <v>52</v>
      </c>
      <c r="I34" s="103" t="s">
        <v>51</v>
      </c>
      <c r="J34">
        <v>0</v>
      </c>
      <c r="L34" s="103" t="s">
        <v>51</v>
      </c>
      <c r="M34">
        <f>AVERAGE(J34,J39,J44)</f>
        <v>2.6666666666666665</v>
      </c>
    </row>
    <row r="35" spans="1:13" ht="15" customHeight="1" x14ac:dyDescent="0.25">
      <c r="A35" s="59"/>
      <c r="B35" s="62">
        <v>12</v>
      </c>
      <c r="C35" s="47">
        <f>'Data till Lathund, Kådgenererin'!M72</f>
        <v>36</v>
      </c>
      <c r="D35" s="39">
        <f>'Data till Lathund, Kådgenererin'!M117</f>
        <v>52</v>
      </c>
      <c r="E35" s="39">
        <f>'Data till Lathund, Kådgenererin'!M162</f>
        <v>52</v>
      </c>
      <c r="F35" s="43">
        <f>'Data till Lathund, Kådgenererin'!M207</f>
        <v>52</v>
      </c>
      <c r="I35" s="103" t="s">
        <v>52</v>
      </c>
      <c r="J35">
        <v>4</v>
      </c>
      <c r="L35" s="103" t="s">
        <v>52</v>
      </c>
      <c r="M35">
        <f t="shared" si="2"/>
        <v>4</v>
      </c>
    </row>
    <row r="36" spans="1:13" ht="15" customHeight="1" thickBot="1" x14ac:dyDescent="0.3">
      <c r="A36" s="60"/>
      <c r="B36" s="64">
        <v>20</v>
      </c>
      <c r="C36" s="48">
        <f>'Data till Lathund, Kådgenererin'!M73</f>
        <v>36</v>
      </c>
      <c r="D36" s="40">
        <f>'Data till Lathund, Kådgenererin'!M118</f>
        <v>52</v>
      </c>
      <c r="E36" s="40">
        <f>'Data till Lathund, Kådgenererin'!M163</f>
        <v>52</v>
      </c>
      <c r="F36" s="44">
        <f>'Data till Lathund, Kådgenererin'!M208</f>
        <v>52</v>
      </c>
    </row>
    <row r="37" spans="1:13" ht="15" customHeight="1" x14ac:dyDescent="0.25">
      <c r="A37" s="55"/>
      <c r="B37" s="65">
        <v>0</v>
      </c>
      <c r="C37" s="46">
        <f>'Data till Lathund, Kådgenererin'!M74</f>
        <v>49</v>
      </c>
      <c r="D37" s="37">
        <f>'Data till Lathund, Kådgenererin'!M119</f>
        <v>52</v>
      </c>
      <c r="E37" s="37">
        <f>'Data till Lathund, Kådgenererin'!M164</f>
        <v>52</v>
      </c>
      <c r="F37" s="45">
        <f>'Data till Lathund, Kådgenererin'!M209</f>
        <v>52</v>
      </c>
      <c r="I37" s="103" t="s">
        <v>48</v>
      </c>
      <c r="J37">
        <v>0</v>
      </c>
    </row>
    <row r="38" spans="1:13" ht="15" customHeight="1" x14ac:dyDescent="0.25">
      <c r="A38" s="56"/>
      <c r="B38" s="63">
        <v>2</v>
      </c>
      <c r="C38" s="47">
        <f>'Data till Lathund, Kådgenererin'!M75</f>
        <v>50</v>
      </c>
      <c r="D38" s="39">
        <f>'Data till Lathund, Kådgenererin'!M120</f>
        <v>52</v>
      </c>
      <c r="E38" s="39">
        <f>'Data till Lathund, Kådgenererin'!M165</f>
        <v>52</v>
      </c>
      <c r="F38" s="43">
        <f>'Data till Lathund, Kådgenererin'!M210</f>
        <v>52</v>
      </c>
      <c r="I38" s="103" t="s">
        <v>50</v>
      </c>
      <c r="J38">
        <v>0</v>
      </c>
    </row>
    <row r="39" spans="1:13" ht="15" customHeight="1" x14ac:dyDescent="0.25">
      <c r="A39" s="56">
        <v>-15</v>
      </c>
      <c r="B39" s="62">
        <v>7</v>
      </c>
      <c r="C39" s="47">
        <f>'Data till Lathund, Kådgenererin'!M76</f>
        <v>36</v>
      </c>
      <c r="D39" s="39">
        <f>'Data till Lathund, Kådgenererin'!M121</f>
        <v>52</v>
      </c>
      <c r="E39" s="39">
        <f>'Data till Lathund, Kådgenererin'!M166</f>
        <v>52</v>
      </c>
      <c r="F39" s="43">
        <f>'Data till Lathund, Kådgenererin'!M211</f>
        <v>52</v>
      </c>
      <c r="I39" s="103" t="s">
        <v>51</v>
      </c>
      <c r="J39">
        <v>4</v>
      </c>
    </row>
    <row r="40" spans="1:13" ht="15" customHeight="1" x14ac:dyDescent="0.25">
      <c r="A40" s="56"/>
      <c r="B40" s="63">
        <v>12</v>
      </c>
      <c r="C40" s="47">
        <f>'Data till Lathund, Kådgenererin'!M77</f>
        <v>36</v>
      </c>
      <c r="D40" s="39">
        <f>'Data till Lathund, Kådgenererin'!M122</f>
        <v>52</v>
      </c>
      <c r="E40" s="39">
        <f>'Data till Lathund, Kådgenererin'!M167</f>
        <v>52</v>
      </c>
      <c r="F40" s="43">
        <f>'Data till Lathund, Kådgenererin'!M212</f>
        <v>52</v>
      </c>
      <c r="I40" s="103" t="s">
        <v>52</v>
      </c>
      <c r="J40">
        <v>4</v>
      </c>
    </row>
    <row r="41" spans="1:13" ht="15" customHeight="1" thickBot="1" x14ac:dyDescent="0.3">
      <c r="A41" s="57"/>
      <c r="B41" s="66">
        <v>20</v>
      </c>
      <c r="C41" s="48">
        <f>'Data till Lathund, Kådgenererin'!M78</f>
        <v>36</v>
      </c>
      <c r="D41" s="40">
        <f>'Data till Lathund, Kådgenererin'!M123</f>
        <v>52</v>
      </c>
      <c r="E41" s="40">
        <f>'Data till Lathund, Kådgenererin'!M168</f>
        <v>52</v>
      </c>
      <c r="F41" s="44">
        <f>'Data till Lathund, Kådgenererin'!M213</f>
        <v>52</v>
      </c>
    </row>
    <row r="42" spans="1:13" ht="15" customHeight="1" x14ac:dyDescent="0.25">
      <c r="A42" s="58"/>
      <c r="B42" s="61">
        <v>0</v>
      </c>
      <c r="C42" s="68">
        <f>'Data till Lathund, Kådgenererin'!M79</f>
        <v>51</v>
      </c>
      <c r="D42" s="37">
        <f>'Data till Lathund, Kådgenererin'!M124</f>
        <v>52</v>
      </c>
      <c r="E42" s="37">
        <f>'Data till Lathund, Kådgenererin'!M169</f>
        <v>52</v>
      </c>
      <c r="F42" s="42">
        <f>'Data till Lathund, Kådgenererin'!M214</f>
        <v>52</v>
      </c>
      <c r="I42" s="103" t="s">
        <v>48</v>
      </c>
      <c r="J42">
        <v>1</v>
      </c>
    </row>
    <row r="43" spans="1:13" ht="15" customHeight="1" x14ac:dyDescent="0.25">
      <c r="A43" s="59"/>
      <c r="B43" s="62">
        <v>2</v>
      </c>
      <c r="C43" s="69">
        <f>'Data till Lathund, Kådgenererin'!M80</f>
        <v>36</v>
      </c>
      <c r="D43" s="39">
        <f>'Data till Lathund, Kådgenererin'!M125</f>
        <v>52</v>
      </c>
      <c r="E43" s="39">
        <f>'Data till Lathund, Kådgenererin'!M170</f>
        <v>52</v>
      </c>
      <c r="F43" s="38">
        <f>'Data till Lathund, Kådgenererin'!M215</f>
        <v>52</v>
      </c>
      <c r="I43" s="103" t="s">
        <v>50</v>
      </c>
      <c r="J43">
        <v>1</v>
      </c>
    </row>
    <row r="44" spans="1:13" ht="15" customHeight="1" x14ac:dyDescent="0.25">
      <c r="A44" s="59">
        <v>-20</v>
      </c>
      <c r="B44" s="63">
        <v>7</v>
      </c>
      <c r="C44" s="69">
        <f>'Data till Lathund, Kådgenererin'!M81</f>
        <v>36</v>
      </c>
      <c r="D44" s="39">
        <f>'Data till Lathund, Kådgenererin'!M126</f>
        <v>52</v>
      </c>
      <c r="E44" s="39">
        <f>'Data till Lathund, Kådgenererin'!M171</f>
        <v>52</v>
      </c>
      <c r="F44" s="38">
        <f>'Data till Lathund, Kådgenererin'!M216</f>
        <v>52</v>
      </c>
      <c r="I44" s="103" t="s">
        <v>51</v>
      </c>
      <c r="J44">
        <v>4</v>
      </c>
    </row>
    <row r="45" spans="1:13" ht="15" customHeight="1" x14ac:dyDescent="0.25">
      <c r="A45" s="59"/>
      <c r="B45" s="62">
        <v>12</v>
      </c>
      <c r="C45" s="69">
        <f>'Data till Lathund, Kådgenererin'!M82</f>
        <v>36</v>
      </c>
      <c r="D45" s="39">
        <f>'Data till Lathund, Kådgenererin'!M127</f>
        <v>52</v>
      </c>
      <c r="E45" s="39">
        <f>'Data till Lathund, Kådgenererin'!M172</f>
        <v>52</v>
      </c>
      <c r="F45" s="38">
        <f>'Data till Lathund, Kådgenererin'!M217</f>
        <v>52</v>
      </c>
      <c r="I45" s="103" t="s">
        <v>52</v>
      </c>
      <c r="J45">
        <v>4</v>
      </c>
    </row>
    <row r="46" spans="1:13" ht="15" customHeight="1" thickBot="1" x14ac:dyDescent="0.3">
      <c r="A46" s="60"/>
      <c r="B46" s="64">
        <v>20</v>
      </c>
      <c r="C46" s="70">
        <f>'Data till Lathund, Kådgenererin'!M83</f>
        <v>36</v>
      </c>
      <c r="D46" s="40">
        <f>'Data till Lathund, Kådgenererin'!M128</f>
        <v>52</v>
      </c>
      <c r="E46" s="40">
        <f>'Data till Lathund, Kådgenererin'!M173</f>
        <v>52</v>
      </c>
      <c r="F46" s="41">
        <f>'Data till Lathund, Kådgenererin'!M218</f>
        <v>52</v>
      </c>
    </row>
    <row r="50" spans="8:15" ht="45" x14ac:dyDescent="0.25">
      <c r="H50" s="73" t="s">
        <v>26</v>
      </c>
      <c r="I50" s="74" t="s">
        <v>27</v>
      </c>
      <c r="J50" s="74" t="s">
        <v>1</v>
      </c>
      <c r="K50" s="74" t="s">
        <v>2</v>
      </c>
      <c r="L50" s="74" t="s">
        <v>36</v>
      </c>
      <c r="M50" s="75" t="s">
        <v>4</v>
      </c>
      <c r="N50" s="74" t="s">
        <v>99</v>
      </c>
      <c r="O50" s="74" t="s">
        <v>7</v>
      </c>
    </row>
    <row r="51" spans="8:15" x14ac:dyDescent="0.25">
      <c r="H51" s="67">
        <f>'Data till lathund Åtgärder'!J2</f>
        <v>1</v>
      </c>
      <c r="I51" s="76" t="str">
        <f>'Data till lathund Åtgärder'!B2</f>
        <v>C20/25</v>
      </c>
      <c r="J51" s="76">
        <f>'Data till lathund Åtgärder'!C2</f>
        <v>15</v>
      </c>
      <c r="K51" s="76">
        <f>'Data till lathund Åtgärder'!D2</f>
        <v>20</v>
      </c>
      <c r="L51" s="76" t="str">
        <f>'Data till lathund Åtgärder'!E2</f>
        <v>-</v>
      </c>
      <c r="M51" s="76" t="str">
        <f>'Data till lathund Åtgärder'!F2</f>
        <v>-</v>
      </c>
      <c r="N51" s="102" t="str">
        <f>'Data till lathund Åtgärder'!G2</f>
        <v>OK7</v>
      </c>
      <c r="O51" s="102">
        <f>'Data till lathund Åtgärder'!H2</f>
        <v>0</v>
      </c>
    </row>
    <row r="52" spans="8:15" x14ac:dyDescent="0.25">
      <c r="H52" s="67">
        <f>'Data till lathund Åtgärder'!J3</f>
        <v>2</v>
      </c>
      <c r="I52" s="76" t="str">
        <f>'Data till lathund Åtgärder'!B3</f>
        <v>C20/25</v>
      </c>
      <c r="J52" s="76">
        <f>'Data till lathund Åtgärder'!C3</f>
        <v>15</v>
      </c>
      <c r="K52" s="76">
        <f>'Data till lathund Åtgärder'!D3</f>
        <v>15</v>
      </c>
      <c r="L52" s="76" t="str">
        <f>'Data till lathund Åtgärder'!E3</f>
        <v>-</v>
      </c>
      <c r="M52" s="76" t="str">
        <f>'Data till lathund Åtgärder'!F3</f>
        <v>-</v>
      </c>
      <c r="N52" s="102" t="str">
        <f>'Data till lathund Åtgärder'!G3</f>
        <v>OK7</v>
      </c>
      <c r="O52" s="102">
        <f>'Data till lathund Åtgärder'!H3</f>
        <v>0</v>
      </c>
    </row>
    <row r="53" spans="8:15" x14ac:dyDescent="0.25">
      <c r="H53" s="67">
        <f>'Data till lathund Åtgärder'!J4</f>
        <v>3</v>
      </c>
      <c r="I53" s="76" t="str">
        <f>'Data till lathund Åtgärder'!B4</f>
        <v>C20/25</v>
      </c>
      <c r="J53" s="76">
        <f>'Data till lathund Åtgärder'!C4</f>
        <v>15</v>
      </c>
      <c r="K53" s="76">
        <f>'Data till lathund Åtgärder'!D4</f>
        <v>15</v>
      </c>
      <c r="L53" s="76">
        <f>'Data till lathund Åtgärder'!E4</f>
        <v>0</v>
      </c>
      <c r="M53" s="76" t="str">
        <f>'Data till lathund Åtgärder'!F4</f>
        <v>-</v>
      </c>
      <c r="N53" s="102" t="str">
        <f>'Data till lathund Åtgärder'!G4</f>
        <v>OK7</v>
      </c>
      <c r="O53" s="102">
        <f>'Data till lathund Åtgärder'!H4</f>
        <v>0</v>
      </c>
    </row>
    <row r="54" spans="8:15" x14ac:dyDescent="0.25">
      <c r="H54" s="67">
        <f>'Data till lathund Åtgärder'!J5</f>
        <v>4</v>
      </c>
      <c r="I54" s="76" t="str">
        <f>'Data till lathund Åtgärder'!B5</f>
        <v>C20/25</v>
      </c>
      <c r="J54" s="76">
        <f>'Data till lathund Åtgärder'!C5</f>
        <v>15</v>
      </c>
      <c r="K54" s="76">
        <f>'Data till lathund Åtgärder'!D5</f>
        <v>15</v>
      </c>
      <c r="L54" s="76">
        <f>'Data till lathund Åtgärder'!E5</f>
        <v>0</v>
      </c>
      <c r="M54" s="76" t="str">
        <f>'Data till lathund Åtgärder'!F5</f>
        <v>Presenning</v>
      </c>
      <c r="N54" s="102" t="str">
        <f>'Data till lathund Åtgärder'!G5</f>
        <v>OK7</v>
      </c>
      <c r="O54" s="102">
        <f>'Data till lathund Åtgärder'!H5</f>
        <v>0</v>
      </c>
    </row>
    <row r="55" spans="8:15" x14ac:dyDescent="0.25">
      <c r="H55" s="67">
        <f>'Data till lathund Åtgärder'!J6</f>
        <v>5</v>
      </c>
      <c r="I55" s="76" t="str">
        <f>'Data till lathund Åtgärder'!B6</f>
        <v>C20/25</v>
      </c>
      <c r="J55" s="76">
        <f>'Data till lathund Åtgärder'!C6</f>
        <v>15</v>
      </c>
      <c r="K55" s="76">
        <f>'Data till lathund Åtgärder'!D6</f>
        <v>20</v>
      </c>
      <c r="L55" s="76">
        <f>'Data till lathund Åtgärder'!E6</f>
        <v>0</v>
      </c>
      <c r="M55" s="76" t="str">
        <f>'Data till lathund Åtgärder'!F6</f>
        <v>Presenning</v>
      </c>
      <c r="N55" s="102" t="str">
        <f>'Data till lathund Åtgärder'!G6</f>
        <v>OK7</v>
      </c>
      <c r="O55" s="102">
        <f>'Data till lathund Åtgärder'!H6</f>
        <v>0</v>
      </c>
    </row>
    <row r="56" spans="8:15" x14ac:dyDescent="0.25">
      <c r="H56" s="67">
        <f>'Data till lathund Åtgärder'!J7</f>
        <v>6</v>
      </c>
      <c r="I56" s="76" t="str">
        <f>'Data till lathund Åtgärder'!B7</f>
        <v>C20/25</v>
      </c>
      <c r="J56" s="76">
        <f>'Data till lathund Åtgärder'!C7</f>
        <v>20</v>
      </c>
      <c r="K56" s="76">
        <f>'Data till lathund Åtgärder'!D7</f>
        <v>5</v>
      </c>
      <c r="L56" s="76">
        <f>'Data till lathund Åtgärder'!E7</f>
        <v>20</v>
      </c>
      <c r="M56" s="76" t="str">
        <f>'Data till lathund Åtgärder'!F7</f>
        <v>-</v>
      </c>
      <c r="N56" s="102" t="str">
        <f>'Data till lathund Åtgärder'!G7</f>
        <v>OK7</v>
      </c>
      <c r="O56" s="102">
        <f>'Data till lathund Åtgärder'!H7</f>
        <v>0</v>
      </c>
    </row>
    <row r="57" spans="8:15" x14ac:dyDescent="0.25">
      <c r="H57" s="67">
        <f>'Data till lathund Åtgärder'!J8</f>
        <v>7</v>
      </c>
      <c r="I57" s="76" t="str">
        <f>'Data till lathund Åtgärder'!B8</f>
        <v>C20/25</v>
      </c>
      <c r="J57" s="76">
        <f>'Data till lathund Åtgärder'!C8</f>
        <v>20</v>
      </c>
      <c r="K57" s="76">
        <f>'Data till lathund Åtgärder'!D8</f>
        <v>5</v>
      </c>
      <c r="L57" s="76">
        <f>'Data till lathund Åtgärder'!E8</f>
        <v>20</v>
      </c>
      <c r="M57" s="76">
        <f>'Data till lathund Åtgärder'!F8</f>
        <v>10</v>
      </c>
      <c r="N57" s="102" t="str">
        <f>'Data till lathund Åtgärder'!G8</f>
        <v>OK7</v>
      </c>
      <c r="O57" s="102">
        <f>'Data till lathund Åtgärder'!H8</f>
        <v>0</v>
      </c>
    </row>
    <row r="58" spans="8:15" x14ac:dyDescent="0.25">
      <c r="H58" s="67">
        <f>'Data till lathund Åtgärder'!J9</f>
        <v>8</v>
      </c>
      <c r="I58" s="76" t="str">
        <f>'Data till lathund Åtgärder'!B9</f>
        <v>C20/25</v>
      </c>
      <c r="J58" s="76">
        <f>'Data till lathund Åtgärder'!C9</f>
        <v>20</v>
      </c>
      <c r="K58" s="76">
        <f>'Data till lathund Åtgärder'!D9</f>
        <v>5</v>
      </c>
      <c r="L58" s="76">
        <f>'Data till lathund Åtgärder'!E9</f>
        <v>20</v>
      </c>
      <c r="M58" s="76">
        <f>'Data till lathund Åtgärder'!F9</f>
        <v>20</v>
      </c>
      <c r="N58" s="102" t="str">
        <f>'Data till lathund Åtgärder'!G9</f>
        <v>OK7</v>
      </c>
      <c r="O58" s="102">
        <f>'Data till lathund Åtgärder'!H9</f>
        <v>0</v>
      </c>
    </row>
    <row r="59" spans="8:15" x14ac:dyDescent="0.25">
      <c r="H59" s="67">
        <f>'Data till lathund Åtgärder'!J10</f>
        <v>9</v>
      </c>
      <c r="I59" s="76" t="str">
        <f>'Data till lathund Åtgärder'!B10</f>
        <v>C20/25</v>
      </c>
      <c r="J59" s="76">
        <f>'Data till lathund Åtgärder'!C10</f>
        <v>20</v>
      </c>
      <c r="K59" s="76">
        <f>'Data till lathund Åtgärder'!D10</f>
        <v>5</v>
      </c>
      <c r="L59" s="76">
        <f>'Data till lathund Åtgärder'!E10</f>
        <v>20</v>
      </c>
      <c r="M59" s="76">
        <f>'Data till lathund Åtgärder'!F10</f>
        <v>30</v>
      </c>
      <c r="N59" s="102" t="str">
        <f>'Data till lathund Åtgärder'!G10</f>
        <v>OK7</v>
      </c>
      <c r="O59" s="102">
        <f>'Data till lathund Åtgärder'!H10</f>
        <v>0</v>
      </c>
    </row>
    <row r="60" spans="8:15" x14ac:dyDescent="0.25">
      <c r="H60" s="67">
        <f>'Data till lathund Åtgärder'!J11</f>
        <v>10</v>
      </c>
      <c r="I60" s="76" t="str">
        <f>'Data till lathund Åtgärder'!B11</f>
        <v>C20/25</v>
      </c>
      <c r="J60" s="76">
        <f>'Data till lathund Åtgärder'!C11</f>
        <v>20</v>
      </c>
      <c r="K60" s="76">
        <f>'Data till lathund Åtgärder'!D11</f>
        <v>5</v>
      </c>
      <c r="L60" s="76">
        <f>'Data till lathund Åtgärder'!E11</f>
        <v>20</v>
      </c>
      <c r="M60" s="76">
        <f>'Data till lathund Åtgärder'!F11</f>
        <v>50</v>
      </c>
      <c r="N60" s="102" t="str">
        <f>'Data till lathund Åtgärder'!G11</f>
        <v>OK7</v>
      </c>
      <c r="O60" s="102">
        <f>'Data till lathund Åtgärder'!H11</f>
        <v>0</v>
      </c>
    </row>
    <row r="61" spans="8:15" x14ac:dyDescent="0.25">
      <c r="H61" s="67">
        <f>'Data till lathund Åtgärder'!J12</f>
        <v>11</v>
      </c>
      <c r="I61" s="76" t="str">
        <f>'Data till lathund Åtgärder'!B12</f>
        <v>C25/30</v>
      </c>
      <c r="J61" s="76">
        <f>'Data till lathund Åtgärder'!C12</f>
        <v>15</v>
      </c>
      <c r="K61" s="76">
        <f>'Data till lathund Åtgärder'!D12</f>
        <v>20</v>
      </c>
      <c r="L61" s="76" t="str">
        <f>'Data till lathund Åtgärder'!E12</f>
        <v>-</v>
      </c>
      <c r="M61" s="76" t="str">
        <f>'Data till lathund Åtgärder'!F12</f>
        <v>-</v>
      </c>
      <c r="N61" s="102" t="str">
        <f>'Data till lathund Åtgärder'!G12</f>
        <v>OK7</v>
      </c>
      <c r="O61" s="102">
        <f>'Data till lathund Åtgärder'!H12</f>
        <v>0</v>
      </c>
    </row>
    <row r="62" spans="8:15" x14ac:dyDescent="0.25">
      <c r="H62" s="67">
        <f>'Data till lathund Åtgärder'!J13</f>
        <v>12</v>
      </c>
      <c r="I62" s="76" t="str">
        <f>'Data till lathund Åtgärder'!B13</f>
        <v>C25/30</v>
      </c>
      <c r="J62" s="76">
        <f>'Data till lathund Åtgärder'!C13</f>
        <v>15</v>
      </c>
      <c r="K62" s="76">
        <f>'Data till lathund Åtgärder'!D13</f>
        <v>20</v>
      </c>
      <c r="L62" s="76">
        <f>'Data till lathund Åtgärder'!E13</f>
        <v>0</v>
      </c>
      <c r="M62" s="76" t="str">
        <f>'Data till lathund Åtgärder'!F13</f>
        <v>Presenning</v>
      </c>
      <c r="N62" s="102" t="str">
        <f>'Data till lathund Åtgärder'!G13</f>
        <v>OK7</v>
      </c>
      <c r="O62" s="102">
        <f>'Data till lathund Åtgärder'!H13</f>
        <v>0</v>
      </c>
    </row>
    <row r="63" spans="8:15" x14ac:dyDescent="0.25">
      <c r="H63" s="67">
        <f>'Data till lathund Åtgärder'!J14</f>
        <v>13</v>
      </c>
      <c r="I63" s="76" t="str">
        <f>'Data till lathund Åtgärder'!B14</f>
        <v>C25/30</v>
      </c>
      <c r="J63" s="76">
        <f>'Data till lathund Åtgärder'!C14</f>
        <v>20</v>
      </c>
      <c r="K63" s="76">
        <f>'Data till lathund Åtgärder'!D14</f>
        <v>5</v>
      </c>
      <c r="L63" s="76">
        <f>'Data till lathund Åtgärder'!E14</f>
        <v>20</v>
      </c>
      <c r="M63" s="76">
        <f>'Data till lathund Åtgärder'!F14</f>
        <v>10</v>
      </c>
      <c r="N63" s="102" t="str">
        <f>'Data till lathund Åtgärder'!G14</f>
        <v>OK7</v>
      </c>
      <c r="O63" s="102">
        <f>'Data till lathund Åtgärder'!H14</f>
        <v>0</v>
      </c>
    </row>
    <row r="64" spans="8:15" x14ac:dyDescent="0.25">
      <c r="H64" s="67">
        <f>'Data till lathund Åtgärder'!J15</f>
        <v>14</v>
      </c>
      <c r="I64" s="76" t="str">
        <f>'Data till lathund Åtgärder'!B15</f>
        <v>C25/30</v>
      </c>
      <c r="J64" s="76">
        <f>'Data till lathund Åtgärder'!C15</f>
        <v>20</v>
      </c>
      <c r="K64" s="76">
        <f>'Data till lathund Åtgärder'!D15</f>
        <v>5</v>
      </c>
      <c r="L64" s="76">
        <f>'Data till lathund Åtgärder'!E15</f>
        <v>20</v>
      </c>
      <c r="M64" s="76">
        <f>'Data till lathund Åtgärder'!F15</f>
        <v>50</v>
      </c>
      <c r="N64" s="102" t="str">
        <f>'Data till lathund Åtgärder'!G15</f>
        <v>OK7</v>
      </c>
      <c r="O64" s="102">
        <f>'Data till lathund Åtgärder'!H15</f>
        <v>0</v>
      </c>
    </row>
    <row r="65" spans="8:15" x14ac:dyDescent="0.25">
      <c r="H65" s="67">
        <f>'Data till lathund Åtgärder'!J16</f>
        <v>15</v>
      </c>
      <c r="I65" s="76" t="str">
        <f>'Data till lathund Åtgärder'!B16</f>
        <v>C28/35</v>
      </c>
      <c r="J65" s="76">
        <f>'Data till lathund Åtgärder'!C16</f>
        <v>15</v>
      </c>
      <c r="K65" s="76">
        <f>'Data till lathund Åtgärder'!D16</f>
        <v>10</v>
      </c>
      <c r="L65" s="76" t="str">
        <f>'Data till lathund Åtgärder'!E16</f>
        <v>-</v>
      </c>
      <c r="M65" s="76" t="str">
        <f>'Data till lathund Åtgärder'!F16</f>
        <v>-</v>
      </c>
      <c r="N65" s="102" t="str">
        <f>'Data till lathund Åtgärder'!G16</f>
        <v>OK7</v>
      </c>
      <c r="O65" s="102">
        <f>'Data till lathund Åtgärder'!H16</f>
        <v>0</v>
      </c>
    </row>
    <row r="66" spans="8:15" x14ac:dyDescent="0.25">
      <c r="H66" s="67">
        <f>'Data till lathund Åtgärder'!J17</f>
        <v>16</v>
      </c>
      <c r="I66" s="76" t="str">
        <f>'Data till lathund Åtgärder'!B17</f>
        <v>C28/35</v>
      </c>
      <c r="J66" s="76">
        <f>'Data till lathund Åtgärder'!C17</f>
        <v>15</v>
      </c>
      <c r="K66" s="76">
        <f>'Data till lathund Åtgärder'!D17</f>
        <v>15</v>
      </c>
      <c r="L66" s="76" t="str">
        <f>'Data till lathund Åtgärder'!E17</f>
        <v>-</v>
      </c>
      <c r="M66" s="76" t="str">
        <f>'Data till lathund Åtgärder'!F17</f>
        <v>-</v>
      </c>
      <c r="N66" s="102" t="str">
        <f>'Data till lathund Åtgärder'!G17</f>
        <v>OK7</v>
      </c>
      <c r="O66" s="102">
        <f>'Data till lathund Åtgärder'!H17</f>
        <v>0</v>
      </c>
    </row>
    <row r="67" spans="8:15" x14ac:dyDescent="0.25">
      <c r="H67" s="67">
        <f>'Data till lathund Åtgärder'!J18</f>
        <v>17</v>
      </c>
      <c r="I67" s="76" t="str">
        <f>'Data till lathund Åtgärder'!B18</f>
        <v>C28/35</v>
      </c>
      <c r="J67" s="76">
        <f>'Data till lathund Åtgärder'!C18</f>
        <v>15</v>
      </c>
      <c r="K67" s="76">
        <f>'Data till lathund Åtgärder'!D18</f>
        <v>20</v>
      </c>
      <c r="L67" s="76" t="str">
        <f>'Data till lathund Åtgärder'!E18</f>
        <v>-</v>
      </c>
      <c r="M67" s="76" t="str">
        <f>'Data till lathund Åtgärder'!F18</f>
        <v>-</v>
      </c>
      <c r="N67" s="102" t="str">
        <f>'Data till lathund Åtgärder'!G18</f>
        <v>OK7</v>
      </c>
      <c r="O67" s="102">
        <f>'Data till lathund Åtgärder'!H18</f>
        <v>0</v>
      </c>
    </row>
    <row r="68" spans="8:15" x14ac:dyDescent="0.25">
      <c r="H68" s="67">
        <f>'Data till lathund Åtgärder'!J19</f>
        <v>18</v>
      </c>
      <c r="I68" s="76" t="str">
        <f>'Data till lathund Åtgärder'!B19</f>
        <v>C28/35</v>
      </c>
      <c r="J68" s="76">
        <f>'Data till lathund Åtgärder'!C19</f>
        <v>15</v>
      </c>
      <c r="K68" s="76">
        <f>'Data till lathund Åtgärder'!D19</f>
        <v>15</v>
      </c>
      <c r="L68" s="76">
        <f>'Data till lathund Åtgärder'!E19</f>
        <v>0</v>
      </c>
      <c r="M68" s="76" t="str">
        <f>'Data till lathund Åtgärder'!F19</f>
        <v>-</v>
      </c>
      <c r="N68" s="102" t="str">
        <f>'Data till lathund Åtgärder'!G19</f>
        <v>OK7</v>
      </c>
      <c r="O68" s="102">
        <f>'Data till lathund Åtgärder'!H19</f>
        <v>0</v>
      </c>
    </row>
    <row r="69" spans="8:15" x14ac:dyDescent="0.25">
      <c r="H69" s="67">
        <f>'Data till lathund Åtgärder'!J20</f>
        <v>19</v>
      </c>
      <c r="I69" s="76" t="str">
        <f>'Data till lathund Åtgärder'!B20</f>
        <v>C28/35</v>
      </c>
      <c r="J69" s="76">
        <f>'Data till lathund Åtgärder'!C20</f>
        <v>15</v>
      </c>
      <c r="K69" s="76">
        <f>'Data till lathund Åtgärder'!D20</f>
        <v>20</v>
      </c>
      <c r="L69" s="76">
        <f>'Data till lathund Åtgärder'!E20</f>
        <v>0</v>
      </c>
      <c r="M69" s="76" t="str">
        <f>'Data till lathund Åtgärder'!F20</f>
        <v>Presenning</v>
      </c>
      <c r="N69" s="102" t="str">
        <f>'Data till lathund Åtgärder'!G20</f>
        <v>OK7</v>
      </c>
      <c r="O69" s="102">
        <f>'Data till lathund Åtgärder'!H20</f>
        <v>0</v>
      </c>
    </row>
    <row r="70" spans="8:15" x14ac:dyDescent="0.25">
      <c r="H70" s="67">
        <f>'Data till lathund Åtgärder'!J21</f>
        <v>20</v>
      </c>
      <c r="I70" s="76" t="str">
        <f>'Data till lathund Åtgärder'!B21</f>
        <v>C28/35</v>
      </c>
      <c r="J70" s="76">
        <f>'Data till lathund Åtgärder'!C21</f>
        <v>20</v>
      </c>
      <c r="K70" s="76">
        <f>'Data till lathund Åtgärder'!D21</f>
        <v>5</v>
      </c>
      <c r="L70" s="76">
        <f>'Data till lathund Åtgärder'!E21</f>
        <v>20</v>
      </c>
      <c r="M70" s="76">
        <f>'Data till lathund Åtgärder'!F21</f>
        <v>50</v>
      </c>
      <c r="N70" s="102" t="str">
        <f>'Data till lathund Åtgärder'!G21</f>
        <v>OK7</v>
      </c>
      <c r="O70" s="102">
        <f>'Data till lathund Åtgärder'!H21</f>
        <v>0</v>
      </c>
    </row>
    <row r="71" spans="8:15" x14ac:dyDescent="0.25">
      <c r="H71" s="67">
        <f>'Data till lathund Åtgärder'!J22</f>
        <v>21</v>
      </c>
      <c r="I71" s="76" t="str">
        <f>'Data till lathund Åtgärder'!B22</f>
        <v>C30/37</v>
      </c>
      <c r="J71" s="76">
        <f>'Data till lathund Åtgärder'!C22</f>
        <v>15</v>
      </c>
      <c r="K71" s="76">
        <f>'Data till lathund Åtgärder'!D22</f>
        <v>10</v>
      </c>
      <c r="L71" s="76">
        <f>'Data till lathund Åtgärder'!E22</f>
        <v>0</v>
      </c>
      <c r="M71" s="76" t="str">
        <f>'Data till lathund Åtgärder'!F22</f>
        <v>Presenning</v>
      </c>
      <c r="N71" s="102" t="str">
        <f>'Data till lathund Åtgärder'!G22</f>
        <v>OK7</v>
      </c>
      <c r="O71" s="102">
        <f>'Data till lathund Åtgärder'!H22</f>
        <v>0</v>
      </c>
    </row>
    <row r="72" spans="8:15" x14ac:dyDescent="0.25">
      <c r="H72" s="67">
        <f>'Data till lathund Åtgärder'!J23</f>
        <v>22</v>
      </c>
      <c r="I72" s="76" t="str">
        <f>'Data till lathund Åtgärder'!B23</f>
        <v>C30/37</v>
      </c>
      <c r="J72" s="76">
        <f>'Data till lathund Åtgärder'!C23</f>
        <v>15</v>
      </c>
      <c r="K72" s="76">
        <f>'Data till lathund Åtgärder'!D23</f>
        <v>15</v>
      </c>
      <c r="L72" s="76">
        <f>'Data till lathund Åtgärder'!E23</f>
        <v>0</v>
      </c>
      <c r="M72" s="76" t="str">
        <f>'Data till lathund Åtgärder'!F23</f>
        <v>Presenning</v>
      </c>
      <c r="N72" s="102" t="str">
        <f>'Data till lathund Åtgärder'!G23</f>
        <v>OK7</v>
      </c>
      <c r="O72" s="102">
        <f>'Data till lathund Åtgärder'!H23</f>
        <v>0</v>
      </c>
    </row>
    <row r="73" spans="8:15" x14ac:dyDescent="0.25">
      <c r="H73" s="67">
        <f>'Data till lathund Åtgärder'!J24</f>
        <v>23</v>
      </c>
      <c r="I73" s="76" t="str">
        <f>'Data till lathund Åtgärder'!B24</f>
        <v>C30/37</v>
      </c>
      <c r="J73" s="76">
        <f>'Data till lathund Åtgärder'!C24</f>
        <v>20</v>
      </c>
      <c r="K73" s="76">
        <f>'Data till lathund Åtgärder'!D24</f>
        <v>5</v>
      </c>
      <c r="L73" s="76">
        <f>'Data till lathund Åtgärder'!E24</f>
        <v>20</v>
      </c>
      <c r="M73" s="76">
        <f>'Data till lathund Åtgärder'!F24</f>
        <v>50</v>
      </c>
      <c r="N73" s="102" t="str">
        <f>'Data till lathund Åtgärder'!G24</f>
        <v>OK7</v>
      </c>
      <c r="O73" s="102">
        <f>'Data till lathund Åtgärder'!H24</f>
        <v>0</v>
      </c>
    </row>
    <row r="74" spans="8:15" x14ac:dyDescent="0.25">
      <c r="H74" s="67">
        <f>'Data till lathund Åtgärder'!J25</f>
        <v>24</v>
      </c>
      <c r="I74" s="76" t="str">
        <f>'Data till lathund Åtgärder'!B25</f>
        <v>C32/40</v>
      </c>
      <c r="J74" s="76">
        <f>'Data till lathund Åtgärder'!C25</f>
        <v>15</v>
      </c>
      <c r="K74" s="76">
        <f>'Data till lathund Åtgärder'!D25</f>
        <v>10</v>
      </c>
      <c r="L74" s="76">
        <f>'Data till lathund Åtgärder'!E25</f>
        <v>0</v>
      </c>
      <c r="M74" s="76" t="str">
        <f>'Data till lathund Åtgärder'!F25</f>
        <v>Presenning</v>
      </c>
      <c r="N74" s="102" t="str">
        <f>'Data till lathund Åtgärder'!G25</f>
        <v>OK7</v>
      </c>
      <c r="O74" s="102">
        <f>'Data till lathund Åtgärder'!H25</f>
        <v>0</v>
      </c>
    </row>
    <row r="75" spans="8:15" x14ac:dyDescent="0.25">
      <c r="H75" s="67">
        <f>'Data till lathund Åtgärder'!J26</f>
        <v>25</v>
      </c>
      <c r="I75" s="76" t="str">
        <f>'Data till lathund Åtgärder'!B26</f>
        <v>C32/40</v>
      </c>
      <c r="J75" s="76">
        <f>'Data till lathund Åtgärder'!C26</f>
        <v>15</v>
      </c>
      <c r="K75" s="76">
        <f>'Data till lathund Åtgärder'!D26</f>
        <v>15</v>
      </c>
      <c r="L75" s="76">
        <f>'Data till lathund Åtgärder'!E26</f>
        <v>0</v>
      </c>
      <c r="M75" s="76" t="str">
        <f>'Data till lathund Åtgärder'!F26</f>
        <v>Presenning</v>
      </c>
      <c r="N75" s="102" t="str">
        <f>'Data till lathund Åtgärder'!G26</f>
        <v>OK7</v>
      </c>
      <c r="O75" s="102">
        <f>'Data till lathund Åtgärder'!H26</f>
        <v>0</v>
      </c>
    </row>
    <row r="76" spans="8:15" x14ac:dyDescent="0.25">
      <c r="H76" s="67">
        <f>'Data till lathund Åtgärder'!J27</f>
        <v>26</v>
      </c>
      <c r="I76" s="76" t="str">
        <f>'Data till lathund Åtgärder'!B27</f>
        <v>C32/40</v>
      </c>
      <c r="J76" s="76">
        <f>'Data till lathund Åtgärder'!C27</f>
        <v>15</v>
      </c>
      <c r="K76" s="76">
        <f>'Data till lathund Åtgärder'!D27</f>
        <v>5</v>
      </c>
      <c r="L76" s="76">
        <f>'Data till lathund Åtgärder'!E27</f>
        <v>20</v>
      </c>
      <c r="M76" s="76">
        <f>'Data till lathund Åtgärder'!F27</f>
        <v>50</v>
      </c>
      <c r="N76" s="102" t="str">
        <f>'Data till lathund Åtgärder'!G27</f>
        <v>OK7</v>
      </c>
      <c r="O76" s="102">
        <f>'Data till lathund Åtgärder'!H27</f>
        <v>0</v>
      </c>
    </row>
    <row r="77" spans="8:15" x14ac:dyDescent="0.25">
      <c r="H77" s="67">
        <f>'Data till lathund Åtgärder'!J28</f>
        <v>27</v>
      </c>
      <c r="I77" s="76" t="str">
        <f>'Data till lathund Åtgärder'!B28</f>
        <v>C32/40</v>
      </c>
      <c r="J77" s="76">
        <f>'Data till lathund Åtgärder'!C28</f>
        <v>20</v>
      </c>
      <c r="K77" s="76">
        <f>'Data till lathund Åtgärder'!D28</f>
        <v>5</v>
      </c>
      <c r="L77" s="76">
        <f>'Data till lathund Åtgärder'!E28</f>
        <v>20</v>
      </c>
      <c r="M77" s="76">
        <f>'Data till lathund Åtgärder'!F28</f>
        <v>50</v>
      </c>
      <c r="N77" s="102" t="str">
        <f>'Data till lathund Åtgärder'!G28</f>
        <v>OK7</v>
      </c>
      <c r="O77" s="102">
        <f>'Data till lathund Åtgärder'!H28</f>
        <v>0</v>
      </c>
    </row>
    <row r="78" spans="8:15" x14ac:dyDescent="0.25">
      <c r="H78" s="67">
        <f>'Data till lathund Åtgärder'!J29</f>
        <v>28</v>
      </c>
      <c r="I78" s="76" t="str">
        <f>'Data till lathund Åtgärder'!B29</f>
        <v>C35/45</v>
      </c>
      <c r="J78" s="76">
        <f>'Data till lathund Åtgärder'!C29</f>
        <v>15</v>
      </c>
      <c r="K78" s="76">
        <f>'Data till lathund Åtgärder'!D29</f>
        <v>10</v>
      </c>
      <c r="L78" s="76" t="str">
        <f>'Data till lathund Åtgärder'!E29</f>
        <v>-</v>
      </c>
      <c r="M78" s="76" t="str">
        <f>'Data till lathund Åtgärder'!F29</f>
        <v>-</v>
      </c>
      <c r="N78" s="102" t="str">
        <f>'Data till lathund Åtgärder'!G29</f>
        <v>OK7</v>
      </c>
      <c r="O78" s="102">
        <f>'Data till lathund Åtgärder'!H29</f>
        <v>0</v>
      </c>
    </row>
    <row r="79" spans="8:15" x14ac:dyDescent="0.25">
      <c r="H79" s="67">
        <f>'Data till lathund Åtgärder'!J30</f>
        <v>29</v>
      </c>
      <c r="I79" s="76" t="str">
        <f>'Data till lathund Åtgärder'!B30</f>
        <v>C35/45</v>
      </c>
      <c r="J79" s="76">
        <f>'Data till lathund Åtgärder'!C30</f>
        <v>15</v>
      </c>
      <c r="K79" s="76">
        <f>'Data till lathund Åtgärder'!D30</f>
        <v>15</v>
      </c>
      <c r="L79" s="76" t="str">
        <f>'Data till lathund Åtgärder'!E30</f>
        <v>-</v>
      </c>
      <c r="M79" s="76" t="str">
        <f>'Data till lathund Åtgärder'!F30</f>
        <v>-</v>
      </c>
      <c r="N79" s="102" t="str">
        <f>'Data till lathund Åtgärder'!G30</f>
        <v>OK7</v>
      </c>
      <c r="O79" s="102">
        <f>'Data till lathund Åtgärder'!H30</f>
        <v>0</v>
      </c>
    </row>
    <row r="80" spans="8:15" x14ac:dyDescent="0.25">
      <c r="H80" s="67">
        <f>'Data till lathund Åtgärder'!J31</f>
        <v>30</v>
      </c>
      <c r="I80" s="76" t="str">
        <f>'Data till lathund Åtgärder'!B31</f>
        <v>C35/45</v>
      </c>
      <c r="J80" s="76">
        <f>'Data till lathund Åtgärder'!C31</f>
        <v>15</v>
      </c>
      <c r="K80" s="76">
        <f>'Data till lathund Åtgärder'!D31</f>
        <v>15</v>
      </c>
      <c r="L80" s="76">
        <f>'Data till lathund Åtgärder'!E31</f>
        <v>0</v>
      </c>
      <c r="M80" s="76" t="str">
        <f>'Data till lathund Åtgärder'!F31</f>
        <v>Presenning</v>
      </c>
      <c r="N80" s="102" t="str">
        <f>'Data till lathund Åtgärder'!G31</f>
        <v>OK7</v>
      </c>
      <c r="O80" s="102">
        <f>'Data till lathund Åtgärder'!H31</f>
        <v>0</v>
      </c>
    </row>
    <row r="81" spans="8:15" x14ac:dyDescent="0.25">
      <c r="H81" s="67">
        <f>'Data till lathund Åtgärder'!J32</f>
        <v>31</v>
      </c>
      <c r="I81" s="76" t="str">
        <f>'Data till lathund Åtgärder'!B32</f>
        <v>C35/45</v>
      </c>
      <c r="J81" s="76">
        <f>'Data till lathund Åtgärder'!C32</f>
        <v>15</v>
      </c>
      <c r="K81" s="76">
        <f>'Data till lathund Åtgärder'!D32</f>
        <v>5</v>
      </c>
      <c r="L81" s="76">
        <f>'Data till lathund Åtgärder'!E32</f>
        <v>20</v>
      </c>
      <c r="M81" s="76">
        <f>'Data till lathund Åtgärder'!F32</f>
        <v>50</v>
      </c>
      <c r="N81" s="102" t="str">
        <f>'Data till lathund Åtgärder'!G32</f>
        <v>OK7</v>
      </c>
      <c r="O81" s="102">
        <f>'Data till lathund Åtgärder'!H32</f>
        <v>0</v>
      </c>
    </row>
    <row r="82" spans="8:15" x14ac:dyDescent="0.25">
      <c r="H82" s="67">
        <f>'Data till lathund Åtgärder'!J33</f>
        <v>32</v>
      </c>
      <c r="I82" s="76" t="str">
        <f>'Data till lathund Åtgärder'!B33</f>
        <v>C35/45</v>
      </c>
      <c r="J82" s="76">
        <f>'Data till lathund Åtgärder'!C33</f>
        <v>20</v>
      </c>
      <c r="K82" s="76">
        <f>'Data till lathund Åtgärder'!D33</f>
        <v>5</v>
      </c>
      <c r="L82" s="76">
        <f>'Data till lathund Åtgärder'!E33</f>
        <v>20</v>
      </c>
      <c r="M82" s="76">
        <f>'Data till lathund Åtgärder'!F33</f>
        <v>50</v>
      </c>
      <c r="N82" s="102" t="str">
        <f>'Data till lathund Åtgärder'!G33</f>
        <v>OK7</v>
      </c>
      <c r="O82" s="102">
        <f>'Data till lathund Åtgärder'!H33</f>
        <v>0</v>
      </c>
    </row>
    <row r="83" spans="8:15" x14ac:dyDescent="0.25">
      <c r="H83" s="67">
        <f>'Data till lathund Åtgärder'!J34</f>
        <v>33</v>
      </c>
      <c r="I83" s="76" t="str">
        <f>'Data till lathund Åtgärder'!B34</f>
        <v>C40/50</v>
      </c>
      <c r="J83" s="76">
        <f>'Data till lathund Åtgärder'!C34</f>
        <v>15</v>
      </c>
      <c r="K83" s="76">
        <f>'Data till lathund Åtgärder'!D34</f>
        <v>10</v>
      </c>
      <c r="L83" s="76">
        <f>'Data till lathund Åtgärder'!E34</f>
        <v>0</v>
      </c>
      <c r="M83" s="76" t="str">
        <f>'Data till lathund Åtgärder'!F34</f>
        <v>Presenning</v>
      </c>
      <c r="N83" s="102" t="str">
        <f>'Data till lathund Åtgärder'!G34</f>
        <v>OK7</v>
      </c>
      <c r="O83" s="102">
        <f>'Data till lathund Åtgärder'!H34</f>
        <v>0</v>
      </c>
    </row>
    <row r="84" spans="8:15" x14ac:dyDescent="0.25">
      <c r="H84" s="67">
        <f>'Data till lathund Åtgärder'!J35</f>
        <v>34</v>
      </c>
      <c r="I84" s="76" t="str">
        <f>'Data till lathund Åtgärder'!B35</f>
        <v>C40/50</v>
      </c>
      <c r="J84" s="76">
        <f>'Data till lathund Åtgärder'!C35</f>
        <v>15</v>
      </c>
      <c r="K84" s="76">
        <f>'Data till lathund Åtgärder'!D35</f>
        <v>15</v>
      </c>
      <c r="L84" s="76">
        <f>'Data till lathund Åtgärder'!E35</f>
        <v>0</v>
      </c>
      <c r="M84" s="76" t="str">
        <f>'Data till lathund Åtgärder'!F35</f>
        <v>Presenning</v>
      </c>
      <c r="N84" s="102" t="str">
        <f>'Data till lathund Åtgärder'!G35</f>
        <v>OK7</v>
      </c>
      <c r="O84" s="102">
        <f>'Data till lathund Åtgärder'!H35</f>
        <v>0</v>
      </c>
    </row>
    <row r="85" spans="8:15" x14ac:dyDescent="0.25">
      <c r="H85" s="67">
        <f>'Data till lathund Åtgärder'!J36</f>
        <v>35</v>
      </c>
      <c r="I85" s="76" t="str">
        <f>'Data till lathund Åtgärder'!B36</f>
        <v>C40/50</v>
      </c>
      <c r="J85" s="76">
        <f>'Data till lathund Åtgärder'!C36</f>
        <v>20</v>
      </c>
      <c r="K85" s="76">
        <f>'Data till lathund Åtgärder'!D36</f>
        <v>5</v>
      </c>
      <c r="L85" s="76">
        <f>'Data till lathund Åtgärder'!E36</f>
        <v>20</v>
      </c>
      <c r="M85" s="76">
        <f>'Data till lathund Åtgärder'!F36</f>
        <v>50</v>
      </c>
      <c r="N85" s="102" t="str">
        <f>'Data till lathund Åtgärder'!G36</f>
        <v>OK7</v>
      </c>
      <c r="O85" s="102">
        <f>'Data till lathund Åtgärder'!H36</f>
        <v>0</v>
      </c>
    </row>
    <row r="86" spans="8:15" x14ac:dyDescent="0.25">
      <c r="H86" s="67">
        <f>'Data till lathund Åtgärder'!J37</f>
        <v>36</v>
      </c>
      <c r="I86" s="76" t="str">
        <f>'Data till lathund Åtgärder'!B37</f>
        <v>-</v>
      </c>
      <c r="J86" s="76" t="str">
        <f>'Data till lathund Åtgärder'!C37</f>
        <v>-</v>
      </c>
      <c r="K86" s="76" t="str">
        <f>'Data till lathund Åtgärder'!D37</f>
        <v>-</v>
      </c>
      <c r="L86" s="76" t="str">
        <f>'Data till lathund Åtgärder'!E37</f>
        <v>-</v>
      </c>
      <c r="M86" s="76" t="str">
        <f>'Data till lathund Åtgärder'!F37</f>
        <v>-</v>
      </c>
      <c r="N86" s="102">
        <f>'Data till lathund Åtgärder'!G37</f>
        <v>0</v>
      </c>
      <c r="O86" s="102" t="str">
        <f>'Data till lathund Åtgärder'!H37</f>
        <v>Fryser innan täck</v>
      </c>
    </row>
    <row r="87" spans="8:15" x14ac:dyDescent="0.25">
      <c r="H87" s="67">
        <f>'Data till lathund Åtgärder'!J38</f>
        <v>37</v>
      </c>
      <c r="I87" s="76" t="str">
        <f>'Data till lathund Åtgärder'!B38</f>
        <v>-</v>
      </c>
      <c r="J87" s="76" t="str">
        <f>'Data till lathund Åtgärder'!C38</f>
        <v>-</v>
      </c>
      <c r="K87" s="76" t="str">
        <f>'Data till lathund Åtgärder'!D38</f>
        <v>-</v>
      </c>
      <c r="L87" s="76" t="str">
        <f>'Data till lathund Åtgärder'!E38</f>
        <v>-</v>
      </c>
      <c r="M87" s="76" t="str">
        <f>'Data till lathund Åtgärder'!F38</f>
        <v>-</v>
      </c>
      <c r="N87" s="102">
        <f>'Data till lathund Åtgärder'!G38</f>
        <v>0</v>
      </c>
      <c r="O87" s="102" t="str">
        <f>'Data till lathund Åtgärder'!H38</f>
        <v>Når ej 70%</v>
      </c>
    </row>
    <row r="91" spans="8:15" x14ac:dyDescent="0.25">
      <c r="H91" s="79" t="s">
        <v>37</v>
      </c>
      <c r="I91" s="80" t="s">
        <v>38</v>
      </c>
      <c r="J91" s="81" t="s">
        <v>39</v>
      </c>
      <c r="K91" s="16" t="s">
        <v>40</v>
      </c>
      <c r="L91" s="82" t="s">
        <v>1</v>
      </c>
    </row>
    <row r="92" spans="8:15" x14ac:dyDescent="0.25">
      <c r="H92" s="76">
        <v>20</v>
      </c>
      <c r="I92" s="94">
        <v>0</v>
      </c>
      <c r="J92" s="95">
        <f t="shared" ref="J92:J100" si="3">I92+H92</f>
        <v>20</v>
      </c>
      <c r="K92" s="88">
        <v>20</v>
      </c>
      <c r="L92" s="89">
        <v>15</v>
      </c>
    </row>
    <row r="93" spans="8:15" x14ac:dyDescent="0.25">
      <c r="H93" s="76">
        <v>15</v>
      </c>
      <c r="I93" s="94">
        <v>0</v>
      </c>
      <c r="J93" s="95">
        <f t="shared" si="3"/>
        <v>15</v>
      </c>
      <c r="K93" s="88">
        <v>15</v>
      </c>
      <c r="L93" s="89">
        <v>15</v>
      </c>
    </row>
    <row r="94" spans="8:15" x14ac:dyDescent="0.25">
      <c r="H94" s="76">
        <v>10</v>
      </c>
      <c r="I94" s="94">
        <v>20</v>
      </c>
      <c r="J94" s="95">
        <f t="shared" si="3"/>
        <v>30</v>
      </c>
      <c r="K94" s="88">
        <v>10</v>
      </c>
      <c r="L94" s="89">
        <v>15</v>
      </c>
    </row>
    <row r="95" spans="8:15" x14ac:dyDescent="0.25">
      <c r="H95" s="76">
        <v>5</v>
      </c>
      <c r="I95" s="94">
        <v>20</v>
      </c>
      <c r="J95" s="95">
        <f t="shared" si="3"/>
        <v>25</v>
      </c>
      <c r="K95" s="88">
        <v>5</v>
      </c>
      <c r="L95" s="89">
        <v>20</v>
      </c>
    </row>
    <row r="96" spans="8:15" x14ac:dyDescent="0.25">
      <c r="H96" s="76">
        <v>0</v>
      </c>
      <c r="I96" s="94">
        <v>20</v>
      </c>
      <c r="J96" s="95">
        <f t="shared" si="3"/>
        <v>20</v>
      </c>
      <c r="K96" s="88">
        <v>5</v>
      </c>
      <c r="L96" s="89">
        <v>20</v>
      </c>
    </row>
    <row r="97" spans="8:12" x14ac:dyDescent="0.25">
      <c r="H97" s="76">
        <v>-5</v>
      </c>
      <c r="I97" s="94">
        <v>20</v>
      </c>
      <c r="J97" s="95">
        <f t="shared" si="3"/>
        <v>15</v>
      </c>
      <c r="K97" s="88">
        <v>5</v>
      </c>
      <c r="L97" s="89">
        <v>20</v>
      </c>
    </row>
    <row r="98" spans="8:12" x14ac:dyDescent="0.25">
      <c r="H98" s="76">
        <v>-10</v>
      </c>
      <c r="I98" s="94">
        <v>20</v>
      </c>
      <c r="J98" s="95">
        <f t="shared" si="3"/>
        <v>10</v>
      </c>
      <c r="K98" s="88">
        <v>5</v>
      </c>
      <c r="L98" s="89">
        <v>20</v>
      </c>
    </row>
    <row r="99" spans="8:12" x14ac:dyDescent="0.25">
      <c r="H99" s="76">
        <v>-15</v>
      </c>
      <c r="I99" s="94">
        <v>20</v>
      </c>
      <c r="J99" s="95">
        <f t="shared" si="3"/>
        <v>5</v>
      </c>
      <c r="K99" s="88">
        <v>5</v>
      </c>
      <c r="L99" s="89">
        <v>15</v>
      </c>
    </row>
    <row r="100" spans="8:12" x14ac:dyDescent="0.25">
      <c r="H100" s="90">
        <v>-20</v>
      </c>
      <c r="I100" s="96">
        <v>20</v>
      </c>
      <c r="J100" s="97">
        <f t="shared" si="3"/>
        <v>0</v>
      </c>
      <c r="K100" s="88">
        <v>5</v>
      </c>
      <c r="L100" s="93">
        <v>10</v>
      </c>
    </row>
  </sheetData>
  <phoneticPr fontId="3" type="noConversion"/>
  <conditionalFormatting sqref="C2:F46 H51:H87">
    <cfRule type="cellIs" dxfId="56" priority="1" operator="equal">
      <formula>36</formula>
    </cfRule>
    <cfRule type="containsText" dxfId="55" priority="3" operator="containsText" text="37">
      <formula>NOT(ISERROR(SEARCH("37",C2)))</formula>
    </cfRule>
    <cfRule type="colorScale" priority="4">
      <colorScale>
        <cfvo type="num" val="1"/>
        <cfvo type="percentile" val="50"/>
        <cfvo type="num" val="37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dimension ref="A1:N34"/>
  <sheetViews>
    <sheetView workbookViewId="0">
      <selection activeCell="B7" sqref="B7"/>
    </sheetView>
  </sheetViews>
  <sheetFormatPr defaultRowHeight="15" x14ac:dyDescent="0.25"/>
  <cols>
    <col min="1" max="1" width="16.140625" customWidth="1"/>
    <col min="2" max="2" width="20.140625" customWidth="1"/>
    <col min="3" max="3" width="28.5703125" customWidth="1"/>
    <col min="4" max="4" width="18" customWidth="1"/>
    <col min="5" max="5" width="19.140625" customWidth="1"/>
    <col min="6" max="6" width="16.5703125" bestFit="1" customWidth="1"/>
    <col min="7" max="7" width="25.5703125" bestFit="1" customWidth="1"/>
    <col min="8" max="9" width="22.28515625" customWidth="1"/>
    <col min="10" max="10" width="29.140625" customWidth="1"/>
    <col min="11" max="11" width="17.140625" customWidth="1"/>
    <col min="12" max="12" width="26.85546875" bestFit="1" customWidth="1"/>
    <col min="13" max="13" width="18.7109375" bestFit="1" customWidth="1"/>
  </cols>
  <sheetData>
    <row r="1" spans="1:11" ht="15.75" thickBot="1" x14ac:dyDescent="0.3">
      <c r="A1" s="107" t="s">
        <v>27</v>
      </c>
      <c r="B1" s="107" t="s">
        <v>1</v>
      </c>
      <c r="C1" s="17" t="s">
        <v>2</v>
      </c>
      <c r="D1" s="17" t="s">
        <v>108</v>
      </c>
      <c r="E1" s="17" t="s">
        <v>109</v>
      </c>
      <c r="F1" s="17" t="s">
        <v>4</v>
      </c>
      <c r="G1" s="17" t="s">
        <v>110</v>
      </c>
      <c r="H1" s="17" t="s">
        <v>60</v>
      </c>
      <c r="I1" s="17" t="s">
        <v>102</v>
      </c>
    </row>
    <row r="2" spans="1:11" x14ac:dyDescent="0.25">
      <c r="A2" s="80" t="s">
        <v>10</v>
      </c>
      <c r="B2" s="80" t="s">
        <v>10</v>
      </c>
      <c r="C2" s="80">
        <v>5</v>
      </c>
      <c r="D2" s="105">
        <v>40</v>
      </c>
      <c r="E2" s="84">
        <v>1</v>
      </c>
      <c r="F2" s="110" t="s">
        <v>10</v>
      </c>
      <c r="G2" s="105" t="s">
        <v>111</v>
      </c>
      <c r="H2" s="80" t="s">
        <v>15</v>
      </c>
      <c r="I2" s="111" t="s">
        <v>103</v>
      </c>
    </row>
    <row r="3" spans="1:11" x14ac:dyDescent="0.25">
      <c r="A3" s="98" t="s">
        <v>9</v>
      </c>
      <c r="B3" s="106">
        <v>10</v>
      </c>
      <c r="C3" s="105">
        <v>10</v>
      </c>
      <c r="D3" s="110" t="s">
        <v>10</v>
      </c>
      <c r="E3" s="105">
        <v>2</v>
      </c>
      <c r="F3" s="80" t="s">
        <v>11</v>
      </c>
      <c r="G3" s="105" t="s">
        <v>112</v>
      </c>
      <c r="H3" s="110" t="s">
        <v>113</v>
      </c>
      <c r="J3" s="79" t="s">
        <v>41</v>
      </c>
      <c r="K3" s="84" t="s">
        <v>42</v>
      </c>
    </row>
    <row r="4" spans="1:11" x14ac:dyDescent="0.25">
      <c r="A4" s="98" t="s">
        <v>16</v>
      </c>
      <c r="B4" s="106">
        <v>15</v>
      </c>
      <c r="C4" s="77">
        <v>15</v>
      </c>
      <c r="D4" s="84"/>
      <c r="E4" s="105">
        <v>3</v>
      </c>
      <c r="F4" s="105">
        <v>10</v>
      </c>
      <c r="G4" s="105" t="s">
        <v>114</v>
      </c>
      <c r="J4" s="78" t="s">
        <v>104</v>
      </c>
      <c r="K4" s="77" t="s">
        <v>115</v>
      </c>
    </row>
    <row r="5" spans="1:11" x14ac:dyDescent="0.25">
      <c r="A5" s="98" t="s">
        <v>12</v>
      </c>
      <c r="B5" s="106">
        <v>20</v>
      </c>
      <c r="C5" s="77">
        <v>20</v>
      </c>
      <c r="D5" s="85"/>
      <c r="E5" s="110" t="s">
        <v>10</v>
      </c>
      <c r="F5" s="105">
        <v>20</v>
      </c>
      <c r="G5" s="105" t="s">
        <v>116</v>
      </c>
      <c r="J5" s="78" t="s">
        <v>105</v>
      </c>
      <c r="K5" s="77" t="s">
        <v>117</v>
      </c>
    </row>
    <row r="6" spans="1:11" x14ac:dyDescent="0.25">
      <c r="A6" s="98" t="s">
        <v>43</v>
      </c>
      <c r="B6" s="109">
        <v>25</v>
      </c>
      <c r="C6" s="85" t="s">
        <v>10</v>
      </c>
      <c r="D6" s="105"/>
      <c r="F6" s="105">
        <v>30</v>
      </c>
      <c r="G6" s="110" t="s">
        <v>118</v>
      </c>
      <c r="J6" s="78" t="s">
        <v>106</v>
      </c>
      <c r="K6" s="77" t="s">
        <v>107</v>
      </c>
    </row>
    <row r="7" spans="1:11" x14ac:dyDescent="0.25">
      <c r="A7" s="98" t="s">
        <v>45</v>
      </c>
      <c r="B7" s="99"/>
      <c r="D7" s="105"/>
      <c r="F7" s="105">
        <v>50</v>
      </c>
      <c r="G7" s="110" t="s">
        <v>119</v>
      </c>
      <c r="J7" s="78" t="s">
        <v>120</v>
      </c>
      <c r="K7" s="77">
        <v>0.1</v>
      </c>
    </row>
    <row r="8" spans="1:11" x14ac:dyDescent="0.25">
      <c r="A8" s="98" t="s">
        <v>13</v>
      </c>
      <c r="B8" s="99"/>
      <c r="G8" s="110" t="s">
        <v>10</v>
      </c>
      <c r="J8" s="78" t="s">
        <v>121</v>
      </c>
      <c r="K8" s="77">
        <v>0.05</v>
      </c>
    </row>
    <row r="9" spans="1:11" x14ac:dyDescent="0.25">
      <c r="A9" s="108" t="s">
        <v>14</v>
      </c>
      <c r="J9" s="83" t="s">
        <v>46</v>
      </c>
      <c r="K9" s="85" t="s">
        <v>47</v>
      </c>
    </row>
    <row r="10" spans="1:11" x14ac:dyDescent="0.25">
      <c r="J10" s="83" t="s">
        <v>122</v>
      </c>
      <c r="K10" s="85" t="s">
        <v>123</v>
      </c>
    </row>
    <row r="17" spans="10:14" x14ac:dyDescent="0.25">
      <c r="J17" s="79" t="s">
        <v>37</v>
      </c>
      <c r="K17" s="80" t="s">
        <v>38</v>
      </c>
      <c r="L17" s="81" t="s">
        <v>39</v>
      </c>
      <c r="M17" s="16" t="s">
        <v>40</v>
      </c>
      <c r="N17" s="82" t="s">
        <v>1</v>
      </c>
    </row>
    <row r="18" spans="10:14" x14ac:dyDescent="0.25">
      <c r="J18" s="76">
        <v>20</v>
      </c>
      <c r="K18" s="86">
        <v>0</v>
      </c>
      <c r="L18" s="87">
        <f t="shared" ref="L18:L26" si="0">K18+J18</f>
        <v>20</v>
      </c>
      <c r="M18" s="88">
        <v>20</v>
      </c>
      <c r="N18" s="89">
        <v>15</v>
      </c>
    </row>
    <row r="19" spans="10:14" x14ac:dyDescent="0.25">
      <c r="J19" s="76">
        <v>15</v>
      </c>
      <c r="K19" s="86">
        <v>5</v>
      </c>
      <c r="L19" s="87">
        <f t="shared" si="0"/>
        <v>20</v>
      </c>
      <c r="M19" s="88">
        <v>15</v>
      </c>
      <c r="N19" s="89">
        <v>15</v>
      </c>
    </row>
    <row r="20" spans="10:14" x14ac:dyDescent="0.25">
      <c r="J20" s="76">
        <v>10</v>
      </c>
      <c r="K20" s="86">
        <v>10</v>
      </c>
      <c r="L20" s="87">
        <f t="shared" si="0"/>
        <v>20</v>
      </c>
      <c r="M20" s="88">
        <v>10</v>
      </c>
      <c r="N20" s="89">
        <v>15</v>
      </c>
    </row>
    <row r="21" spans="10:14" x14ac:dyDescent="0.25">
      <c r="J21" s="76">
        <v>5</v>
      </c>
      <c r="K21" s="86">
        <v>15</v>
      </c>
      <c r="L21" s="87">
        <f t="shared" si="0"/>
        <v>20</v>
      </c>
      <c r="M21" s="88">
        <v>5</v>
      </c>
      <c r="N21" s="89">
        <v>20</v>
      </c>
    </row>
    <row r="22" spans="10:14" x14ac:dyDescent="0.25">
      <c r="J22" s="76">
        <v>0</v>
      </c>
      <c r="K22" s="86">
        <v>20</v>
      </c>
      <c r="L22" s="87">
        <f t="shared" si="0"/>
        <v>20</v>
      </c>
      <c r="M22" s="88">
        <v>5</v>
      </c>
      <c r="N22" s="89">
        <v>20</v>
      </c>
    </row>
    <row r="23" spans="10:14" x14ac:dyDescent="0.25">
      <c r="J23" s="76">
        <v>-5</v>
      </c>
      <c r="K23" s="86">
        <v>20</v>
      </c>
      <c r="L23" s="87">
        <f t="shared" si="0"/>
        <v>15</v>
      </c>
      <c r="M23" s="88">
        <v>5</v>
      </c>
      <c r="N23" s="89">
        <v>20</v>
      </c>
    </row>
    <row r="24" spans="10:14" x14ac:dyDescent="0.25">
      <c r="J24" s="76">
        <v>-10</v>
      </c>
      <c r="K24" s="86">
        <v>20</v>
      </c>
      <c r="L24" s="87">
        <f t="shared" si="0"/>
        <v>10</v>
      </c>
      <c r="M24" s="88">
        <v>5</v>
      </c>
      <c r="N24" s="89">
        <v>20</v>
      </c>
    </row>
    <row r="25" spans="10:14" x14ac:dyDescent="0.25">
      <c r="J25" s="76">
        <v>-15</v>
      </c>
      <c r="K25" s="86">
        <v>20</v>
      </c>
      <c r="L25" s="87">
        <f t="shared" si="0"/>
        <v>5</v>
      </c>
      <c r="M25" s="88">
        <v>5</v>
      </c>
      <c r="N25" s="89">
        <v>15</v>
      </c>
    </row>
    <row r="26" spans="10:14" x14ac:dyDescent="0.25">
      <c r="J26" s="90">
        <v>-20</v>
      </c>
      <c r="K26" s="91">
        <v>20</v>
      </c>
      <c r="L26" s="92">
        <f t="shared" si="0"/>
        <v>0</v>
      </c>
      <c r="M26" s="88">
        <v>5</v>
      </c>
      <c r="N26" s="93">
        <v>10</v>
      </c>
    </row>
    <row r="29" spans="10:14" x14ac:dyDescent="0.25">
      <c r="J29" t="s">
        <v>124</v>
      </c>
      <c r="K29" t="s">
        <v>125</v>
      </c>
      <c r="L29" t="s">
        <v>126</v>
      </c>
      <c r="M29" t="s">
        <v>127</v>
      </c>
    </row>
    <row r="30" spans="10:14" x14ac:dyDescent="0.25">
      <c r="J30" t="s">
        <v>128</v>
      </c>
      <c r="K30">
        <v>0.1</v>
      </c>
      <c r="L30">
        <v>2.5000000000000001E-2</v>
      </c>
      <c r="M30">
        <v>-0.05</v>
      </c>
    </row>
    <row r="31" spans="10:14" x14ac:dyDescent="0.25">
      <c r="J31" t="s">
        <v>129</v>
      </c>
      <c r="K31">
        <v>-0.05</v>
      </c>
      <c r="L31">
        <v>-0.05</v>
      </c>
      <c r="M31">
        <v>-0.05</v>
      </c>
    </row>
    <row r="32" spans="10:14" x14ac:dyDescent="0.25">
      <c r="J32" t="s">
        <v>130</v>
      </c>
      <c r="K32">
        <v>0.15</v>
      </c>
      <c r="L32">
        <v>0.15</v>
      </c>
      <c r="M32">
        <v>0.15</v>
      </c>
    </row>
    <row r="33" spans="10:13" x14ac:dyDescent="0.25">
      <c r="J33" t="s">
        <v>130</v>
      </c>
      <c r="K33">
        <v>0.05</v>
      </c>
      <c r="L33">
        <v>0.05</v>
      </c>
      <c r="M33">
        <v>0.05</v>
      </c>
    </row>
    <row r="34" spans="10:13" x14ac:dyDescent="0.25">
      <c r="J34" t="s">
        <v>131</v>
      </c>
      <c r="K34" t="s">
        <v>132</v>
      </c>
    </row>
  </sheetData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AA580D-6ACC-4B8F-873B-22BA6ACC56E7}">
  <ds:schemaRefs>
    <ds:schemaRef ds:uri="1e800367-2c34-4d12-acc1-86a7242367eb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7b9f31b-60f6-4aad-8cdf-b09de99c40f0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Bjälklag (Bas+0% slagg)</vt:lpstr>
      <vt:lpstr>Bjälklag (10% slagg)</vt:lpstr>
      <vt:lpstr>Bjälklag (20% slagg)</vt:lpstr>
      <vt:lpstr>Bjälklag (30% slagg)</vt:lpstr>
      <vt:lpstr>Bjälklag (40% slagg)</vt:lpstr>
      <vt:lpstr>Data till Lathund, Kådgenererin</vt:lpstr>
      <vt:lpstr>Data till lathund Åtgärder</vt:lpstr>
      <vt:lpstr>Lathund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2026-05-06T13:54:32Z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