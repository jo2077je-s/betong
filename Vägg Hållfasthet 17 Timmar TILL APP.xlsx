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Skola\Exjobb\Parameterstudie\Bas\"/>
    </mc:Choice>
  </mc:AlternateContent>
  <xr:revisionPtr revIDLastSave="0" documentId="8_{D493B09A-D380-40BA-BB46-CCAFB7C0DF2D}" xr6:coauthVersionLast="47" xr6:coauthVersionMax="47" xr10:uidLastSave="{00000000-0000-0000-0000-000000000000}"/>
  <bookViews>
    <workbookView xWindow="-120" yWindow="-120" windowWidth="29040" windowHeight="15840" tabRatio="788" activeTab="4" xr2:uid="{3000DFAE-FC4D-4193-A0F9-3BF5B0CC613D}"/>
  </bookViews>
  <sheets>
    <sheet name="Bjälklag (C20-25)" sheetId="21" r:id="rId1"/>
    <sheet name="Bjälklag (C25-30)" sheetId="20" r:id="rId2"/>
    <sheet name="Bjälklag (C28-35)" sheetId="19" r:id="rId3"/>
    <sheet name="Bjälklag (C30-37)" sheetId="18" r:id="rId4"/>
    <sheet name="Bjälklag (C32-40)" sheetId="17" r:id="rId5"/>
    <sheet name="Bjälklag (C35-45)" sheetId="22" r:id="rId6"/>
    <sheet name="Bjälklag (C40-50)" sheetId="11" r:id="rId7"/>
    <sheet name="Data till Lathund, Kådgenererin" sheetId="5" r:id="rId8"/>
    <sheet name="Lathund" sheetId="7" r:id="rId9"/>
    <sheet name="Data till lathund Åtgärder" sheetId="6" r:id="rId10"/>
    <sheet name="Förutsättningar" sheetId="23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5" l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H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G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F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E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D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M2" i="11" l="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33" i="11"/>
  <c r="M34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2" i="22"/>
  <c r="M3" i="22"/>
  <c r="M4" i="22"/>
  <c r="M5" i="22"/>
  <c r="M6" i="22"/>
  <c r="M7" i="22"/>
  <c r="M8" i="22"/>
  <c r="M9" i="22"/>
  <c r="M10" i="22"/>
  <c r="M11" i="22"/>
  <c r="M12" i="22"/>
  <c r="M13" i="22"/>
  <c r="M14" i="22"/>
  <c r="M15" i="22"/>
  <c r="M16" i="22"/>
  <c r="M17" i="22"/>
  <c r="M18" i="22"/>
  <c r="M19" i="22"/>
  <c r="M20" i="22"/>
  <c r="M21" i="22"/>
  <c r="M22" i="22"/>
  <c r="M23" i="22"/>
  <c r="M24" i="22"/>
  <c r="M25" i="22"/>
  <c r="M26" i="22"/>
  <c r="M27" i="22"/>
  <c r="M28" i="22"/>
  <c r="M29" i="22"/>
  <c r="M30" i="22"/>
  <c r="M31" i="22"/>
  <c r="M32" i="22"/>
  <c r="M33" i="22"/>
  <c r="M34" i="22"/>
  <c r="M35" i="22"/>
  <c r="M36" i="22"/>
  <c r="M37" i="22"/>
  <c r="M38" i="22"/>
  <c r="M39" i="22"/>
  <c r="M40" i="22"/>
  <c r="M41" i="22"/>
  <c r="M42" i="22"/>
  <c r="M43" i="22"/>
  <c r="M44" i="22"/>
  <c r="M45" i="22"/>
  <c r="M46" i="22"/>
  <c r="M2" i="17"/>
  <c r="M3" i="17"/>
  <c r="M4" i="17"/>
  <c r="M5" i="17"/>
  <c r="M6" i="17"/>
  <c r="M7" i="17"/>
  <c r="M8" i="17"/>
  <c r="M9" i="17"/>
  <c r="M10" i="17"/>
  <c r="M11" i="17"/>
  <c r="M12" i="17"/>
  <c r="M13" i="17"/>
  <c r="M14" i="17"/>
  <c r="M15" i="17"/>
  <c r="M16" i="17"/>
  <c r="M17" i="17"/>
  <c r="M18" i="17"/>
  <c r="M19" i="17"/>
  <c r="M20" i="17"/>
  <c r="M21" i="17"/>
  <c r="M22" i="17"/>
  <c r="M23" i="17"/>
  <c r="M24" i="17"/>
  <c r="M25" i="17"/>
  <c r="M26" i="17"/>
  <c r="M27" i="17"/>
  <c r="M28" i="17"/>
  <c r="M29" i="17"/>
  <c r="M30" i="17"/>
  <c r="M31" i="17"/>
  <c r="M32" i="17"/>
  <c r="M33" i="17"/>
  <c r="M34" i="17"/>
  <c r="M35" i="17"/>
  <c r="M36" i="17"/>
  <c r="M37" i="17"/>
  <c r="M38" i="17"/>
  <c r="M39" i="17"/>
  <c r="M40" i="17"/>
  <c r="M41" i="17"/>
  <c r="M42" i="17"/>
  <c r="M43" i="17"/>
  <c r="M44" i="17"/>
  <c r="M45" i="17"/>
  <c r="M46" i="17"/>
  <c r="M2" i="18"/>
  <c r="M3" i="18"/>
  <c r="M4" i="18"/>
  <c r="M5" i="18"/>
  <c r="M6" i="18"/>
  <c r="M7" i="18"/>
  <c r="M8" i="18"/>
  <c r="M9" i="18"/>
  <c r="M10" i="18"/>
  <c r="M11" i="18"/>
  <c r="M12" i="18"/>
  <c r="M13" i="18"/>
  <c r="M14" i="18"/>
  <c r="M15" i="18"/>
  <c r="M16" i="18"/>
  <c r="M17" i="18"/>
  <c r="M18" i="18"/>
  <c r="M19" i="18"/>
  <c r="M20" i="18"/>
  <c r="M21" i="18"/>
  <c r="M22" i="18"/>
  <c r="M23" i="18"/>
  <c r="M24" i="18"/>
  <c r="M25" i="18"/>
  <c r="M26" i="18"/>
  <c r="M27" i="18"/>
  <c r="M28" i="18"/>
  <c r="M29" i="18"/>
  <c r="M30" i="18"/>
  <c r="M31" i="18"/>
  <c r="M32" i="18"/>
  <c r="M33" i="18"/>
  <c r="M34" i="18"/>
  <c r="M35" i="18"/>
  <c r="M36" i="18"/>
  <c r="M37" i="18"/>
  <c r="M38" i="18"/>
  <c r="M39" i="18"/>
  <c r="M40" i="18"/>
  <c r="M41" i="18"/>
  <c r="M42" i="18"/>
  <c r="M43" i="18"/>
  <c r="M44" i="18"/>
  <c r="M45" i="18"/>
  <c r="M46" i="18"/>
  <c r="M2" i="19"/>
  <c r="M3" i="19"/>
  <c r="M4" i="19"/>
  <c r="M5" i="19"/>
  <c r="M6" i="19"/>
  <c r="M7" i="19"/>
  <c r="M8" i="19"/>
  <c r="M9" i="19"/>
  <c r="M10" i="19"/>
  <c r="M11" i="19"/>
  <c r="M12" i="19"/>
  <c r="M13" i="19"/>
  <c r="M14" i="19"/>
  <c r="M15" i="19"/>
  <c r="M16" i="19"/>
  <c r="M17" i="19"/>
  <c r="M18" i="19"/>
  <c r="M19" i="19"/>
  <c r="M20" i="19"/>
  <c r="M21" i="19"/>
  <c r="M22" i="19"/>
  <c r="M23" i="19"/>
  <c r="M24" i="19"/>
  <c r="M25" i="19"/>
  <c r="M26" i="19"/>
  <c r="M27" i="19"/>
  <c r="M28" i="19"/>
  <c r="M29" i="19"/>
  <c r="M30" i="19"/>
  <c r="M31" i="19"/>
  <c r="M32" i="19"/>
  <c r="M33" i="19"/>
  <c r="M34" i="19"/>
  <c r="M35" i="19"/>
  <c r="M36" i="19"/>
  <c r="M37" i="19"/>
  <c r="M38" i="19"/>
  <c r="M39" i="19"/>
  <c r="M40" i="19"/>
  <c r="M41" i="19"/>
  <c r="M42" i="19"/>
  <c r="M43" i="19"/>
  <c r="M44" i="19"/>
  <c r="M45" i="19"/>
  <c r="M46" i="19"/>
  <c r="M2" i="20"/>
  <c r="M3" i="20"/>
  <c r="M4" i="20"/>
  <c r="M5" i="20"/>
  <c r="M6" i="20"/>
  <c r="M7" i="20"/>
  <c r="M8" i="20"/>
  <c r="M9" i="20"/>
  <c r="M10" i="20"/>
  <c r="M11" i="20"/>
  <c r="M12" i="20"/>
  <c r="M13" i="20"/>
  <c r="M14" i="20"/>
  <c r="M15" i="20"/>
  <c r="M16" i="20"/>
  <c r="M17" i="20"/>
  <c r="M18" i="20"/>
  <c r="M19" i="20"/>
  <c r="M20" i="20"/>
  <c r="M21" i="20"/>
  <c r="M22" i="20"/>
  <c r="M23" i="20"/>
  <c r="M24" i="20"/>
  <c r="M25" i="20"/>
  <c r="M26" i="20"/>
  <c r="M27" i="20"/>
  <c r="M28" i="20"/>
  <c r="M29" i="20"/>
  <c r="M30" i="20"/>
  <c r="M31" i="20"/>
  <c r="M32" i="20"/>
  <c r="M33" i="20"/>
  <c r="M34" i="20"/>
  <c r="M35" i="20"/>
  <c r="M36" i="20"/>
  <c r="M37" i="20"/>
  <c r="M38" i="20"/>
  <c r="M39" i="20"/>
  <c r="M40" i="20"/>
  <c r="M41" i="20"/>
  <c r="M42" i="20"/>
  <c r="M43" i="20"/>
  <c r="M44" i="20"/>
  <c r="M45" i="20"/>
  <c r="M46" i="20"/>
  <c r="M2" i="21"/>
  <c r="C2" i="5" s="1"/>
  <c r="N47" i="5" s="1"/>
  <c r="M3" i="21"/>
  <c r="M4" i="21"/>
  <c r="M5" i="21"/>
  <c r="M6" i="21"/>
  <c r="M7" i="21"/>
  <c r="M8" i="21"/>
  <c r="M9" i="21"/>
  <c r="M10" i="21"/>
  <c r="M11" i="21"/>
  <c r="M12" i="21"/>
  <c r="M13" i="21"/>
  <c r="M14" i="21"/>
  <c r="M15" i="21"/>
  <c r="M16" i="21"/>
  <c r="M17" i="21"/>
  <c r="M18" i="21"/>
  <c r="M19" i="21"/>
  <c r="M20" i="21"/>
  <c r="M21" i="21"/>
  <c r="M22" i="21"/>
  <c r="M23" i="21"/>
  <c r="M24" i="21"/>
  <c r="M25" i="21"/>
  <c r="M26" i="21"/>
  <c r="M27" i="21"/>
  <c r="M28" i="21"/>
  <c r="M29" i="21"/>
  <c r="M30" i="21"/>
  <c r="M31" i="21"/>
  <c r="M32" i="21"/>
  <c r="M33" i="21"/>
  <c r="M34" i="21"/>
  <c r="M35" i="21"/>
  <c r="M36" i="21"/>
  <c r="M37" i="21"/>
  <c r="M38" i="21"/>
  <c r="M39" i="21"/>
  <c r="M40" i="21"/>
  <c r="M41" i="21"/>
  <c r="M42" i="21"/>
  <c r="M43" i="21"/>
  <c r="M44" i="21"/>
  <c r="M45" i="21"/>
  <c r="M46" i="21"/>
  <c r="L26" i="23" l="1"/>
  <c r="L25" i="23"/>
  <c r="L24" i="23"/>
  <c r="L23" i="23"/>
  <c r="L22" i="23"/>
  <c r="L21" i="23"/>
  <c r="L20" i="23"/>
  <c r="L19" i="23"/>
  <c r="L18" i="23"/>
  <c r="K52" i="7"/>
  <c r="L52" i="7"/>
  <c r="M52" i="7"/>
  <c r="N52" i="7"/>
  <c r="O52" i="7"/>
  <c r="P52" i="7"/>
  <c r="Q52" i="7"/>
  <c r="K53" i="7"/>
  <c r="L53" i="7"/>
  <c r="M53" i="7"/>
  <c r="N53" i="7"/>
  <c r="O53" i="7"/>
  <c r="P53" i="7"/>
  <c r="Q53" i="7"/>
  <c r="K54" i="7"/>
  <c r="L54" i="7"/>
  <c r="M54" i="7"/>
  <c r="N54" i="7"/>
  <c r="O54" i="7"/>
  <c r="P54" i="7"/>
  <c r="Q54" i="7"/>
  <c r="K55" i="7"/>
  <c r="L55" i="7"/>
  <c r="M55" i="7"/>
  <c r="N55" i="7"/>
  <c r="O55" i="7"/>
  <c r="P55" i="7"/>
  <c r="Q55" i="7"/>
  <c r="K56" i="7"/>
  <c r="L56" i="7"/>
  <c r="M56" i="7"/>
  <c r="N56" i="7"/>
  <c r="O56" i="7"/>
  <c r="P56" i="7"/>
  <c r="Q56" i="7"/>
  <c r="K57" i="7"/>
  <c r="L57" i="7"/>
  <c r="M57" i="7"/>
  <c r="N57" i="7"/>
  <c r="O57" i="7"/>
  <c r="P57" i="7"/>
  <c r="Q57" i="7"/>
  <c r="K58" i="7"/>
  <c r="L58" i="7"/>
  <c r="M58" i="7"/>
  <c r="N58" i="7"/>
  <c r="O58" i="7"/>
  <c r="P58" i="7"/>
  <c r="Q58" i="7"/>
  <c r="K59" i="7"/>
  <c r="L59" i="7"/>
  <c r="M59" i="7"/>
  <c r="N59" i="7"/>
  <c r="O59" i="7"/>
  <c r="P59" i="7"/>
  <c r="Q59" i="7"/>
  <c r="K60" i="7"/>
  <c r="L60" i="7"/>
  <c r="M60" i="7"/>
  <c r="N60" i="7"/>
  <c r="O60" i="7"/>
  <c r="P60" i="7"/>
  <c r="Q60" i="7"/>
  <c r="K61" i="7"/>
  <c r="L61" i="7"/>
  <c r="M61" i="7"/>
  <c r="N61" i="7"/>
  <c r="O61" i="7"/>
  <c r="P61" i="7"/>
  <c r="Q61" i="7"/>
  <c r="K62" i="7"/>
  <c r="L62" i="7"/>
  <c r="M62" i="7"/>
  <c r="N62" i="7"/>
  <c r="O62" i="7"/>
  <c r="P62" i="7"/>
  <c r="Q62" i="7"/>
  <c r="K63" i="7"/>
  <c r="L63" i="7"/>
  <c r="M63" i="7"/>
  <c r="N63" i="7"/>
  <c r="O63" i="7"/>
  <c r="P63" i="7"/>
  <c r="Q63" i="7"/>
  <c r="K64" i="7"/>
  <c r="L64" i="7"/>
  <c r="M64" i="7"/>
  <c r="N64" i="7"/>
  <c r="O64" i="7"/>
  <c r="P64" i="7"/>
  <c r="Q64" i="7"/>
  <c r="K65" i="7"/>
  <c r="L65" i="7"/>
  <c r="M65" i="7"/>
  <c r="N65" i="7"/>
  <c r="O65" i="7"/>
  <c r="P65" i="7"/>
  <c r="Q65" i="7"/>
  <c r="K66" i="7"/>
  <c r="L66" i="7"/>
  <c r="M66" i="7"/>
  <c r="N66" i="7"/>
  <c r="O66" i="7"/>
  <c r="P66" i="7"/>
  <c r="Q66" i="7"/>
  <c r="K67" i="7"/>
  <c r="L67" i="7"/>
  <c r="M67" i="7"/>
  <c r="N67" i="7"/>
  <c r="O67" i="7"/>
  <c r="P67" i="7"/>
  <c r="Q67" i="7"/>
  <c r="K68" i="7"/>
  <c r="L68" i="7"/>
  <c r="M68" i="7"/>
  <c r="N68" i="7"/>
  <c r="O68" i="7"/>
  <c r="P68" i="7"/>
  <c r="Q68" i="7"/>
  <c r="K69" i="7"/>
  <c r="L69" i="7"/>
  <c r="M69" i="7"/>
  <c r="N69" i="7"/>
  <c r="O69" i="7"/>
  <c r="P69" i="7"/>
  <c r="Q69" i="7"/>
  <c r="K70" i="7"/>
  <c r="L70" i="7"/>
  <c r="M70" i="7"/>
  <c r="N70" i="7"/>
  <c r="O70" i="7"/>
  <c r="P70" i="7"/>
  <c r="Q70" i="7"/>
  <c r="K71" i="7"/>
  <c r="L71" i="7"/>
  <c r="M71" i="7"/>
  <c r="N71" i="7"/>
  <c r="O71" i="7"/>
  <c r="P71" i="7"/>
  <c r="Q71" i="7"/>
  <c r="K72" i="7"/>
  <c r="L72" i="7"/>
  <c r="M72" i="7"/>
  <c r="N72" i="7"/>
  <c r="O72" i="7"/>
  <c r="P72" i="7"/>
  <c r="Q72" i="7"/>
  <c r="K73" i="7"/>
  <c r="L73" i="7"/>
  <c r="M73" i="7"/>
  <c r="N73" i="7"/>
  <c r="O73" i="7"/>
  <c r="P73" i="7"/>
  <c r="Q73" i="7"/>
  <c r="K74" i="7"/>
  <c r="L74" i="7"/>
  <c r="M74" i="7"/>
  <c r="N74" i="7"/>
  <c r="O74" i="7"/>
  <c r="P74" i="7"/>
  <c r="Q74" i="7"/>
  <c r="K75" i="7"/>
  <c r="L75" i="7"/>
  <c r="M75" i="7"/>
  <c r="N75" i="7"/>
  <c r="O75" i="7"/>
  <c r="P75" i="7"/>
  <c r="Q75" i="7"/>
  <c r="K76" i="7"/>
  <c r="L76" i="7"/>
  <c r="M76" i="7"/>
  <c r="N76" i="7"/>
  <c r="O76" i="7"/>
  <c r="P76" i="7"/>
  <c r="Q76" i="7"/>
  <c r="K77" i="7"/>
  <c r="L77" i="7"/>
  <c r="M77" i="7"/>
  <c r="N77" i="7"/>
  <c r="O77" i="7"/>
  <c r="P77" i="7"/>
  <c r="Q77" i="7"/>
  <c r="K78" i="7"/>
  <c r="L78" i="7"/>
  <c r="M78" i="7"/>
  <c r="N78" i="7"/>
  <c r="O78" i="7"/>
  <c r="P78" i="7"/>
  <c r="Q78" i="7"/>
  <c r="K79" i="7"/>
  <c r="L79" i="7"/>
  <c r="M79" i="7"/>
  <c r="N79" i="7"/>
  <c r="O79" i="7"/>
  <c r="P79" i="7"/>
  <c r="Q79" i="7"/>
  <c r="K80" i="7"/>
  <c r="L80" i="7"/>
  <c r="M80" i="7"/>
  <c r="N80" i="7"/>
  <c r="O80" i="7"/>
  <c r="P80" i="7"/>
  <c r="Q80" i="7"/>
  <c r="K81" i="7"/>
  <c r="L81" i="7"/>
  <c r="M81" i="7"/>
  <c r="N81" i="7"/>
  <c r="O81" i="7"/>
  <c r="P81" i="7"/>
  <c r="Q81" i="7"/>
  <c r="K82" i="7"/>
  <c r="L82" i="7"/>
  <c r="M82" i="7"/>
  <c r="N82" i="7"/>
  <c r="O82" i="7"/>
  <c r="P82" i="7"/>
  <c r="Q82" i="7"/>
  <c r="K83" i="7"/>
  <c r="L83" i="7"/>
  <c r="M83" i="7"/>
  <c r="N83" i="7"/>
  <c r="O83" i="7"/>
  <c r="P83" i="7"/>
  <c r="Q83" i="7"/>
  <c r="K84" i="7"/>
  <c r="L84" i="7"/>
  <c r="M84" i="7"/>
  <c r="N84" i="7"/>
  <c r="O84" i="7"/>
  <c r="P84" i="7"/>
  <c r="Q84" i="7"/>
  <c r="K85" i="7"/>
  <c r="L85" i="7"/>
  <c r="M85" i="7"/>
  <c r="N85" i="7"/>
  <c r="O85" i="7"/>
  <c r="P85" i="7"/>
  <c r="Q85" i="7"/>
  <c r="K86" i="7"/>
  <c r="L86" i="7"/>
  <c r="M86" i="7"/>
  <c r="N86" i="7"/>
  <c r="O86" i="7"/>
  <c r="P86" i="7"/>
  <c r="Q86" i="7"/>
  <c r="K87" i="7"/>
  <c r="L87" i="7"/>
  <c r="M87" i="7"/>
  <c r="N87" i="7"/>
  <c r="O87" i="7"/>
  <c r="P87" i="7"/>
  <c r="Q87" i="7"/>
  <c r="K88" i="7"/>
  <c r="L88" i="7"/>
  <c r="M88" i="7"/>
  <c r="N88" i="7"/>
  <c r="O88" i="7"/>
  <c r="P88" i="7"/>
  <c r="Q88" i="7"/>
  <c r="K89" i="7"/>
  <c r="L89" i="7"/>
  <c r="M89" i="7"/>
  <c r="N89" i="7"/>
  <c r="O89" i="7"/>
  <c r="P89" i="7"/>
  <c r="Q89" i="7"/>
  <c r="K90" i="7"/>
  <c r="L90" i="7"/>
  <c r="M90" i="7"/>
  <c r="N90" i="7"/>
  <c r="O90" i="7"/>
  <c r="P90" i="7"/>
  <c r="Q90" i="7"/>
  <c r="K91" i="7"/>
  <c r="L91" i="7"/>
  <c r="M91" i="7"/>
  <c r="N91" i="7"/>
  <c r="O91" i="7"/>
  <c r="P91" i="7"/>
  <c r="Q91" i="7"/>
  <c r="K92" i="7"/>
  <c r="L92" i="7"/>
  <c r="M92" i="7"/>
  <c r="N92" i="7"/>
  <c r="O92" i="7"/>
  <c r="P92" i="7"/>
  <c r="Q92" i="7"/>
  <c r="K93" i="7"/>
  <c r="L93" i="7"/>
  <c r="M93" i="7"/>
  <c r="N93" i="7"/>
  <c r="O93" i="7"/>
  <c r="P93" i="7"/>
  <c r="Q93" i="7"/>
  <c r="K94" i="7"/>
  <c r="L94" i="7"/>
  <c r="M94" i="7"/>
  <c r="N94" i="7"/>
  <c r="O94" i="7"/>
  <c r="P94" i="7"/>
  <c r="Q94" i="7"/>
  <c r="K95" i="7"/>
  <c r="L95" i="7"/>
  <c r="M95" i="7"/>
  <c r="N95" i="7"/>
  <c r="O95" i="7"/>
  <c r="P95" i="7"/>
  <c r="Q95" i="7"/>
  <c r="Q51" i="7"/>
  <c r="P51" i="7"/>
  <c r="O51" i="7"/>
  <c r="N51" i="7"/>
  <c r="M51" i="7"/>
  <c r="L51" i="7"/>
  <c r="K51" i="7"/>
  <c r="J2" i="6"/>
  <c r="O2" i="5" s="1"/>
  <c r="J9" i="6"/>
  <c r="J20" i="6"/>
  <c r="J22" i="6"/>
  <c r="J29" i="6"/>
  <c r="J7" i="6"/>
  <c r="J3" i="6"/>
  <c r="J24" i="6"/>
  <c r="J32" i="6"/>
  <c r="J26" i="6"/>
  <c r="J41" i="6"/>
  <c r="J14" i="6"/>
  <c r="J36" i="6"/>
  <c r="J11" i="6"/>
  <c r="O11" i="5" s="1"/>
  <c r="J19" i="6"/>
  <c r="J25" i="6"/>
  <c r="O26" i="5" s="1"/>
  <c r="J37" i="6"/>
  <c r="J4" i="6"/>
  <c r="J13" i="6"/>
  <c r="J23" i="6"/>
  <c r="J6" i="6"/>
  <c r="J34" i="6"/>
  <c r="J44" i="6"/>
  <c r="O44" i="5" s="1"/>
  <c r="I2" i="6"/>
  <c r="N2" i="5" s="1"/>
  <c r="I20" i="6"/>
  <c r="I22" i="6"/>
  <c r="I29" i="6"/>
  <c r="I7" i="6"/>
  <c r="I3" i="6"/>
  <c r="I24" i="6"/>
  <c r="I32" i="6"/>
  <c r="I26" i="6"/>
  <c r="I41" i="6"/>
  <c r="I14" i="6"/>
  <c r="I36" i="6"/>
  <c r="I11" i="6"/>
  <c r="N11" i="5" s="1"/>
  <c r="I19" i="6"/>
  <c r="I25" i="6"/>
  <c r="I37" i="6"/>
  <c r="N36" i="5" s="1"/>
  <c r="I4" i="6"/>
  <c r="I13" i="6"/>
  <c r="I23" i="6"/>
  <c r="I6" i="6"/>
  <c r="I34" i="6"/>
  <c r="N37" i="5" s="1"/>
  <c r="I44" i="6"/>
  <c r="N44" i="5" s="1"/>
  <c r="H87" i="6"/>
  <c r="H88" i="6"/>
  <c r="J88" i="6" s="1"/>
  <c r="H89" i="6"/>
  <c r="J89" i="6" s="1"/>
  <c r="H90" i="6"/>
  <c r="J90" i="6" s="1"/>
  <c r="H91" i="6"/>
  <c r="H92" i="6"/>
  <c r="J92" i="6" s="1"/>
  <c r="H93" i="6"/>
  <c r="J93" i="6" s="1"/>
  <c r="H94" i="6"/>
  <c r="J94" i="6" s="1"/>
  <c r="H95" i="6"/>
  <c r="H96" i="6"/>
  <c r="J96" i="6" s="1"/>
  <c r="H97" i="6"/>
  <c r="J97" i="6" s="1"/>
  <c r="H98" i="6"/>
  <c r="J98" i="6" s="1"/>
  <c r="H99" i="6"/>
  <c r="J99" i="6" s="1"/>
  <c r="H100" i="6"/>
  <c r="J100" i="6" s="1"/>
  <c r="H101" i="6"/>
  <c r="J101" i="6" s="1"/>
  <c r="H102" i="6"/>
  <c r="J102" i="6" s="1"/>
  <c r="H103" i="6"/>
  <c r="J103" i="6" s="1"/>
  <c r="H104" i="6"/>
  <c r="J104" i="6" s="1"/>
  <c r="H105" i="6"/>
  <c r="J105" i="6" s="1"/>
  <c r="H106" i="6"/>
  <c r="J106" i="6" s="1"/>
  <c r="H107" i="6"/>
  <c r="J107" i="6" s="1"/>
  <c r="H108" i="6"/>
  <c r="J108" i="6" s="1"/>
  <c r="J87" i="6"/>
  <c r="J91" i="6"/>
  <c r="J95" i="6"/>
  <c r="H64" i="6"/>
  <c r="J64" i="6" s="1"/>
  <c r="I21" i="6"/>
  <c r="I28" i="6"/>
  <c r="N28" i="5" s="1"/>
  <c r="I38" i="6"/>
  <c r="N38" i="5" s="1"/>
  <c r="I30" i="6"/>
  <c r="N29" i="5" s="1"/>
  <c r="I10" i="6"/>
  <c r="I9" i="6"/>
  <c r="I45" i="6"/>
  <c r="N45" i="5" s="1"/>
  <c r="I39" i="6"/>
  <c r="N39" i="5" s="1"/>
  <c r="I31" i="6"/>
  <c r="N30" i="5" s="1"/>
  <c r="I18" i="6"/>
  <c r="I27" i="6"/>
  <c r="I33" i="6"/>
  <c r="I35" i="6"/>
  <c r="N32" i="5" s="1"/>
  <c r="I40" i="6"/>
  <c r="N40" i="5" s="1"/>
  <c r="I42" i="6"/>
  <c r="N41" i="5" s="1"/>
  <c r="I46" i="6"/>
  <c r="N46" i="5" s="1"/>
  <c r="I5" i="6"/>
  <c r="I12" i="6"/>
  <c r="N14" i="5" s="1"/>
  <c r="I8" i="6"/>
  <c r="I17" i="6"/>
  <c r="I16" i="6"/>
  <c r="I43" i="6"/>
  <c r="H65" i="6"/>
  <c r="J65" i="6" s="1"/>
  <c r="H66" i="6"/>
  <c r="J66" i="6" s="1"/>
  <c r="H67" i="6"/>
  <c r="J67" i="6" s="1"/>
  <c r="H68" i="6"/>
  <c r="J68" i="6" s="1"/>
  <c r="H69" i="6"/>
  <c r="J69" i="6" s="1"/>
  <c r="H70" i="6"/>
  <c r="J70" i="6" s="1"/>
  <c r="H71" i="6"/>
  <c r="J71" i="6" s="1"/>
  <c r="H72" i="6"/>
  <c r="J72" i="6" s="1"/>
  <c r="H73" i="6"/>
  <c r="J73" i="6" s="1"/>
  <c r="H74" i="6"/>
  <c r="J74" i="6" s="1"/>
  <c r="H75" i="6"/>
  <c r="J75" i="6" s="1"/>
  <c r="H76" i="6"/>
  <c r="J76" i="6" s="1"/>
  <c r="H77" i="6"/>
  <c r="J77" i="6" s="1"/>
  <c r="H78" i="6"/>
  <c r="J78" i="6" s="1"/>
  <c r="H79" i="6"/>
  <c r="J79" i="6" s="1"/>
  <c r="H80" i="6"/>
  <c r="J80" i="6" s="1"/>
  <c r="H81" i="6"/>
  <c r="J81" i="6" s="1"/>
  <c r="H82" i="6"/>
  <c r="J82" i="6" s="1"/>
  <c r="H83" i="6"/>
  <c r="J83" i="6" s="1"/>
  <c r="H84" i="6"/>
  <c r="J84" i="6" s="1"/>
  <c r="H85" i="6"/>
  <c r="J85" i="6" s="1"/>
  <c r="H86" i="6"/>
  <c r="J86" i="6" s="1"/>
  <c r="J28" i="6"/>
  <c r="O28" i="5" s="1"/>
  <c r="J38" i="6"/>
  <c r="O38" i="5" s="1"/>
  <c r="J18" i="6"/>
  <c r="J27" i="6"/>
  <c r="J33" i="6"/>
  <c r="J35" i="6"/>
  <c r="J40" i="6"/>
  <c r="O40" i="5" s="1"/>
  <c r="J46" i="6"/>
  <c r="O46" i="5" s="1"/>
  <c r="J43" i="6"/>
  <c r="J8" i="6"/>
  <c r="J16" i="6"/>
  <c r="J42" i="6"/>
  <c r="O41" i="5" s="1"/>
  <c r="J12" i="6"/>
  <c r="J10" i="6"/>
  <c r="O4" i="5" s="1"/>
  <c r="J30" i="6"/>
  <c r="J45" i="6"/>
  <c r="O45" i="5" s="1"/>
  <c r="J5" i="6"/>
  <c r="J39" i="6"/>
  <c r="O39" i="5" s="1"/>
  <c r="J17" i="6"/>
  <c r="J31" i="6"/>
  <c r="I15" i="6"/>
  <c r="J15" i="6"/>
  <c r="M47" i="5"/>
  <c r="O12" i="5" l="1"/>
  <c r="O42" i="5"/>
  <c r="O36" i="5"/>
  <c r="O27" i="5"/>
  <c r="N43" i="5"/>
  <c r="O35" i="5"/>
  <c r="N27" i="5"/>
  <c r="N42" i="5"/>
  <c r="O43" i="5"/>
  <c r="N25" i="5"/>
  <c r="O32" i="5"/>
  <c r="N13" i="5"/>
  <c r="N35" i="5"/>
  <c r="O37" i="5"/>
  <c r="O34" i="5"/>
  <c r="O30" i="5"/>
  <c r="N31" i="5"/>
  <c r="N34" i="5"/>
  <c r="N26" i="5"/>
  <c r="O31" i="5"/>
  <c r="N33" i="5"/>
  <c r="O33" i="5"/>
  <c r="O29" i="5"/>
  <c r="O25" i="5"/>
  <c r="N6" i="5"/>
  <c r="N24" i="5"/>
  <c r="N23" i="5"/>
  <c r="N22" i="5"/>
  <c r="N18" i="5"/>
  <c r="O15" i="5"/>
  <c r="N16" i="5"/>
  <c r="O17" i="5"/>
  <c r="N15" i="5"/>
  <c r="O18" i="5"/>
  <c r="O14" i="5"/>
  <c r="O16" i="5"/>
  <c r="N17" i="5"/>
  <c r="N12" i="5"/>
  <c r="O13" i="5"/>
  <c r="O10" i="5"/>
  <c r="N10" i="5"/>
  <c r="N9" i="5"/>
  <c r="O6" i="5"/>
  <c r="O9" i="5"/>
  <c r="O8" i="5"/>
  <c r="N5" i="5"/>
  <c r="N8" i="5"/>
  <c r="N7" i="5"/>
  <c r="N3" i="5"/>
  <c r="O5" i="5"/>
  <c r="N4" i="5"/>
  <c r="N19" i="5"/>
  <c r="O7" i="5"/>
  <c r="O3" i="5"/>
  <c r="N21" i="5"/>
  <c r="N20" i="5"/>
  <c r="N316" i="5"/>
  <c r="N315" i="5"/>
  <c r="N314" i="5"/>
  <c r="N313" i="5"/>
  <c r="N312" i="5"/>
  <c r="N311" i="5"/>
  <c r="N310" i="5"/>
  <c r="N309" i="5"/>
  <c r="N306" i="5"/>
  <c r="N305" i="5"/>
  <c r="N91" i="5"/>
  <c r="N90" i="5"/>
  <c r="N89" i="5"/>
  <c r="N88" i="5"/>
  <c r="N87" i="5"/>
  <c r="N86" i="5"/>
  <c r="N85" i="5"/>
  <c r="N84" i="5"/>
  <c r="N83" i="5"/>
  <c r="N81" i="5"/>
  <c r="N80" i="5"/>
  <c r="N136" i="5"/>
  <c r="N135" i="5"/>
  <c r="N134" i="5"/>
  <c r="N133" i="5"/>
  <c r="N132" i="5"/>
  <c r="N131" i="5"/>
  <c r="N130" i="5"/>
  <c r="N129" i="5"/>
  <c r="N126" i="5"/>
  <c r="N125" i="5"/>
  <c r="N181" i="5"/>
  <c r="N180" i="5"/>
  <c r="N179" i="5"/>
  <c r="N178" i="5"/>
  <c r="N177" i="5"/>
  <c r="N176" i="5"/>
  <c r="N175" i="5"/>
  <c r="N174" i="5"/>
  <c r="N171" i="5"/>
  <c r="N170" i="5"/>
  <c r="N226" i="5"/>
  <c r="N225" i="5"/>
  <c r="N224" i="5"/>
  <c r="N223" i="5"/>
  <c r="N222" i="5"/>
  <c r="N221" i="5"/>
  <c r="N220" i="5"/>
  <c r="N219" i="5"/>
  <c r="N216" i="5"/>
  <c r="N215" i="5"/>
  <c r="N271" i="5"/>
  <c r="N270" i="5"/>
  <c r="N269" i="5"/>
  <c r="N268" i="5"/>
  <c r="N267" i="5"/>
  <c r="N266" i="5"/>
  <c r="N265" i="5"/>
  <c r="N264" i="5"/>
  <c r="N261" i="5"/>
  <c r="N260" i="5"/>
  <c r="N350" i="5"/>
  <c r="N351" i="5"/>
  <c r="N354" i="5"/>
  <c r="N355" i="5"/>
  <c r="N356" i="5"/>
  <c r="N359" i="5"/>
  <c r="N360" i="5"/>
  <c r="N361" i="5"/>
  <c r="N334" i="5" l="1"/>
  <c r="N157" i="5"/>
  <c r="N330" i="5"/>
  <c r="N340" i="5"/>
  <c r="N288" i="5"/>
  <c r="N296" i="5"/>
  <c r="N304" i="5"/>
  <c r="N332" i="5"/>
  <c r="N231" i="5"/>
  <c r="N252" i="5"/>
  <c r="N263" i="5"/>
  <c r="N190" i="5"/>
  <c r="N198" i="5"/>
  <c r="N206" i="5"/>
  <c r="N214" i="5"/>
  <c r="N141" i="5"/>
  <c r="N162" i="5"/>
  <c r="N173" i="5"/>
  <c r="N102" i="5"/>
  <c r="N110" i="5"/>
  <c r="N119" i="5"/>
  <c r="N49" i="5"/>
  <c r="N57" i="5"/>
  <c r="N68" i="5"/>
  <c r="N76" i="5"/>
  <c r="N111" i="5"/>
  <c r="N308" i="5"/>
  <c r="N194" i="5"/>
  <c r="N200" i="5"/>
  <c r="N210" i="5"/>
  <c r="N212" i="5"/>
  <c r="N53" i="5"/>
  <c r="N70" i="5"/>
  <c r="N72" i="5"/>
  <c r="N51" i="5"/>
  <c r="N62" i="5"/>
  <c r="N64" i="5"/>
  <c r="N48" i="5"/>
  <c r="Q267" i="5" s="1"/>
  <c r="N50" i="5"/>
  <c r="N52" i="5"/>
  <c r="N55" i="5"/>
  <c r="N66" i="5"/>
  <c r="N74" i="5"/>
  <c r="N78" i="5"/>
  <c r="N240" i="5"/>
  <c r="N238" i="5"/>
  <c r="N279" i="5"/>
  <c r="N299" i="5"/>
  <c r="N303" i="5"/>
  <c r="N357" i="5"/>
  <c r="N165" i="5"/>
  <c r="N167" i="5"/>
  <c r="N169" i="5"/>
  <c r="N96" i="5"/>
  <c r="N98" i="5"/>
  <c r="N100" i="5"/>
  <c r="N104" i="5"/>
  <c r="N106" i="5"/>
  <c r="N115" i="5"/>
  <c r="N228" i="5"/>
  <c r="N319" i="5"/>
  <c r="N321" i="5"/>
  <c r="N352" i="5"/>
  <c r="N344" i="5"/>
  <c r="N233" i="5"/>
  <c r="N246" i="5"/>
  <c r="N248" i="5"/>
  <c r="N250" i="5"/>
  <c r="N155" i="5"/>
  <c r="N114" i="5"/>
  <c r="N282" i="5"/>
  <c r="N317" i="5"/>
  <c r="N326" i="5"/>
  <c r="N324" i="5"/>
  <c r="N328" i="5"/>
  <c r="N336" i="5"/>
  <c r="N342" i="5"/>
  <c r="N337" i="5"/>
  <c r="N338" i="5"/>
  <c r="N349" i="5"/>
  <c r="N358" i="5"/>
  <c r="N193" i="5"/>
  <c r="N205" i="5"/>
  <c r="N144" i="5"/>
  <c r="N234" i="5"/>
  <c r="N243" i="5"/>
  <c r="N245" i="5"/>
  <c r="N247" i="5"/>
  <c r="N251" i="5"/>
  <c r="N209" i="5"/>
  <c r="N211" i="5"/>
  <c r="N218" i="5"/>
  <c r="N138" i="5"/>
  <c r="N140" i="5"/>
  <c r="N142" i="5"/>
  <c r="N286" i="5"/>
  <c r="N298" i="5"/>
  <c r="N323" i="5"/>
  <c r="N331" i="5"/>
  <c r="N335" i="5"/>
  <c r="N339" i="5"/>
  <c r="N348" i="5"/>
  <c r="N257" i="5"/>
  <c r="N188" i="5"/>
  <c r="N148" i="5"/>
  <c r="N163" i="5"/>
  <c r="N199" i="5"/>
  <c r="N208" i="5"/>
  <c r="N164" i="5"/>
  <c r="N166" i="5"/>
  <c r="N95" i="5"/>
  <c r="N103" i="5"/>
  <c r="N120" i="5"/>
  <c r="N122" i="5"/>
  <c r="N124" i="5"/>
  <c r="N127" i="5"/>
  <c r="N272" i="5"/>
  <c r="N274" i="5"/>
  <c r="N276" i="5"/>
  <c r="N278" i="5"/>
  <c r="N280" i="5"/>
  <c r="N293" i="5"/>
  <c r="N63" i="5"/>
  <c r="N56" i="5"/>
  <c r="N69" i="5"/>
  <c r="N73" i="5"/>
  <c r="N322" i="5"/>
  <c r="N325" i="5"/>
  <c r="N329" i="5"/>
  <c r="N333" i="5"/>
  <c r="N347" i="5"/>
  <c r="N341" i="5"/>
  <c r="N345" i="5"/>
  <c r="N343" i="5"/>
  <c r="N353" i="5"/>
  <c r="N227" i="5"/>
  <c r="N229" i="5"/>
  <c r="N249" i="5"/>
  <c r="N253" i="5"/>
  <c r="N255" i="5"/>
  <c r="N259" i="5"/>
  <c r="N262" i="5"/>
  <c r="N182" i="5"/>
  <c r="N197" i="5"/>
  <c r="N201" i="5"/>
  <c r="N203" i="5"/>
  <c r="N207" i="5"/>
  <c r="N139" i="5"/>
  <c r="N145" i="5"/>
  <c r="N149" i="5"/>
  <c r="N94" i="5"/>
  <c r="N118" i="5"/>
  <c r="N65" i="5"/>
  <c r="N277" i="5"/>
  <c r="N283" i="5"/>
  <c r="N287" i="5"/>
  <c r="N295" i="5"/>
  <c r="N302" i="5"/>
  <c r="N318" i="5"/>
  <c r="N320" i="5"/>
  <c r="N237" i="5"/>
  <c r="N160" i="5"/>
  <c r="N158" i="5"/>
  <c r="N327" i="5"/>
  <c r="N346" i="5"/>
  <c r="N230" i="5"/>
  <c r="N244" i="5"/>
  <c r="N254" i="5"/>
  <c r="N256" i="5"/>
  <c r="N258" i="5"/>
  <c r="N183" i="5"/>
  <c r="N185" i="5"/>
  <c r="N187" i="5"/>
  <c r="N189" i="5"/>
  <c r="N191" i="5"/>
  <c r="N202" i="5"/>
  <c r="N204" i="5"/>
  <c r="N213" i="5"/>
  <c r="N150" i="5"/>
  <c r="N152" i="5"/>
  <c r="N154" i="5"/>
  <c r="N156" i="5"/>
  <c r="N168" i="5"/>
  <c r="N101" i="5"/>
  <c r="N107" i="5"/>
  <c r="N112" i="5"/>
  <c r="N58" i="5"/>
  <c r="N60" i="5"/>
  <c r="N79" i="5"/>
  <c r="N82" i="5"/>
  <c r="N290" i="5"/>
  <c r="N292" i="5"/>
  <c r="N294" i="5"/>
  <c r="N232" i="5"/>
  <c r="N192" i="5"/>
  <c r="N105" i="5"/>
  <c r="N113" i="5"/>
  <c r="N67" i="5"/>
  <c r="N281" i="5"/>
  <c r="N297" i="5"/>
  <c r="N307" i="5"/>
  <c r="N143" i="5"/>
  <c r="N93" i="5"/>
  <c r="N109" i="5"/>
  <c r="N285" i="5"/>
  <c r="N301" i="5"/>
  <c r="N241" i="5"/>
  <c r="N239" i="5"/>
  <c r="N161" i="5"/>
  <c r="N159" i="5"/>
  <c r="N236" i="5"/>
  <c r="N196" i="5"/>
  <c r="N147" i="5"/>
  <c r="N117" i="5"/>
  <c r="N71" i="5"/>
  <c r="N235" i="5"/>
  <c r="N242" i="5"/>
  <c r="N184" i="5"/>
  <c r="N186" i="5"/>
  <c r="N195" i="5"/>
  <c r="N217" i="5"/>
  <c r="N137" i="5"/>
  <c r="N146" i="5"/>
  <c r="N151" i="5"/>
  <c r="N153" i="5"/>
  <c r="N172" i="5"/>
  <c r="N92" i="5"/>
  <c r="N97" i="5"/>
  <c r="N99" i="5"/>
  <c r="N108" i="5"/>
  <c r="N116" i="5"/>
  <c r="N121" i="5"/>
  <c r="N123" i="5"/>
  <c r="N54" i="5"/>
  <c r="N59" i="5"/>
  <c r="N61" i="5"/>
  <c r="N75" i="5"/>
  <c r="N77" i="5"/>
  <c r="N273" i="5"/>
  <c r="N275" i="5"/>
  <c r="N284" i="5"/>
  <c r="Q284" i="5" s="1"/>
  <c r="N289" i="5"/>
  <c r="N291" i="5"/>
  <c r="N300" i="5"/>
  <c r="Q300" i="5" s="1"/>
  <c r="N103" i="7"/>
  <c r="N111" i="7"/>
  <c r="N110" i="7"/>
  <c r="N109" i="7"/>
  <c r="N108" i="7"/>
  <c r="N107" i="7"/>
  <c r="N106" i="7"/>
  <c r="N105" i="7"/>
  <c r="N104" i="7"/>
  <c r="J21" i="6"/>
  <c r="N128" i="5"/>
  <c r="Q128" i="5" s="1"/>
  <c r="Q291" i="5" l="1"/>
  <c r="Q273" i="5"/>
  <c r="Q59" i="5"/>
  <c r="Q116" i="5"/>
  <c r="Q92" i="5"/>
  <c r="Q146" i="5"/>
  <c r="Q186" i="5"/>
  <c r="Q71" i="5"/>
  <c r="Q236" i="5"/>
  <c r="Q241" i="5"/>
  <c r="Q93" i="5"/>
  <c r="Q281" i="5"/>
  <c r="Q192" i="5"/>
  <c r="Q290" i="5"/>
  <c r="Q58" i="5"/>
  <c r="Q168" i="5"/>
  <c r="Q150" i="5"/>
  <c r="Q191" i="5"/>
  <c r="Q183" i="5"/>
  <c r="Q244" i="5"/>
  <c r="Q158" i="5"/>
  <c r="Q318" i="5"/>
  <c r="Q283" i="5"/>
  <c r="Q94" i="5"/>
  <c r="Q207" i="5"/>
  <c r="Q182" i="5"/>
  <c r="Q253" i="5"/>
  <c r="Q353" i="5"/>
  <c r="Q347" i="5"/>
  <c r="Q322" i="5"/>
  <c r="Q63" i="5"/>
  <c r="Q276" i="5"/>
  <c r="Q124" i="5"/>
  <c r="Q95" i="5"/>
  <c r="Q199" i="5"/>
  <c r="Q257" i="5"/>
  <c r="Q331" i="5"/>
  <c r="Q142" i="5"/>
  <c r="Q211" i="5"/>
  <c r="Q245" i="5"/>
  <c r="Q205" i="5"/>
  <c r="Q338" i="5"/>
  <c r="Q328" i="5"/>
  <c r="Q282" i="5"/>
  <c r="Q248" i="5"/>
  <c r="Q352" i="5"/>
  <c r="Q115" i="5"/>
  <c r="Q98" i="5"/>
  <c r="Q165" i="5"/>
  <c r="Q279" i="5"/>
  <c r="Q74" i="5"/>
  <c r="Q50" i="5"/>
  <c r="Q51" i="5"/>
  <c r="Q212" i="5"/>
  <c r="Q308" i="5"/>
  <c r="Q57" i="5"/>
  <c r="Q102" i="5"/>
  <c r="Q214" i="5"/>
  <c r="Q263" i="5"/>
  <c r="Q304" i="5"/>
  <c r="Q330" i="5"/>
  <c r="Q312" i="5"/>
  <c r="Q80" i="5"/>
  <c r="Q176" i="5"/>
  <c r="Q270" i="5"/>
  <c r="Q361" i="5"/>
  <c r="Q88" i="5"/>
  <c r="Q126" i="5"/>
  <c r="Q222" i="5"/>
  <c r="Q350" i="5"/>
  <c r="Q91" i="5"/>
  <c r="Q131" i="5"/>
  <c r="Q225" i="5"/>
  <c r="Q264" i="5"/>
  <c r="Q309" i="5"/>
  <c r="Q134" i="5"/>
  <c r="Q171" i="5"/>
  <c r="Q289" i="5"/>
  <c r="Q77" i="5"/>
  <c r="Q54" i="5"/>
  <c r="Q108" i="5"/>
  <c r="Q172" i="5"/>
  <c r="Q137" i="5"/>
  <c r="Q184" i="5"/>
  <c r="Q117" i="5"/>
  <c r="Q159" i="5"/>
  <c r="Q301" i="5"/>
  <c r="Q143" i="5"/>
  <c r="Q67" i="5"/>
  <c r="Q232" i="5"/>
  <c r="Q82" i="5"/>
  <c r="Q112" i="5"/>
  <c r="Q156" i="5"/>
  <c r="Q213" i="5"/>
  <c r="Q189" i="5"/>
  <c r="Q258" i="5"/>
  <c r="Q230" i="5"/>
  <c r="Q160" i="5"/>
  <c r="Q302" i="5"/>
  <c r="Q277" i="5"/>
  <c r="Q149" i="5"/>
  <c r="Q203" i="5"/>
  <c r="Q262" i="5"/>
  <c r="Q249" i="5"/>
  <c r="Q343" i="5"/>
  <c r="Q333" i="5"/>
  <c r="Q73" i="5"/>
  <c r="Q293" i="5"/>
  <c r="Q274" i="5"/>
  <c r="Q122" i="5"/>
  <c r="Q166" i="5"/>
  <c r="Q163" i="5"/>
  <c r="Q348" i="5"/>
  <c r="Q323" i="5"/>
  <c r="Q140" i="5"/>
  <c r="Q209" i="5"/>
  <c r="Q243" i="5"/>
  <c r="Q193" i="5"/>
  <c r="Q337" i="5"/>
  <c r="Q324" i="5"/>
  <c r="Q114" i="5"/>
  <c r="Q246" i="5"/>
  <c r="Q321" i="5"/>
  <c r="Q106" i="5"/>
  <c r="Q96" i="5"/>
  <c r="Q357" i="5"/>
  <c r="Q238" i="5"/>
  <c r="Q66" i="5"/>
  <c r="Q48" i="5"/>
  <c r="Q9" i="5"/>
  <c r="Q45" i="5"/>
  <c r="Q43" i="5"/>
  <c r="Q41" i="5"/>
  <c r="Q6" i="5"/>
  <c r="Q22" i="5"/>
  <c r="Q38" i="5"/>
  <c r="Q7" i="5"/>
  <c r="Q23" i="5"/>
  <c r="Q16" i="5"/>
  <c r="Q32" i="5"/>
  <c r="Q31" i="5"/>
  <c r="Q37" i="5"/>
  <c r="Q35" i="5"/>
  <c r="Q33" i="5"/>
  <c r="Q10" i="5"/>
  <c r="Q26" i="5"/>
  <c r="Q42" i="5"/>
  <c r="Q11" i="5"/>
  <c r="Q4" i="5"/>
  <c r="Q20" i="5"/>
  <c r="Q36" i="5"/>
  <c r="Q21" i="5"/>
  <c r="Q29" i="5"/>
  <c r="Q27" i="5"/>
  <c r="Q25" i="5"/>
  <c r="Q14" i="5"/>
  <c r="Q30" i="5"/>
  <c r="Q46" i="5"/>
  <c r="Q15" i="5"/>
  <c r="Q8" i="5"/>
  <c r="Q24" i="5"/>
  <c r="Q40" i="5"/>
  <c r="Q47" i="5"/>
  <c r="Q5" i="5"/>
  <c r="Q17" i="5"/>
  <c r="Q13" i="5"/>
  <c r="Q2" i="5"/>
  <c r="Q18" i="5"/>
  <c r="Q34" i="5"/>
  <c r="Q3" i="5"/>
  <c r="Q19" i="5"/>
  <c r="Q12" i="5"/>
  <c r="Q28" i="5"/>
  <c r="Q44" i="5"/>
  <c r="Q39" i="5"/>
  <c r="Q72" i="5"/>
  <c r="Q210" i="5"/>
  <c r="Q111" i="5"/>
  <c r="Q49" i="5"/>
  <c r="Q173" i="5"/>
  <c r="Q206" i="5"/>
  <c r="Q252" i="5"/>
  <c r="Q296" i="5"/>
  <c r="Q157" i="5"/>
  <c r="Q306" i="5"/>
  <c r="Q133" i="5"/>
  <c r="Q170" i="5"/>
  <c r="Q266" i="5"/>
  <c r="Q315" i="5"/>
  <c r="Q84" i="5"/>
  <c r="Q179" i="5"/>
  <c r="Q216" i="5"/>
  <c r="Q356" i="5"/>
  <c r="Q87" i="5"/>
  <c r="Q125" i="5"/>
  <c r="Q221" i="5"/>
  <c r="Q351" i="5"/>
  <c r="Q90" i="5"/>
  <c r="Q130" i="5"/>
  <c r="Q224" i="5"/>
  <c r="Q261" i="5"/>
  <c r="Q75" i="5"/>
  <c r="Q123" i="5"/>
  <c r="Q99" i="5"/>
  <c r="Q153" i="5"/>
  <c r="Q217" i="5"/>
  <c r="Q242" i="5"/>
  <c r="Q147" i="5"/>
  <c r="Q161" i="5"/>
  <c r="Q285" i="5"/>
  <c r="Q307" i="5"/>
  <c r="Q113" i="5"/>
  <c r="Q294" i="5"/>
  <c r="Q79" i="5"/>
  <c r="Q107" i="5"/>
  <c r="Q154" i="5"/>
  <c r="Q204" i="5"/>
  <c r="Q187" i="5"/>
  <c r="Q256" i="5"/>
  <c r="Q346" i="5"/>
  <c r="Q237" i="5"/>
  <c r="Q295" i="5"/>
  <c r="Q65" i="5"/>
  <c r="Q145" i="5"/>
  <c r="Q201" i="5"/>
  <c r="Q259" i="5"/>
  <c r="Q229" i="5"/>
  <c r="Q345" i="5"/>
  <c r="Q329" i="5"/>
  <c r="Q69" i="5"/>
  <c r="Q280" i="5"/>
  <c r="Q272" i="5"/>
  <c r="Q120" i="5"/>
  <c r="Q164" i="5"/>
  <c r="Q148" i="5"/>
  <c r="Q339" i="5"/>
  <c r="Q298" i="5"/>
  <c r="Q138" i="5"/>
  <c r="Q251" i="5"/>
  <c r="Q234" i="5"/>
  <c r="Q358" i="5"/>
  <c r="Q342" i="5"/>
  <c r="Q326" i="5"/>
  <c r="Q155" i="5"/>
  <c r="Q233" i="5"/>
  <c r="Q319" i="5"/>
  <c r="Q104" i="5"/>
  <c r="Q169" i="5"/>
  <c r="Q303" i="5"/>
  <c r="Q240" i="5"/>
  <c r="Q55" i="5"/>
  <c r="Q64" i="5"/>
  <c r="Q70" i="5"/>
  <c r="Q200" i="5"/>
  <c r="Q76" i="5"/>
  <c r="Q119" i="5"/>
  <c r="Q162" i="5"/>
  <c r="Q198" i="5"/>
  <c r="Q231" i="5"/>
  <c r="Q288" i="5"/>
  <c r="Q334" i="5"/>
  <c r="Q89" i="5"/>
  <c r="Q129" i="5"/>
  <c r="Q223" i="5"/>
  <c r="Q260" i="5"/>
  <c r="Q311" i="5"/>
  <c r="Q136" i="5"/>
  <c r="Q175" i="5"/>
  <c r="Q269" i="5"/>
  <c r="Q314" i="5"/>
  <c r="Q83" i="5"/>
  <c r="Q178" i="5"/>
  <c r="Q215" i="5"/>
  <c r="Q359" i="5"/>
  <c r="Q86" i="5"/>
  <c r="Q181" i="5"/>
  <c r="Q220" i="5"/>
  <c r="Q354" i="5"/>
  <c r="Q275" i="5"/>
  <c r="Q61" i="5"/>
  <c r="Q121" i="5"/>
  <c r="Q97" i="5"/>
  <c r="Q151" i="5"/>
  <c r="Q195" i="5"/>
  <c r="Q235" i="5"/>
  <c r="Q196" i="5"/>
  <c r="Q239" i="5"/>
  <c r="Q109" i="5"/>
  <c r="Q297" i="5"/>
  <c r="Q105" i="5"/>
  <c r="Q292" i="5"/>
  <c r="Q60" i="5"/>
  <c r="Q101" i="5"/>
  <c r="Q152" i="5"/>
  <c r="Q202" i="5"/>
  <c r="Q185" i="5"/>
  <c r="Q254" i="5"/>
  <c r="Q327" i="5"/>
  <c r="Q320" i="5"/>
  <c r="Q287" i="5"/>
  <c r="Q118" i="5"/>
  <c r="Q139" i="5"/>
  <c r="Q197" i="5"/>
  <c r="Q255" i="5"/>
  <c r="Q227" i="5"/>
  <c r="Q341" i="5"/>
  <c r="Q325" i="5"/>
  <c r="Q56" i="5"/>
  <c r="Q278" i="5"/>
  <c r="Q127" i="5"/>
  <c r="Q103" i="5"/>
  <c r="Q208" i="5"/>
  <c r="Q188" i="5"/>
  <c r="Q335" i="5"/>
  <c r="Q286" i="5"/>
  <c r="Q218" i="5"/>
  <c r="Q247" i="5"/>
  <c r="Q144" i="5"/>
  <c r="Q349" i="5"/>
  <c r="Q336" i="5"/>
  <c r="Q317" i="5"/>
  <c r="Q250" i="5"/>
  <c r="Q344" i="5"/>
  <c r="Q228" i="5"/>
  <c r="Q100" i="5"/>
  <c r="Q167" i="5"/>
  <c r="Q299" i="5"/>
  <c r="Q78" i="5"/>
  <c r="Q52" i="5"/>
  <c r="Q62" i="5"/>
  <c r="Q53" i="5"/>
  <c r="Q194" i="5"/>
  <c r="Q68" i="5"/>
  <c r="Q110" i="5"/>
  <c r="Q141" i="5"/>
  <c r="Q190" i="5"/>
  <c r="Q332" i="5"/>
  <c r="Q340" i="5"/>
  <c r="Q316" i="5"/>
  <c r="Q85" i="5"/>
  <c r="Q180" i="5"/>
  <c r="Q219" i="5"/>
  <c r="Q355" i="5"/>
  <c r="Q305" i="5"/>
  <c r="Q132" i="5"/>
  <c r="Q226" i="5"/>
  <c r="Q265" i="5"/>
  <c r="Q310" i="5"/>
  <c r="Q135" i="5"/>
  <c r="Q174" i="5"/>
  <c r="Q268" i="5"/>
  <c r="Q313" i="5"/>
  <c r="Q81" i="5"/>
  <c r="Q177" i="5"/>
  <c r="Q271" i="5"/>
  <c r="Q360" i="5"/>
  <c r="O23" i="5"/>
  <c r="O24" i="5"/>
  <c r="O21" i="5"/>
  <c r="O22" i="5"/>
  <c r="O19" i="5"/>
  <c r="O20" i="5"/>
  <c r="P3" i="5"/>
  <c r="P7" i="5"/>
  <c r="P11" i="5"/>
  <c r="P15" i="5"/>
  <c r="P19" i="5"/>
  <c r="P23" i="5"/>
  <c r="P27" i="5"/>
  <c r="P31" i="5"/>
  <c r="P35" i="5"/>
  <c r="P39" i="5"/>
  <c r="P43" i="5"/>
  <c r="P2" i="5"/>
  <c r="P14" i="5"/>
  <c r="P26" i="5"/>
  <c r="P38" i="5"/>
  <c r="P4" i="5"/>
  <c r="P8" i="5"/>
  <c r="P12" i="5"/>
  <c r="P16" i="5"/>
  <c r="P20" i="5"/>
  <c r="P24" i="5"/>
  <c r="P28" i="5"/>
  <c r="P32" i="5"/>
  <c r="P36" i="5"/>
  <c r="P40" i="5"/>
  <c r="P44" i="5"/>
  <c r="P10" i="5"/>
  <c r="P22" i="5"/>
  <c r="P34" i="5"/>
  <c r="P46" i="5"/>
  <c r="P5" i="5"/>
  <c r="P9" i="5"/>
  <c r="P13" i="5"/>
  <c r="P17" i="5"/>
  <c r="P21" i="5"/>
  <c r="P25" i="5"/>
  <c r="P29" i="5"/>
  <c r="P33" i="5"/>
  <c r="P37" i="5"/>
  <c r="P41" i="5"/>
  <c r="P45" i="5"/>
  <c r="P6" i="5"/>
  <c r="P18" i="5"/>
  <c r="P30" i="5"/>
  <c r="P42" i="5"/>
  <c r="P285" i="5"/>
  <c r="H15" i="7" s="1"/>
  <c r="P289" i="5"/>
  <c r="H19" i="7" s="1"/>
  <c r="P293" i="5"/>
  <c r="H23" i="7" s="1"/>
  <c r="P297" i="5"/>
  <c r="H27" i="7" s="1"/>
  <c r="P301" i="5"/>
  <c r="H31" i="7" s="1"/>
  <c r="P305" i="5"/>
  <c r="H35" i="7" s="1"/>
  <c r="P309" i="5"/>
  <c r="H39" i="7" s="1"/>
  <c r="P313" i="5"/>
  <c r="H43" i="7" s="1"/>
  <c r="P317" i="5"/>
  <c r="I2" i="7" s="1"/>
  <c r="P321" i="5"/>
  <c r="I6" i="7" s="1"/>
  <c r="P325" i="5"/>
  <c r="I10" i="7" s="1"/>
  <c r="P329" i="5"/>
  <c r="I14" i="7" s="1"/>
  <c r="P333" i="5"/>
  <c r="I18" i="7" s="1"/>
  <c r="P337" i="5"/>
  <c r="I22" i="7" s="1"/>
  <c r="P341" i="5"/>
  <c r="I26" i="7" s="1"/>
  <c r="P345" i="5"/>
  <c r="I30" i="7" s="1"/>
  <c r="P349" i="5"/>
  <c r="I34" i="7" s="1"/>
  <c r="P353" i="5"/>
  <c r="I38" i="7" s="1"/>
  <c r="P357" i="5"/>
  <c r="I42" i="7" s="1"/>
  <c r="P361" i="5"/>
  <c r="I46" i="7" s="1"/>
  <c r="P263" i="5"/>
  <c r="G38" i="7" s="1"/>
  <c r="P267" i="5"/>
  <c r="G42" i="7" s="1"/>
  <c r="P271" i="5"/>
  <c r="G46" i="7" s="1"/>
  <c r="P275" i="5"/>
  <c r="H5" i="7" s="1"/>
  <c r="P279" i="5"/>
  <c r="H9" i="7" s="1"/>
  <c r="P283" i="5"/>
  <c r="H13" i="7" s="1"/>
  <c r="P287" i="5"/>
  <c r="H17" i="7" s="1"/>
  <c r="P291" i="5"/>
  <c r="H21" i="7" s="1"/>
  <c r="P295" i="5"/>
  <c r="H25" i="7" s="1"/>
  <c r="P299" i="5"/>
  <c r="H29" i="7" s="1"/>
  <c r="P303" i="5"/>
  <c r="H33" i="7" s="1"/>
  <c r="P307" i="5"/>
  <c r="H37" i="7" s="1"/>
  <c r="P311" i="5"/>
  <c r="H41" i="7" s="1"/>
  <c r="P315" i="5"/>
  <c r="H45" i="7" s="1"/>
  <c r="P319" i="5"/>
  <c r="I4" i="7" s="1"/>
  <c r="P323" i="5"/>
  <c r="I8" i="7" s="1"/>
  <c r="P327" i="5"/>
  <c r="I12" i="7" s="1"/>
  <c r="P331" i="5"/>
  <c r="I16" i="7" s="1"/>
  <c r="P335" i="5"/>
  <c r="I20" i="7" s="1"/>
  <c r="P339" i="5"/>
  <c r="I24" i="7" s="1"/>
  <c r="P343" i="5"/>
  <c r="I28" i="7" s="1"/>
  <c r="P347" i="5"/>
  <c r="I32" i="7" s="1"/>
  <c r="P351" i="5"/>
  <c r="I36" i="7" s="1"/>
  <c r="P48" i="5"/>
  <c r="C3" i="7" s="1"/>
  <c r="P52" i="5"/>
  <c r="C7" i="7" s="1"/>
  <c r="P56" i="5"/>
  <c r="C11" i="7" s="1"/>
  <c r="P60" i="5"/>
  <c r="C15" i="7" s="1"/>
  <c r="P64" i="5"/>
  <c r="C19" i="7" s="1"/>
  <c r="P68" i="5"/>
  <c r="C23" i="7" s="1"/>
  <c r="P72" i="5"/>
  <c r="C27" i="7" s="1"/>
  <c r="P76" i="5"/>
  <c r="C31" i="7" s="1"/>
  <c r="P80" i="5"/>
  <c r="C35" i="7" s="1"/>
  <c r="P84" i="5"/>
  <c r="C39" i="7" s="1"/>
  <c r="P88" i="5"/>
  <c r="C43" i="7" s="1"/>
  <c r="P92" i="5"/>
  <c r="D2" i="7" s="1"/>
  <c r="P96" i="5"/>
  <c r="D6" i="7" s="1"/>
  <c r="P100" i="5"/>
  <c r="D10" i="7" s="1"/>
  <c r="P104" i="5"/>
  <c r="D14" i="7" s="1"/>
  <c r="P108" i="5"/>
  <c r="D18" i="7" s="1"/>
  <c r="P112" i="5"/>
  <c r="D22" i="7" s="1"/>
  <c r="P116" i="5"/>
  <c r="D26" i="7" s="1"/>
  <c r="P120" i="5"/>
  <c r="D30" i="7" s="1"/>
  <c r="P124" i="5"/>
  <c r="D34" i="7" s="1"/>
  <c r="P128" i="5"/>
  <c r="D38" i="7" s="1"/>
  <c r="P132" i="5"/>
  <c r="D42" i="7" s="1"/>
  <c r="P136" i="5"/>
  <c r="D46" i="7" s="1"/>
  <c r="P140" i="5"/>
  <c r="E5" i="7" s="1"/>
  <c r="P144" i="5"/>
  <c r="E9" i="7" s="1"/>
  <c r="P148" i="5"/>
  <c r="E13" i="7" s="1"/>
  <c r="P152" i="5"/>
  <c r="E17" i="7" s="1"/>
  <c r="P168" i="5"/>
  <c r="E33" i="7" s="1"/>
  <c r="P184" i="5"/>
  <c r="F4" i="7" s="1"/>
  <c r="P200" i="5"/>
  <c r="F20" i="7" s="1"/>
  <c r="P216" i="5"/>
  <c r="F36" i="7" s="1"/>
  <c r="P232" i="5"/>
  <c r="G7" i="7" s="1"/>
  <c r="P248" i="5"/>
  <c r="G23" i="7" s="1"/>
  <c r="P264" i="5"/>
  <c r="G39" i="7" s="1"/>
  <c r="P272" i="5"/>
  <c r="H2" i="7" s="1"/>
  <c r="P280" i="5"/>
  <c r="H10" i="7" s="1"/>
  <c r="P288" i="5"/>
  <c r="H18" i="7" s="1"/>
  <c r="P296" i="5"/>
  <c r="H26" i="7" s="1"/>
  <c r="P304" i="5"/>
  <c r="H34" i="7" s="1"/>
  <c r="P312" i="5"/>
  <c r="H42" i="7" s="1"/>
  <c r="P320" i="5"/>
  <c r="I5" i="7" s="1"/>
  <c r="P328" i="5"/>
  <c r="I13" i="7" s="1"/>
  <c r="P336" i="5"/>
  <c r="I21" i="7" s="1"/>
  <c r="P344" i="5"/>
  <c r="I29" i="7" s="1"/>
  <c r="P352" i="5"/>
  <c r="I37" i="7" s="1"/>
  <c r="P358" i="5"/>
  <c r="I43" i="7" s="1"/>
  <c r="P160" i="5"/>
  <c r="E25" i="7" s="1"/>
  <c r="P176" i="5"/>
  <c r="E41" i="7" s="1"/>
  <c r="P192" i="5"/>
  <c r="F12" i="7" s="1"/>
  <c r="P208" i="5"/>
  <c r="F28" i="7" s="1"/>
  <c r="P224" i="5"/>
  <c r="F44" i="7" s="1"/>
  <c r="P240" i="5"/>
  <c r="G15" i="7" s="1"/>
  <c r="P256" i="5"/>
  <c r="G31" i="7" s="1"/>
  <c r="P268" i="5"/>
  <c r="G43" i="7" s="1"/>
  <c r="P276" i="5"/>
  <c r="H6" i="7" s="1"/>
  <c r="P284" i="5"/>
  <c r="H14" i="7" s="1"/>
  <c r="P292" i="5"/>
  <c r="H22" i="7" s="1"/>
  <c r="P300" i="5"/>
  <c r="H30" i="7" s="1"/>
  <c r="P308" i="5"/>
  <c r="H38" i="7" s="1"/>
  <c r="P316" i="5"/>
  <c r="H46" i="7" s="1"/>
  <c r="P324" i="5"/>
  <c r="I9" i="7" s="1"/>
  <c r="P332" i="5"/>
  <c r="I17" i="7" s="1"/>
  <c r="P340" i="5"/>
  <c r="I25" i="7" s="1"/>
  <c r="P348" i="5"/>
  <c r="I33" i="7" s="1"/>
  <c r="P355" i="5"/>
  <c r="I40" i="7" s="1"/>
  <c r="P360" i="5"/>
  <c r="I45" i="7" s="1"/>
  <c r="P164" i="5"/>
  <c r="E29" i="7" s="1"/>
  <c r="P180" i="5"/>
  <c r="E45" i="7" s="1"/>
  <c r="P196" i="5"/>
  <c r="F16" i="7" s="1"/>
  <c r="P212" i="5"/>
  <c r="F32" i="7" s="1"/>
  <c r="P228" i="5"/>
  <c r="G3" i="7" s="1"/>
  <c r="P244" i="5"/>
  <c r="G19" i="7" s="1"/>
  <c r="P260" i="5"/>
  <c r="G35" i="7" s="1"/>
  <c r="P270" i="5"/>
  <c r="G45" i="7" s="1"/>
  <c r="P278" i="5"/>
  <c r="H8" i="7" s="1"/>
  <c r="P286" i="5"/>
  <c r="H16" i="7" s="1"/>
  <c r="P294" i="5"/>
  <c r="H24" i="7" s="1"/>
  <c r="P302" i="5"/>
  <c r="H32" i="7" s="1"/>
  <c r="P310" i="5"/>
  <c r="H40" i="7" s="1"/>
  <c r="P318" i="5"/>
  <c r="I3" i="7" s="1"/>
  <c r="P326" i="5"/>
  <c r="I11" i="7" s="1"/>
  <c r="P334" i="5"/>
  <c r="I19" i="7" s="1"/>
  <c r="P342" i="5"/>
  <c r="I27" i="7" s="1"/>
  <c r="P350" i="5"/>
  <c r="I35" i="7" s="1"/>
  <c r="P356" i="5"/>
  <c r="I41" i="7" s="1"/>
  <c r="P156" i="5"/>
  <c r="E21" i="7" s="1"/>
  <c r="P220" i="5"/>
  <c r="F40" i="7" s="1"/>
  <c r="P274" i="5"/>
  <c r="H4" i="7" s="1"/>
  <c r="P306" i="5"/>
  <c r="H36" i="7" s="1"/>
  <c r="P338" i="5"/>
  <c r="I23" i="7" s="1"/>
  <c r="P172" i="5"/>
  <c r="E37" i="7" s="1"/>
  <c r="P236" i="5"/>
  <c r="G11" i="7" s="1"/>
  <c r="P282" i="5"/>
  <c r="H12" i="7" s="1"/>
  <c r="P314" i="5"/>
  <c r="H44" i="7" s="1"/>
  <c r="P346" i="5"/>
  <c r="I31" i="7" s="1"/>
  <c r="P188" i="5"/>
  <c r="F8" i="7" s="1"/>
  <c r="P252" i="5"/>
  <c r="G27" i="7" s="1"/>
  <c r="P290" i="5"/>
  <c r="H20" i="7" s="1"/>
  <c r="P322" i="5"/>
  <c r="I7" i="7" s="1"/>
  <c r="P354" i="5"/>
  <c r="I39" i="7" s="1"/>
  <c r="P204" i="5"/>
  <c r="F24" i="7" s="1"/>
  <c r="P266" i="5"/>
  <c r="G41" i="7" s="1"/>
  <c r="P298" i="5"/>
  <c r="H28" i="7" s="1"/>
  <c r="P330" i="5"/>
  <c r="I15" i="7" s="1"/>
  <c r="P359" i="5"/>
  <c r="I44" i="7" s="1"/>
  <c r="P49" i="5"/>
  <c r="C4" i="7" s="1"/>
  <c r="P109" i="5"/>
  <c r="D19" i="7" s="1"/>
  <c r="P113" i="5"/>
  <c r="D23" i="7" s="1"/>
  <c r="P94" i="5"/>
  <c r="D4" i="7" s="1"/>
  <c r="P122" i="5"/>
  <c r="D32" i="7" s="1"/>
  <c r="P119" i="5"/>
  <c r="D29" i="7" s="1"/>
  <c r="P102" i="5"/>
  <c r="D12" i="7" s="1"/>
  <c r="P259" i="5"/>
  <c r="G34" i="7" s="1"/>
  <c r="P255" i="5"/>
  <c r="G30" i="7" s="1"/>
  <c r="P251" i="5"/>
  <c r="G26" i="7" s="1"/>
  <c r="P247" i="5"/>
  <c r="G22" i="7" s="1"/>
  <c r="P243" i="5"/>
  <c r="G18" i="7" s="1"/>
  <c r="P239" i="5"/>
  <c r="G14" i="7" s="1"/>
  <c r="P235" i="5"/>
  <c r="G10" i="7" s="1"/>
  <c r="P231" i="5"/>
  <c r="G6" i="7" s="1"/>
  <c r="P227" i="5"/>
  <c r="G2" i="7" s="1"/>
  <c r="P223" i="5"/>
  <c r="F43" i="7" s="1"/>
  <c r="P219" i="5"/>
  <c r="F39" i="7" s="1"/>
  <c r="P215" i="5"/>
  <c r="F35" i="7" s="1"/>
  <c r="P211" i="5"/>
  <c r="F31" i="7" s="1"/>
  <c r="P207" i="5"/>
  <c r="F27" i="7" s="1"/>
  <c r="P203" i="5"/>
  <c r="F23" i="7" s="1"/>
  <c r="P199" i="5"/>
  <c r="F19" i="7" s="1"/>
  <c r="P195" i="5"/>
  <c r="F15" i="7" s="1"/>
  <c r="P191" i="5"/>
  <c r="F11" i="7" s="1"/>
  <c r="P187" i="5"/>
  <c r="F7" i="7" s="1"/>
  <c r="P183" i="5"/>
  <c r="F3" i="7" s="1"/>
  <c r="P179" i="5"/>
  <c r="E44" i="7" s="1"/>
  <c r="P175" i="5"/>
  <c r="E40" i="7" s="1"/>
  <c r="P171" i="5"/>
  <c r="E36" i="7" s="1"/>
  <c r="P167" i="5"/>
  <c r="E32" i="7" s="1"/>
  <c r="P163" i="5"/>
  <c r="E28" i="7" s="1"/>
  <c r="P159" i="5"/>
  <c r="E24" i="7" s="1"/>
  <c r="P155" i="5"/>
  <c r="E20" i="7" s="1"/>
  <c r="P151" i="5"/>
  <c r="E16" i="7" s="1"/>
  <c r="P147" i="5"/>
  <c r="E12" i="7" s="1"/>
  <c r="P143" i="5"/>
  <c r="E8" i="7" s="1"/>
  <c r="P139" i="5"/>
  <c r="E4" i="7" s="1"/>
  <c r="P135" i="5"/>
  <c r="D45" i="7" s="1"/>
  <c r="P131" i="5"/>
  <c r="D41" i="7" s="1"/>
  <c r="P127" i="5"/>
  <c r="D37" i="7" s="1"/>
  <c r="P123" i="5"/>
  <c r="D33" i="7" s="1"/>
  <c r="P115" i="5"/>
  <c r="D25" i="7" s="1"/>
  <c r="P111" i="5"/>
  <c r="D21" i="7" s="1"/>
  <c r="P107" i="5"/>
  <c r="D17" i="7" s="1"/>
  <c r="P103" i="5"/>
  <c r="D13" i="7" s="1"/>
  <c r="P99" i="5"/>
  <c r="D9" i="7" s="1"/>
  <c r="P95" i="5"/>
  <c r="D5" i="7" s="1"/>
  <c r="P91" i="5"/>
  <c r="C46" i="7" s="1"/>
  <c r="P87" i="5"/>
  <c r="C42" i="7" s="1"/>
  <c r="P83" i="5"/>
  <c r="C38" i="7" s="1"/>
  <c r="P79" i="5"/>
  <c r="C34" i="7" s="1"/>
  <c r="P75" i="5"/>
  <c r="C30" i="7" s="1"/>
  <c r="P71" i="5"/>
  <c r="C26" i="7" s="1"/>
  <c r="P67" i="5"/>
  <c r="C22" i="7" s="1"/>
  <c r="P63" i="5"/>
  <c r="C18" i="7" s="1"/>
  <c r="P59" i="5"/>
  <c r="C14" i="7" s="1"/>
  <c r="P55" i="5"/>
  <c r="C10" i="7" s="1"/>
  <c r="P51" i="5"/>
  <c r="C6" i="7" s="1"/>
  <c r="P47" i="5"/>
  <c r="P262" i="5"/>
  <c r="G37" i="7" s="1"/>
  <c r="P258" i="5"/>
  <c r="G33" i="7" s="1"/>
  <c r="P254" i="5"/>
  <c r="G29" i="7" s="1"/>
  <c r="P250" i="5"/>
  <c r="G25" i="7" s="1"/>
  <c r="P246" i="5"/>
  <c r="G21" i="7" s="1"/>
  <c r="P242" i="5"/>
  <c r="G17" i="7" s="1"/>
  <c r="P238" i="5"/>
  <c r="G13" i="7" s="1"/>
  <c r="P234" i="5"/>
  <c r="G9" i="7" s="1"/>
  <c r="P230" i="5"/>
  <c r="G5" i="7" s="1"/>
  <c r="P226" i="5"/>
  <c r="F46" i="7" s="1"/>
  <c r="P222" i="5"/>
  <c r="F42" i="7" s="1"/>
  <c r="P218" i="5"/>
  <c r="F38" i="7" s="1"/>
  <c r="P214" i="5"/>
  <c r="F34" i="7" s="1"/>
  <c r="P210" i="5"/>
  <c r="F30" i="7" s="1"/>
  <c r="P206" i="5"/>
  <c r="F26" i="7" s="1"/>
  <c r="P202" i="5"/>
  <c r="F22" i="7" s="1"/>
  <c r="P198" i="5"/>
  <c r="F18" i="7" s="1"/>
  <c r="P194" i="5"/>
  <c r="F14" i="7" s="1"/>
  <c r="P190" i="5"/>
  <c r="F10" i="7" s="1"/>
  <c r="P186" i="5"/>
  <c r="F6" i="7" s="1"/>
  <c r="P182" i="5"/>
  <c r="F2" i="7" s="1"/>
  <c r="P178" i="5"/>
  <c r="E43" i="7" s="1"/>
  <c r="P174" i="5"/>
  <c r="E39" i="7" s="1"/>
  <c r="P170" i="5"/>
  <c r="E35" i="7" s="1"/>
  <c r="P166" i="5"/>
  <c r="E31" i="7" s="1"/>
  <c r="P162" i="5"/>
  <c r="E27" i="7" s="1"/>
  <c r="P158" i="5"/>
  <c r="E23" i="7" s="1"/>
  <c r="P154" i="5"/>
  <c r="E19" i="7" s="1"/>
  <c r="P150" i="5"/>
  <c r="E15" i="7" s="1"/>
  <c r="P146" i="5"/>
  <c r="E11" i="7" s="1"/>
  <c r="P142" i="5"/>
  <c r="E7" i="7" s="1"/>
  <c r="P138" i="5"/>
  <c r="E3" i="7" s="1"/>
  <c r="P134" i="5"/>
  <c r="D44" i="7" s="1"/>
  <c r="P130" i="5"/>
  <c r="D40" i="7" s="1"/>
  <c r="P126" i="5"/>
  <c r="D36" i="7" s="1"/>
  <c r="P118" i="5"/>
  <c r="D28" i="7" s="1"/>
  <c r="P114" i="5"/>
  <c r="D24" i="7" s="1"/>
  <c r="P110" i="5"/>
  <c r="D20" i="7" s="1"/>
  <c r="P106" i="5"/>
  <c r="D16" i="7" s="1"/>
  <c r="P98" i="5"/>
  <c r="D8" i="7" s="1"/>
  <c r="P90" i="5"/>
  <c r="C45" i="7" s="1"/>
  <c r="P86" i="5"/>
  <c r="C41" i="7" s="1"/>
  <c r="P82" i="5"/>
  <c r="C37" i="7" s="1"/>
  <c r="P78" i="5"/>
  <c r="C33" i="7" s="1"/>
  <c r="P74" i="5"/>
  <c r="C29" i="7" s="1"/>
  <c r="P70" i="5"/>
  <c r="C25" i="7" s="1"/>
  <c r="P66" i="5"/>
  <c r="C21" i="7" s="1"/>
  <c r="P62" i="5"/>
  <c r="C17" i="7" s="1"/>
  <c r="P58" i="5"/>
  <c r="C13" i="7" s="1"/>
  <c r="P54" i="5"/>
  <c r="C9" i="7" s="1"/>
  <c r="P50" i="5"/>
  <c r="C5" i="7" s="1"/>
  <c r="P281" i="5"/>
  <c r="H11" i="7" s="1"/>
  <c r="P277" i="5"/>
  <c r="H7" i="7" s="1"/>
  <c r="P273" i="5"/>
  <c r="H3" i="7" s="1"/>
  <c r="P269" i="5"/>
  <c r="G44" i="7" s="1"/>
  <c r="P265" i="5"/>
  <c r="G40" i="7" s="1"/>
  <c r="P261" i="5"/>
  <c r="G36" i="7" s="1"/>
  <c r="P257" i="5"/>
  <c r="G32" i="7" s="1"/>
  <c r="P253" i="5"/>
  <c r="G28" i="7" s="1"/>
  <c r="P249" i="5"/>
  <c r="G24" i="7" s="1"/>
  <c r="P245" i="5"/>
  <c r="G20" i="7" s="1"/>
  <c r="P241" i="5"/>
  <c r="G16" i="7" s="1"/>
  <c r="P237" i="5"/>
  <c r="G12" i="7" s="1"/>
  <c r="P233" i="5"/>
  <c r="G8" i="7" s="1"/>
  <c r="P229" i="5"/>
  <c r="G4" i="7" s="1"/>
  <c r="P225" i="5"/>
  <c r="F45" i="7" s="1"/>
  <c r="P221" i="5"/>
  <c r="F41" i="7" s="1"/>
  <c r="P217" i="5"/>
  <c r="F37" i="7" s="1"/>
  <c r="P213" i="5"/>
  <c r="F33" i="7" s="1"/>
  <c r="P209" i="5"/>
  <c r="F29" i="7" s="1"/>
  <c r="P205" i="5"/>
  <c r="F25" i="7" s="1"/>
  <c r="P201" i="5"/>
  <c r="F21" i="7" s="1"/>
  <c r="P197" i="5"/>
  <c r="F17" i="7" s="1"/>
  <c r="P193" i="5"/>
  <c r="F13" i="7" s="1"/>
  <c r="P189" i="5"/>
  <c r="F9" i="7" s="1"/>
  <c r="P185" i="5"/>
  <c r="F5" i="7" s="1"/>
  <c r="P181" i="5"/>
  <c r="E46" i="7" s="1"/>
  <c r="P177" i="5"/>
  <c r="E42" i="7" s="1"/>
  <c r="P173" i="5"/>
  <c r="E38" i="7" s="1"/>
  <c r="P169" i="5"/>
  <c r="E34" i="7" s="1"/>
  <c r="P165" i="5"/>
  <c r="E30" i="7" s="1"/>
  <c r="P161" i="5"/>
  <c r="E26" i="7" s="1"/>
  <c r="P157" i="5"/>
  <c r="E22" i="7" s="1"/>
  <c r="P153" i="5"/>
  <c r="E18" i="7" s="1"/>
  <c r="P149" i="5"/>
  <c r="E14" i="7" s="1"/>
  <c r="P145" i="5"/>
  <c r="E10" i="7" s="1"/>
  <c r="P141" i="5"/>
  <c r="E6" i="7" s="1"/>
  <c r="P137" i="5"/>
  <c r="E2" i="7" s="1"/>
  <c r="P133" i="5"/>
  <c r="D43" i="7" s="1"/>
  <c r="P129" i="5"/>
  <c r="D39" i="7" s="1"/>
  <c r="P125" i="5"/>
  <c r="D35" i="7" s="1"/>
  <c r="P121" i="5"/>
  <c r="D31" i="7" s="1"/>
  <c r="P117" i="5"/>
  <c r="D27" i="7" s="1"/>
  <c r="P105" i="5"/>
  <c r="D15" i="7" s="1"/>
  <c r="P101" i="5"/>
  <c r="D11" i="7" s="1"/>
  <c r="P97" i="5"/>
  <c r="D7" i="7" s="1"/>
  <c r="P93" i="5"/>
  <c r="D3" i="7" s="1"/>
  <c r="P89" i="5"/>
  <c r="C44" i="7" s="1"/>
  <c r="P85" i="5"/>
  <c r="C40" i="7" s="1"/>
  <c r="P81" i="5"/>
  <c r="C36" i="7" s="1"/>
  <c r="P77" i="5"/>
  <c r="C32" i="7" s="1"/>
  <c r="P73" i="5"/>
  <c r="C28" i="7" s="1"/>
  <c r="P69" i="5"/>
  <c r="C24" i="7" s="1"/>
  <c r="P65" i="5"/>
  <c r="C20" i="7" s="1"/>
  <c r="P61" i="5"/>
  <c r="C16" i="7" s="1"/>
  <c r="P57" i="5"/>
  <c r="C12" i="7" s="1"/>
  <c r="P53" i="5"/>
  <c r="C8" i="7" s="1"/>
  <c r="P362" i="5" l="1"/>
  <c r="Q362" i="5"/>
  <c r="C2" i="7"/>
</calcChain>
</file>

<file path=xl/sharedStrings.xml><?xml version="1.0" encoding="utf-8"?>
<sst xmlns="http://schemas.openxmlformats.org/spreadsheetml/2006/main" count="2276" uniqueCount="207">
  <si>
    <t>Gjuttemperatur</t>
  </si>
  <si>
    <t>Temperatur motgjutningsyta</t>
  </si>
  <si>
    <t>Väderskydd, uppvärmning (ingen vind)</t>
  </si>
  <si>
    <t>Täckning [mm]</t>
  </si>
  <si>
    <t>Temperatur</t>
  </si>
  <si>
    <t>Vind</t>
  </si>
  <si>
    <t>Kommentar</t>
  </si>
  <si>
    <t>Åtgärdskåd</t>
  </si>
  <si>
    <t>C20/25</t>
  </si>
  <si>
    <t>-</t>
  </si>
  <si>
    <t>Presenning</t>
  </si>
  <si>
    <t>Frys innan täck</t>
  </si>
  <si>
    <t>C35/45</t>
  </si>
  <si>
    <t>C40/50</t>
  </si>
  <si>
    <t>C25/30</t>
  </si>
  <si>
    <t>Når ej 70%</t>
  </si>
  <si>
    <t>Column1</t>
  </si>
  <si>
    <t>Åtgärdssvårighet</t>
  </si>
  <si>
    <t>Nummer</t>
  </si>
  <si>
    <t>Paket</t>
  </si>
  <si>
    <t>Gjuttemperatur (varmbetong)</t>
  </si>
  <si>
    <t>Ok under 21 D</t>
  </si>
  <si>
    <t>Jobbighetsnivå</t>
  </si>
  <si>
    <t>Temperatur [°C]</t>
  </si>
  <si>
    <t>Vind [m/s]</t>
  </si>
  <si>
    <t>Väderskydd med uppvärmning</t>
  </si>
  <si>
    <t>OK&lt;14D</t>
  </si>
  <si>
    <t>OK&lt;21D</t>
  </si>
  <si>
    <t>Utomhustemperatur</t>
  </si>
  <si>
    <t>Väderskydd</t>
  </si>
  <si>
    <t>Riktig temp under</t>
  </si>
  <si>
    <t>Temperatur motgjutiningsyta</t>
  </si>
  <si>
    <t>Utgångspunkt</t>
  </si>
  <si>
    <t>Värden</t>
  </si>
  <si>
    <t>C30/37</t>
  </si>
  <si>
    <t>C32/40</t>
  </si>
  <si>
    <t>Täckning</t>
  </si>
  <si>
    <t>Påläggning efter 1 timme</t>
  </si>
  <si>
    <t>Komentar</t>
  </si>
  <si>
    <t>C28/25</t>
  </si>
  <si>
    <t>-----Frys innan täck</t>
  </si>
  <si>
    <t>-----Når ej 70%</t>
  </si>
  <si>
    <t>Slagg %</t>
  </si>
  <si>
    <t>C28/37</t>
  </si>
  <si>
    <t>Slagghalt</t>
  </si>
  <si>
    <t>Islolering</t>
  </si>
  <si>
    <t>Press</t>
  </si>
  <si>
    <t>Press,10,20,30,50</t>
  </si>
  <si>
    <t>Bas+0%</t>
  </si>
  <si>
    <t>OK7</t>
  </si>
  <si>
    <t>0,315200PresenningOK7</t>
  </si>
  <si>
    <t>0,215200PresenningOK7</t>
  </si>
  <si>
    <t>0,11515--OK7</t>
  </si>
  <si>
    <t>0,115150-OK7</t>
  </si>
  <si>
    <t>0,115150PresenningOK7</t>
  </si>
  <si>
    <t>0,42052030OK7</t>
  </si>
  <si>
    <t>0,42052050OK7</t>
  </si>
  <si>
    <t>0,32052050OK7</t>
  </si>
  <si>
    <t>0,22052050OK7</t>
  </si>
  <si>
    <t>0,12052030OK7</t>
  </si>
  <si>
    <t>0,12052050OK7</t>
  </si>
  <si>
    <t>0,415200PresenningOK7</t>
  </si>
  <si>
    <t>0,31520--OK7</t>
  </si>
  <si>
    <t>0,42052020OK7</t>
  </si>
  <si>
    <t>0,32052030OK7</t>
  </si>
  <si>
    <t>0,32052010OK7</t>
  </si>
  <si>
    <t>0,41520--OK7</t>
  </si>
  <si>
    <t>0,21515--OK7</t>
  </si>
  <si>
    <t>0,215150-OK7</t>
  </si>
  <si>
    <t>0,11510--OK7</t>
  </si>
  <si>
    <t>0,42052010OK7</t>
  </si>
  <si>
    <t>0,415200-OK7</t>
  </si>
  <si>
    <t>0,215150PresenningOK7</t>
  </si>
  <si>
    <t>0,115100PresenningOK7</t>
  </si>
  <si>
    <t>0,22052030OK7</t>
  </si>
  <si>
    <t>0,315150PresenningOK7</t>
  </si>
  <si>
    <t>0,11552050OK7</t>
  </si>
  <si>
    <t>0,31515--OK7</t>
  </si>
  <si>
    <t>0,21510--OK7</t>
  </si>
  <si>
    <t>0,22052020OK7</t>
  </si>
  <si>
    <t>0,11052050OK7</t>
  </si>
  <si>
    <t>0,415150PresenningOK7</t>
  </si>
  <si>
    <t>0,315150-OK7</t>
  </si>
  <si>
    <t>0,215100PresenningOK7</t>
  </si>
  <si>
    <t>0,4205050OK7</t>
  </si>
  <si>
    <t>0,11552030OK7</t>
  </si>
  <si>
    <t>OK under 17 D</t>
  </si>
  <si>
    <t>7-20</t>
  </si>
  <si>
    <t>2-20</t>
  </si>
  <si>
    <t>0-20</t>
  </si>
  <si>
    <t>Innan beteongvinter</t>
  </si>
  <si>
    <t>12-20</t>
  </si>
  <si>
    <t>Betongvinter innan frys</t>
  </si>
  <si>
    <t>När de börjar frysa</t>
  </si>
  <si>
    <t>&lt;17 Timmar och &gt;6 Mpa</t>
  </si>
  <si>
    <t>OK&lt;17 Timamr</t>
  </si>
  <si>
    <t>Värmekabel</t>
  </si>
  <si>
    <t>Antal värmekablar</t>
  </si>
  <si>
    <t>Formisolering [mm]</t>
  </si>
  <si>
    <t>OK under 17</t>
  </si>
  <si>
    <t>Fryser innan täck</t>
  </si>
  <si>
    <t>OK17</t>
  </si>
  <si>
    <t>Tjocklek Vägg</t>
  </si>
  <si>
    <t>Tjocklek motgjutningsyta</t>
  </si>
  <si>
    <t>6 Mpa</t>
  </si>
  <si>
    <t>17 Timmar</t>
  </si>
  <si>
    <t>Slaggmängd</t>
  </si>
  <si>
    <t>Startpunkt x:</t>
  </si>
  <si>
    <t>Startpunkt y:</t>
  </si>
  <si>
    <t>Avstånd i x led</t>
  </si>
  <si>
    <t>Värmekablar</t>
  </si>
  <si>
    <t>1 St</t>
  </si>
  <si>
    <t>2 St</t>
  </si>
  <si>
    <t>Tidpunkt påslagning</t>
  </si>
  <si>
    <t>Avstånd i x-led</t>
  </si>
  <si>
    <t>Avstånd i y-led</t>
  </si>
  <si>
    <t>200 mm</t>
  </si>
  <si>
    <t>240 mm</t>
  </si>
  <si>
    <t>Direkt</t>
  </si>
  <si>
    <t>Vägghöjd</t>
  </si>
  <si>
    <t>2400 mm</t>
  </si>
  <si>
    <t>3 St</t>
  </si>
  <si>
    <t>Når ej 6 MPa</t>
  </si>
  <si>
    <t>Plywood 15, oisolerat</t>
  </si>
  <si>
    <t>Plywood 15 cellplast 30</t>
  </si>
  <si>
    <t>Plywood 12-19  cellplast 50</t>
  </si>
  <si>
    <t>Plywood 12-19 cellplast 70</t>
  </si>
  <si>
    <t>Plywood 12-19 cellplast 100</t>
  </si>
  <si>
    <t>Plywood 12-19 cellplast 120</t>
  </si>
  <si>
    <t>Bas+0%+0%</t>
  </si>
  <si>
    <t>Bas+0%+0%1510--OK7</t>
  </si>
  <si>
    <t>Bas+0%+0%15100-OK7</t>
  </si>
  <si>
    <t>Bas+0%+0%2052030OK7</t>
  </si>
  <si>
    <t>Bas+0%+0%2052050OK7</t>
  </si>
  <si>
    <t>Bas+0%+0%1552050OK7</t>
  </si>
  <si>
    <t>Bas+0%+0%1552030OK7</t>
  </si>
  <si>
    <t>Bas+0%+0%1052050OK7</t>
  </si>
  <si>
    <t>-------Når ej 6 MPa</t>
  </si>
  <si>
    <t>Bas+0%205402-Plywood 12-19  cellplast 50OK17</t>
  </si>
  <si>
    <t>Bas+0%20540210Plywood 12-19 cellplast 120OK17</t>
  </si>
  <si>
    <t>Bas+0%20540310Plywood 12-19 cellplast 70OK17</t>
  </si>
  <si>
    <t>-------Fryser innan täck</t>
  </si>
  <si>
    <t>Bas+0%1520---Plywood 15, oisoleratOK17</t>
  </si>
  <si>
    <t>0,120540310Plywood 12-19  cellplast 50OK17</t>
  </si>
  <si>
    <t>0,120540310Plywood 12-19 cellplast 70OK17</t>
  </si>
  <si>
    <t>Bas+0%20540110Plywood 12-19  cellplast 50OK17</t>
  </si>
  <si>
    <t>Bas+0%20540110Plywood 12-19 cellplast 70OK17</t>
  </si>
  <si>
    <t>Bas+0%20540110Plywood 12-19 cellplast 100OK17</t>
  </si>
  <si>
    <t>Bas+0%20540110Plywood 12-19 cellplast 120OK17</t>
  </si>
  <si>
    <t>Bas+0%20540210Plywood 12-19 cellplast 70OK17</t>
  </si>
  <si>
    <t>Bas+0%20540210Plywood 12-19  cellplast 50OK17</t>
  </si>
  <si>
    <t>Bas+0%20540310Plywood 12-19 cellplast 120OK17</t>
  </si>
  <si>
    <t>0,11520---Plywood 15, oisoleratOK17</t>
  </si>
  <si>
    <t>Bas+0%1515---Plywood 15, oisoleratOK17</t>
  </si>
  <si>
    <t>0,2205402-Plywood 12-19 cellplast 100OK17</t>
  </si>
  <si>
    <t>0,220540310Plywood 12-19 cellplast 120OK17</t>
  </si>
  <si>
    <t>0,120540110Plywood 12-19  cellplast 50OK17</t>
  </si>
  <si>
    <t>0,120540110Plywood 12-19 cellplast 70OK17</t>
  </si>
  <si>
    <t>0,120540110Plywood 12-19 cellplast 100OK17</t>
  </si>
  <si>
    <t>0,220540310Plywood 12-19 cellplast 100OK17</t>
  </si>
  <si>
    <t>0,120540210Plywood 12-19  cellplast 50OK17</t>
  </si>
  <si>
    <t>0,120540210Plywood 12-19 cellplast 100OK17</t>
  </si>
  <si>
    <t>0,120540210Plywood 12-19 cellplast 120OK17</t>
  </si>
  <si>
    <t>0,120540310Plywood 12-19 cellplast 100OK17</t>
  </si>
  <si>
    <t>Bas+0%15540350Plywood 12-19 cellplast 70OK17</t>
  </si>
  <si>
    <t>0,21520---Plywood 15, oisoleratOK17</t>
  </si>
  <si>
    <t>0,11515---Plywood 15, oisoleratOK17</t>
  </si>
  <si>
    <t>0,11515--PresenningPlywood 15, oisoleratOK17</t>
  </si>
  <si>
    <t>0,2205402PresenningPlywood 15 cellplast 30OK17</t>
  </si>
  <si>
    <t>0,220540210Plywood 12-19  cellplast 50OK17</t>
  </si>
  <si>
    <t>0,220540210Plywood 12-19 cellplast 100OK17</t>
  </si>
  <si>
    <t>0,120540110Plywood 15 cellplast 30OK17</t>
  </si>
  <si>
    <t>0,220540210Plywood 12-19 cellplast 70OK17</t>
  </si>
  <si>
    <t>0,220540310Plywood 12-19 cellplast 70OK17</t>
  </si>
  <si>
    <t>0,120540210Plywood 12-19 cellplast 70OK17</t>
  </si>
  <si>
    <t>Bas+0%15540220Plywood 12-19 cellplast 100OK17</t>
  </si>
  <si>
    <t>Bas+0%1510---Plywood 15, oisoleratOK17</t>
  </si>
  <si>
    <t>0,2205401-Plywood 15 cellplast 30OK17</t>
  </si>
  <si>
    <t>0,220540110Plywood 12-19  cellplast 50OK17</t>
  </si>
  <si>
    <t>0,220540110Plywood 12-19 cellplast 70OK17</t>
  </si>
  <si>
    <t>0,220540110Plywood 12-19 cellplast 100OK17</t>
  </si>
  <si>
    <t>0,2205401PresenningPlywood 12-19  cellplast 50OK17</t>
  </si>
  <si>
    <t>0,220540210Plywood 15 cellplast 30OK17</t>
  </si>
  <si>
    <t>0,115540220Plywood 12-19 cellplast 120OK17</t>
  </si>
  <si>
    <t>Bas+0%15540320Plywood 12-19 cellplast 120OK17</t>
  </si>
  <si>
    <t>0,31520---Plywood 15, oisoleratOK17</t>
  </si>
  <si>
    <t>0,21515---Plywood 15, oisoleratOK17</t>
  </si>
  <si>
    <t>0,21515--PresenningPlywood 15, oisoleratOK17</t>
  </si>
  <si>
    <t>0,11510---Plywood 15, oisoleratOK17</t>
  </si>
  <si>
    <t>Bas+0%1510--PresenningPlywood 15, oisoleratOK17</t>
  </si>
  <si>
    <t>0,3205402PresenningPlywood 15 cellplast 30OK17</t>
  </si>
  <si>
    <t>0,320540210Plywood 12-19  cellplast 50OK17</t>
  </si>
  <si>
    <t>0,320540210Plywood 12-19 cellplast 100OK17</t>
  </si>
  <si>
    <t>0,220540110Plywood 15 cellplast 30OK17</t>
  </si>
  <si>
    <t>0,220540110Plywood 12-19 cellplast 120OK17</t>
  </si>
  <si>
    <t>0,215540330Plywood 12-19 cellplast 100OK17</t>
  </si>
  <si>
    <t>0,11510--PresenningPlywood 15, oisoleratOK17</t>
  </si>
  <si>
    <t>0,3205401-Plywood 12-19  cellplast 50OK17</t>
  </si>
  <si>
    <t>0,320540110Plywood 12-19 cellplast 70OK17</t>
  </si>
  <si>
    <t>0,320540210Plywood 15 cellplast 30OK17</t>
  </si>
  <si>
    <t>0,320540310Plywood 12-19 cellplast 120OK17</t>
  </si>
  <si>
    <t>0,2205---Plywood 12-19 cellplast 100OK17</t>
  </si>
  <si>
    <t>0,215540230Plywood 12-19 cellplast 70OK17</t>
  </si>
  <si>
    <t>0,115540220Plywood 12-19 cellplast 100OK17</t>
  </si>
  <si>
    <t>Column2</t>
  </si>
  <si>
    <t>Antal paket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</si>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</sst>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10"/>
      <color theme="1"/>
      <name val="Arial"/>
      <family val="2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2" fillId="0" borderId="1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7" xfId="0" quotePrefix="1" applyFont="1" applyBorder="1" applyAlignment="1">
      <alignment horizontal="center" vertical="center"/>
    </xf>
    <xf numFmtId="0" fontId="2" fillId="0" borderId="9" xfId="0" quotePrefix="1" applyFont="1" applyBorder="1" applyAlignment="1">
      <alignment horizontal="center" vertical="center"/>
    </xf>
    <xf numFmtId="0" fontId="2" fillId="2" borderId="4" xfId="0" quotePrefix="1" applyFont="1" applyFill="1" applyBorder="1" applyAlignment="1">
      <alignment horizontal="center" vertical="center"/>
    </xf>
    <xf numFmtId="0" fontId="2" fillId="2" borderId="7" xfId="0" quotePrefix="1" applyFont="1" applyFill="1" applyBorder="1" applyAlignment="1">
      <alignment horizontal="center" vertical="center"/>
    </xf>
    <xf numFmtId="0" fontId="2" fillId="2" borderId="9" xfId="0" quotePrefix="1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2" borderId="27" xfId="0" applyFont="1" applyFill="1" applyBorder="1" applyAlignment="1">
      <alignment horizontal="center"/>
    </xf>
    <xf numFmtId="0" fontId="2" fillId="2" borderId="28" xfId="0" applyFont="1" applyFill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3" xfId="0" applyFont="1" applyBorder="1" applyAlignment="1">
      <alignment horizontal="center" wrapText="1"/>
    </xf>
    <xf numFmtId="0" fontId="1" fillId="0" borderId="25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0" fillId="0" borderId="29" xfId="0" applyBorder="1" applyAlignment="1">
      <alignment horizontal="center"/>
    </xf>
    <xf numFmtId="0" fontId="0" fillId="0" borderId="32" xfId="0" applyBorder="1"/>
    <xf numFmtId="0" fontId="0" fillId="0" borderId="29" xfId="0" applyBorder="1"/>
    <xf numFmtId="0" fontId="0" fillId="0" borderId="3" xfId="0" applyBorder="1"/>
    <xf numFmtId="0" fontId="0" fillId="0" borderId="25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2" xfId="0" applyBorder="1"/>
    <xf numFmtId="0" fontId="0" fillId="0" borderId="40" xfId="0" applyBorder="1"/>
    <xf numFmtId="0" fontId="0" fillId="0" borderId="15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9" xfId="0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4" fillId="0" borderId="37" xfId="0" applyFont="1" applyBorder="1" applyAlignment="1">
      <alignment horizontal="center"/>
    </xf>
    <xf numFmtId="0" fontId="4" fillId="0" borderId="38" xfId="0" applyFont="1" applyBorder="1" applyAlignment="1">
      <alignment horizontal="center"/>
    </xf>
    <xf numFmtId="0" fontId="5" fillId="0" borderId="0" xfId="0" applyFont="1" applyAlignment="1">
      <alignment horizontal="right" wrapText="1"/>
    </xf>
    <xf numFmtId="0" fontId="1" fillId="0" borderId="19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0" fillId="0" borderId="2" xfId="0" applyBorder="1" applyAlignment="1">
      <alignment horizontal="center"/>
    </xf>
    <xf numFmtId="9" fontId="0" fillId="0" borderId="0" xfId="0" applyNumberFormat="1"/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17" xfId="0" applyBorder="1" applyAlignment="1">
      <alignment horizontal="left" wrapText="1"/>
    </xf>
    <xf numFmtId="9" fontId="0" fillId="0" borderId="5" xfId="0" applyNumberFormat="1" applyBorder="1"/>
    <xf numFmtId="9" fontId="0" fillId="0" borderId="6" xfId="0" applyNumberFormat="1" applyBorder="1"/>
    <xf numFmtId="0" fontId="0" fillId="0" borderId="23" xfId="0" applyBorder="1"/>
    <xf numFmtId="0" fontId="0" fillId="0" borderId="30" xfId="0" applyBorder="1"/>
    <xf numFmtId="0" fontId="0" fillId="0" borderId="22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9" fontId="0" fillId="0" borderId="29" xfId="0" applyNumberFormat="1" applyBorder="1" applyAlignment="1">
      <alignment horizontal="center"/>
    </xf>
    <xf numFmtId="0" fontId="0" fillId="0" borderId="35" xfId="0" applyBorder="1" applyAlignment="1">
      <alignment horizontal="center"/>
    </xf>
    <xf numFmtId="49" fontId="0" fillId="0" borderId="0" xfId="0" applyNumberFormat="1"/>
    <xf numFmtId="0" fontId="5" fillId="0" borderId="16" xfId="0" applyFont="1" applyBorder="1" applyAlignment="1">
      <alignment wrapText="1"/>
    </xf>
    <xf numFmtId="0" fontId="0" fillId="0" borderId="31" xfId="0" applyBorder="1"/>
    <xf numFmtId="0" fontId="5" fillId="0" borderId="31" xfId="0" applyFont="1" applyBorder="1" applyAlignment="1">
      <alignment horizontal="right" wrapText="1"/>
    </xf>
    <xf numFmtId="0" fontId="0" fillId="0" borderId="37" xfId="0" applyBorder="1"/>
    <xf numFmtId="0" fontId="5" fillId="0" borderId="37" xfId="0" applyFont="1" applyBorder="1" applyAlignment="1">
      <alignment horizontal="right" wrapText="1"/>
    </xf>
    <xf numFmtId="0" fontId="5" fillId="0" borderId="37" xfId="0" applyFont="1" applyBorder="1" applyAlignment="1">
      <alignment wrapText="1"/>
    </xf>
    <xf numFmtId="0" fontId="6" fillId="0" borderId="31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6" fillId="0" borderId="38" xfId="0" applyFont="1" applyBorder="1" applyAlignment="1">
      <alignment horizontal="center"/>
    </xf>
    <xf numFmtId="0" fontId="0" fillId="0" borderId="23" xfId="0" applyBorder="1" applyAlignment="1">
      <alignment wrapText="1"/>
    </xf>
    <xf numFmtId="0" fontId="0" fillId="0" borderId="46" xfId="0" applyBorder="1" applyAlignment="1">
      <alignment wrapText="1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5" fillId="0" borderId="0" xfId="0" applyFont="1" applyAlignment="1">
      <alignment wrapText="1"/>
    </xf>
    <xf numFmtId="9" fontId="5" fillId="0" borderId="31" xfId="0" applyNumberFormat="1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8" xfId="0" applyBorder="1" applyAlignment="1">
      <alignment horizontal="left" wrapText="1"/>
    </xf>
    <xf numFmtId="0" fontId="0" fillId="0" borderId="19" xfId="0" applyBorder="1" applyAlignment="1">
      <alignment wrapText="1"/>
    </xf>
    <xf numFmtId="0" fontId="0" fillId="0" borderId="20" xfId="0" applyBorder="1" applyAlignment="1">
      <alignment wrapText="1"/>
    </xf>
    <xf numFmtId="0" fontId="0" fillId="0" borderId="21" xfId="0" applyBorder="1" applyAlignment="1">
      <alignment wrapText="1"/>
    </xf>
    <xf numFmtId="0" fontId="0" fillId="0" borderId="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1" fillId="0" borderId="0" xfId="0" applyFont="1"/>
    <xf numFmtId="0" fontId="0" fillId="0" borderId="0" xfId="0" applyAlignment="1">
      <alignment vertical="center"/>
    </xf>
    <xf numFmtId="0" fontId="0" fillId="0" borderId="6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25" xfId="0" quotePrefix="1" applyBorder="1"/>
  </cellXfs>
  <cellStyles count="1">
    <cellStyle name="Normal" xfId="0" builtinId="0"/>
  </cellStyles>
  <dxfs count="204">
    <dxf>
      <fill>
        <gradientFill type="path" left="0.5" right="0.5" top="0.5" bottom="0.5">
          <stop position="0">
            <color theme="0"/>
          </stop>
          <stop position="1">
            <color theme="7" tint="0.59999389629810485"/>
          </stop>
        </gradientFill>
      </fill>
    </dxf>
    <dxf>
      <fill>
        <gradientFill type="path" left="0.5" right="0.5" top="0.5" bottom="0.5">
          <stop position="0">
            <color theme="7"/>
          </stop>
          <stop position="1">
            <color theme="9" tint="0.59999389629810485"/>
          </stop>
        </gradientFill>
      </fill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numFmt numFmtId="0" formatCode="General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fill>
        <patternFill patternType="none">
          <bgColor auto="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0" formatCode="General"/>
      <border diagonalUp="0" diagonalDown="0">
        <left style="thin">
          <color indexed="64"/>
        </left>
        <right style="medium">
          <color indexed="64"/>
        </right>
        <top/>
        <bottom/>
        <vertical/>
        <horizontal/>
      </border>
    </dxf>
    <dxf>
      <numFmt numFmtId="0" formatCode="General"/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vertical/>
      </border>
    </dxf>
    <dxf>
      <numFmt numFmtId="0" formatCode="General"/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vertical/>
      </border>
    </dxf>
    <dxf>
      <numFmt numFmtId="0" formatCode="General"/>
    </dxf>
    <dxf>
      <numFmt numFmtId="0" formatCode="General"/>
      <border diagonalUp="0" diagonalDown="0">
        <left style="medium">
          <color indexed="64"/>
        </left>
        <right style="thin">
          <color indexed="64"/>
        </right>
        <vertical/>
      </border>
    </dxf>
    <dxf>
      <border diagonalUp="0" diagonalDown="0">
        <left/>
        <right style="medium">
          <color indexed="64"/>
        </right>
        <vertical/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border>
        <bottom style="medium">
          <color indexed="64"/>
        </bottom>
      </border>
    </dxf>
    <dxf>
      <numFmt numFmtId="13" formatCode="0%"/>
      <border diagonalUp="0" diagonalDown="0">
        <left/>
        <right/>
        <top/>
        <bottom/>
        <vertical/>
        <horizontal/>
      </border>
    </dxf>
    <dxf>
      <numFmt numFmtId="0" formatCode="General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 outline="0">
        <left/>
        <right style="medium">
          <color indexed="64"/>
        </right>
        <top/>
        <bottom/>
      </border>
    </dxf>
    <dxf>
      <alignment horizontal="right" vertical="center" textRotation="0" wrapText="0" indent="0" justifyLastLine="0" shrinkToFit="0" readingOrder="0"/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/>
      </border>
    </dxf>
    <dxf>
      <border>
        <bottom style="medium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numFmt numFmtId="0" formatCode="General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 outline="0">
        <left/>
        <right style="medium">
          <color indexed="64"/>
        </right>
        <top/>
        <bottom/>
      </border>
    </dxf>
    <dxf>
      <alignment horizontal="right" vertical="center" textRotation="0" wrapText="0" indent="0" justifyLastLine="0" shrinkToFit="0" readingOrder="0"/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/>
      </border>
    </dxf>
    <dxf>
      <border>
        <bottom style="medium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numFmt numFmtId="0" formatCode="General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 outline="0">
        <left/>
        <right style="medium">
          <color indexed="64"/>
        </right>
        <top/>
        <bottom/>
      </border>
    </dxf>
    <dxf>
      <alignment horizontal="right" vertical="center" textRotation="0" wrapText="0" indent="0" justifyLastLine="0" shrinkToFit="0" readingOrder="0"/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/>
      </border>
    </dxf>
    <dxf>
      <border>
        <bottom style="medium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numFmt numFmtId="0" formatCode="General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 outline="0">
        <left/>
        <right style="medium">
          <color indexed="64"/>
        </right>
        <top/>
        <bottom/>
      </border>
    </dxf>
    <dxf>
      <alignment horizontal="right" vertical="center" textRotation="0" wrapText="0" indent="0" justifyLastLine="0" shrinkToFit="0" readingOrder="0"/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/>
      </border>
    </dxf>
    <dxf>
      <border>
        <bottom style="medium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numFmt numFmtId="0" formatCode="General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 outline="0">
        <left/>
        <right style="medium">
          <color indexed="64"/>
        </right>
        <top/>
        <bottom/>
      </border>
    </dxf>
    <dxf>
      <alignment horizontal="right" vertical="center" textRotation="0" wrapText="0" indent="0" justifyLastLine="0" shrinkToFit="0" readingOrder="0"/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/>
      </border>
    </dxf>
    <dxf>
      <border>
        <bottom style="medium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numFmt numFmtId="0" formatCode="General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 outline="0">
        <left/>
        <right style="medium">
          <color indexed="64"/>
        </right>
        <top/>
        <bottom/>
      </border>
    </dxf>
    <dxf>
      <alignment horizontal="right" vertical="center" textRotation="0" wrapText="0" indent="0" justifyLastLine="0" shrinkToFit="0" readingOrder="0"/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/>
      </border>
    </dxf>
    <dxf>
      <border>
        <bottom style="medium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numFmt numFmtId="0" formatCode="General"/>
      <border diagonalUp="0" diagonalDown="0">
        <left style="medium">
          <color indexed="64"/>
        </left>
        <right/>
        <top/>
        <bottom/>
        <vertical/>
        <horizontal/>
      </border>
    </dxf>
    <dxf>
      <border diagonalUp="0" diagonalDown="0">
        <left/>
        <right style="medium">
          <color indexed="64"/>
        </right>
        <top/>
        <bottom/>
      </border>
    </dxf>
    <dxf>
      <alignment horizontal="right" vertical="center" textRotation="0" wrapText="0" indent="0" justifyLastLine="0" shrinkToFit="0" readingOrder="0"/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B7F52B5D-8146-4D54-ADD3-43FF0AA216A0}" name="Table1" displayName="Table1" ref="A1:M46" totalsRowShown="0" headerRowDxfId="203" headerRowBorderDxfId="202" tableBorderDxfId="201">
  <autoFilter ref="A1:M46" xr:uid="{B7F52B5D-8146-4D54-ADD3-43FF0AA216A0}"/>
  <sortState xmlns:xlrd2="http://schemas.microsoft.com/office/spreadsheetml/2017/richdata2" ref="A2:L46">
    <sortCondition descending="1" ref="H1:H46"/>
  </sortState>
  <tableColumns count="13">
    <tableColumn id="1" xr3:uid="{B163A78E-CE4A-4600-B0F6-AE36AFA016BA}" name="Slaggmängd"/>
    <tableColumn id="2" xr3:uid="{448F6F5B-66A3-4A00-9099-407BB01F9E09}" name="Gjuttemperatur" dataDxfId="200"/>
    <tableColumn id="3" xr3:uid="{AE3E7335-476E-4DA9-9C42-CFC9C1299D87}" name="Temperatur motgjutningsyta" dataDxfId="199"/>
    <tableColumn id="4" xr3:uid="{405BB756-B7F7-4E68-9EA0-D9BEBC8D34A4}" name="Värmekabel" dataDxfId="198"/>
    <tableColumn id="8" xr3:uid="{9A6BC29F-17F4-4BCC-AE87-11B09927C010}" name="Antal värmekablar" dataDxfId="197"/>
    <tableColumn id="5" xr3:uid="{5CA23582-B928-4604-8934-0CB9AFF9A9EF}" name="Täckning [mm]" dataDxfId="196"/>
    <tableColumn id="12" xr3:uid="{EA02C488-88AD-445A-A57A-2535DC20E44A}" name="Formisolering [mm]" dataDxfId="195"/>
    <tableColumn id="6" xr3:uid="{1A57D0AC-68EB-44D6-8D2C-2C6CC7D3C7C9}" name="Temperatur" dataDxfId="194"/>
    <tableColumn id="7" xr3:uid="{AECE3184-638E-46C5-847E-3E85526B6653}" name="Vind" dataDxfId="193"/>
    <tableColumn id="11" xr3:uid="{113B0912-D8F4-485A-B1B2-C3829B3F97B5}" name="&lt;17 Timmar och &gt;6 Mpa"/>
    <tableColumn id="15" xr3:uid="{7D3C92BF-4446-4741-8E7A-2A0DA927620D}" name="OK&lt;17 Timamr" dataDxfId="192"/>
    <tableColumn id="10" xr3:uid="{9BB60104-49CE-4C70-898B-B6BEE5A5429A}" name="Kommentar" dataDxfId="191"/>
    <tableColumn id="9" xr3:uid="{0AB9BBFD-3116-499C-95ED-859E72F38F7A}" name="Åtgärdskåd" dataDxfId="190">
      <calculatedColumnFormula>Table1[[#This Row],[Slaggmängd]]&amp;Table1[[#This Row],[Gjuttemperatur]]&amp;Table1[[#This Row],[Temperatur motgjutningsyta]]&amp;Table1[[#This Row],[Värmekabel]]&amp;Table1[[#This Row],[Antal värmekablar]]&amp;Table1[[#This Row],[Täckning '[mm']]]&amp;Table1[[#This Row],[Formisolering '[mm']]]&amp;Table1[[#This Row],[OK&lt;17 Timamr]]&amp;Table1[[#This Row],[Kommentar]]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F328D678-9089-4F6C-A3F0-320CAA057ED9}" name="Table127" displayName="Table127" ref="A1:M46" totalsRowShown="0" headerRowDxfId="189" headerRowBorderDxfId="188">
  <autoFilter ref="A1:M46" xr:uid="{F328D678-9089-4F6C-A3F0-320CAA057ED9}"/>
  <sortState xmlns:xlrd2="http://schemas.microsoft.com/office/spreadsheetml/2017/richdata2" ref="A2:L46">
    <sortCondition descending="1" ref="H1:H46"/>
  </sortState>
  <tableColumns count="13">
    <tableColumn id="1" xr3:uid="{3652831D-77A2-4DFC-8809-18FB7A17FB00}" name="Slaggmängd" dataDxfId="187"/>
    <tableColumn id="2" xr3:uid="{F11B5A95-73AC-43AB-A159-9885F42D9B6F}" name="Gjuttemperatur" dataDxfId="186"/>
    <tableColumn id="3" xr3:uid="{78A510FE-8659-42F7-AFBE-DE05D1FD6A1D}" name="Temperatur motgjutningsyta" dataDxfId="185"/>
    <tableColumn id="4" xr3:uid="{BFFAE94F-7FAE-4ED9-A0D9-CE18CA703D46}" name="Värmekabel" dataDxfId="184"/>
    <tableColumn id="8" xr3:uid="{B88F0711-9B05-4A4A-8235-1F2B4EEA8624}" name="Antal värmekablar" dataDxfId="183"/>
    <tableColumn id="5" xr3:uid="{3D5DB255-9278-4BDD-83B3-22DDAB1FB288}" name="Täckning [mm]" dataDxfId="182"/>
    <tableColumn id="12" xr3:uid="{AFF22C98-D18B-4E07-BE72-4C8BEF491220}" name="Formisolering [mm]" dataDxfId="181"/>
    <tableColumn id="6" xr3:uid="{DDCD6DCB-8C28-4316-AF8C-0DF6A76B12E7}" name="Temperatur" dataDxfId="180"/>
    <tableColumn id="7" xr3:uid="{57FB6902-2F27-40F5-BCBD-EED2D7E51B60}" name="Vind" dataDxfId="179"/>
    <tableColumn id="11" xr3:uid="{671404F2-0C2B-4922-8C73-A006C94FD639}" name="&lt;17 Timmar och &gt;6 Mpa"/>
    <tableColumn id="15" xr3:uid="{A0499ED7-3F8C-485A-B8B7-9AB597A78303}" name="OK&lt;17 Timamr" dataDxfId="178"/>
    <tableColumn id="10" xr3:uid="{97D5D1B2-0EE5-4355-86C2-CF484ABBA4A8}" name="Kommentar" dataDxfId="177"/>
    <tableColumn id="9" xr3:uid="{1855035D-8B75-4A4C-9137-BF38E6EB4530}" name="Åtgärdskåd" dataDxfId="176">
      <calculatedColumnFormula>Table127[[#This Row],[Slaggmängd]]&amp;Table127[[#This Row],[Gjuttemperatur]]&amp;Table127[[#This Row],[Temperatur motgjutningsyta]]&amp;Table127[[#This Row],[Värmekabel]]&amp;Table127[[#This Row],[Antal värmekablar]]&amp;Table127[[#This Row],[Täckning '[mm']]]&amp;Table127[[#This Row],[Formisolering '[mm']]]&amp;Table127[[#This Row],[OK&lt;17 Timamr]]&amp;Table127[[#This Row],[Kommentar]]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E968AD4-27F4-4EF6-BD26-58BC22D926F8}" name="Table128" displayName="Table128" ref="A1:M46" totalsRowShown="0" headerRowDxfId="175" headerRowBorderDxfId="174">
  <autoFilter ref="A1:M46" xr:uid="{0E968AD4-27F4-4EF6-BD26-58BC22D926F8}"/>
  <sortState xmlns:xlrd2="http://schemas.microsoft.com/office/spreadsheetml/2017/richdata2" ref="A2:L46">
    <sortCondition descending="1" ref="H1:H46"/>
  </sortState>
  <tableColumns count="13">
    <tableColumn id="1" xr3:uid="{63E67EF3-9CEB-490E-A8E9-2A223D9C7F37}" name="Slaggmängd" dataDxfId="173"/>
    <tableColumn id="2" xr3:uid="{89DF6301-A8FA-40FB-9F77-2B00FDA68824}" name="Gjuttemperatur" dataDxfId="172"/>
    <tableColumn id="3" xr3:uid="{8C73B600-86C9-47C2-BCE3-6EE4C005A9ED}" name="Temperatur motgjutningsyta" dataDxfId="171"/>
    <tableColumn id="4" xr3:uid="{51B4A681-A5BB-40BD-89E7-F246B01223C9}" name="Värmekabel" dataDxfId="170"/>
    <tableColumn id="8" xr3:uid="{A5456AF9-2632-4DB5-82A9-30AE9BDF0249}" name="Antal värmekablar" dataDxfId="169"/>
    <tableColumn id="5" xr3:uid="{ECD0DC83-EAB2-45F5-8B7C-ED9FE5FBB412}" name="Täckning [mm]" dataDxfId="168"/>
    <tableColumn id="12" xr3:uid="{30D5959B-A96B-4185-AA6B-3EBC401BA102}" name="Formisolering [mm]" dataDxfId="167"/>
    <tableColumn id="6" xr3:uid="{4E6A2912-781F-4114-8CAA-1837564319FC}" name="Temperatur" dataDxfId="166"/>
    <tableColumn id="7" xr3:uid="{2C56673F-1026-40D9-A962-01522D41EF54}" name="Vind" dataDxfId="165"/>
    <tableColumn id="11" xr3:uid="{797653DA-89A3-4D27-8BFA-BFD4E409BC6E}" name="&lt;17 Timmar och &gt;6 Mpa"/>
    <tableColumn id="15" xr3:uid="{31AFAFDA-A9D2-42DB-9C07-67588AE7C915}" name="OK&lt;17 Timamr" dataDxfId="164"/>
    <tableColumn id="10" xr3:uid="{B8D1A6B1-36FF-445B-BFC3-9E6D87F2E615}" name="Kommentar" dataDxfId="163"/>
    <tableColumn id="9" xr3:uid="{7FF057A7-1803-4521-BC68-5906A5DE6262}" name="Åtgärdskåd" dataDxfId="162">
      <calculatedColumnFormula>Table128[[#This Row],[Slaggmängd]]&amp;Table128[[#This Row],[Gjuttemperatur]]&amp;Table128[[#This Row],[Temperatur motgjutningsyta]]&amp;Table128[[#This Row],[Värmekabel]]&amp;Table128[[#This Row],[Antal värmekablar]]&amp;Table128[[#This Row],[Täckning '[mm']]]&amp;Table128[[#This Row],[Formisolering '[mm']]]&amp;Table128[[#This Row],[OK&lt;17 Timamr]]&amp;Table128[[#This Row],[Kommentar]]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3E2AC46B-9D9F-40E9-ADCE-B85BBBE8FA29}" name="Table132" displayName="Table132" ref="A1:M46" totalsRowShown="0" headerRowDxfId="161" headerRowBorderDxfId="160">
  <autoFilter ref="A1:M46" xr:uid="{3E2AC46B-9D9F-40E9-ADCE-B85BBBE8FA29}"/>
  <sortState xmlns:xlrd2="http://schemas.microsoft.com/office/spreadsheetml/2017/richdata2" ref="A2:L46">
    <sortCondition descending="1" ref="H1:H46"/>
  </sortState>
  <tableColumns count="13">
    <tableColumn id="1" xr3:uid="{834C34CF-E5F7-42E7-93BE-43467F5609E4}" name="Slaggmängd" dataDxfId="159"/>
    <tableColumn id="2" xr3:uid="{8ECD56E6-C275-410D-9701-B91924D79D59}" name="Gjuttemperatur" dataDxfId="158"/>
    <tableColumn id="3" xr3:uid="{FC205B74-D538-4ECC-B6D9-B0746A73428D}" name="Temperatur motgjutningsyta" dataDxfId="157"/>
    <tableColumn id="4" xr3:uid="{1C6EDDEB-C2CE-47AE-A3F2-B3AA3C797E2B}" name="Värmekabel" dataDxfId="156"/>
    <tableColumn id="8" xr3:uid="{4BA28784-F39B-4FF6-B9D1-57BB4BC9196F}" name="Antal värmekablar" dataDxfId="155"/>
    <tableColumn id="5" xr3:uid="{1BB89247-2A27-487F-9F6B-F1C56D895938}" name="Täckning [mm]" dataDxfId="154"/>
    <tableColumn id="12" xr3:uid="{9D3B801C-AF63-433C-88D6-3844FD090199}" name="Formisolering [mm]" dataDxfId="153"/>
    <tableColumn id="6" xr3:uid="{34C94D18-3F28-4E26-A982-1050D69ED3A2}" name="Temperatur" dataDxfId="152"/>
    <tableColumn id="7" xr3:uid="{0FDAAFF8-2D26-473C-A3B6-BB7B28EFB7D0}" name="Vind" dataDxfId="151"/>
    <tableColumn id="11" xr3:uid="{7F2D19E2-6746-4341-8A9A-1120F68B5DA7}" name="&lt;17 Timmar och &gt;6 Mpa"/>
    <tableColumn id="15" xr3:uid="{437B8F00-FCBB-462E-AA83-4D4CAD74531C}" name="OK&lt;17 Timamr" dataDxfId="150"/>
    <tableColumn id="10" xr3:uid="{8118FF71-2E9C-4C33-8F91-85D3F00D60E2}" name="Kommentar" dataDxfId="149"/>
    <tableColumn id="9" xr3:uid="{35BAFA35-9017-4561-A7B3-4617659AB37D}" name="Åtgärdskåd" dataDxfId="148">
      <calculatedColumnFormula>Table132[[#This Row],[Slaggmängd]]&amp;Table132[[#This Row],[Gjuttemperatur]]&amp;Table132[[#This Row],[Temperatur motgjutningsyta]]&amp;Table132[[#This Row],[Värmekabel]]&amp;Table132[[#This Row],[Antal värmekablar]]&amp;Table132[[#This Row],[Täckning '[mm']]]&amp;Table132[[#This Row],[Formisolering '[mm']]]&amp;Table132[[#This Row],[OK&lt;17 Timamr]]&amp;Table132[[#This Row],[Kommentar]]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88CCC96F-3661-4A0A-8FB0-57D847038FF7}" name="Table129" displayName="Table129" ref="A1:M46" totalsRowShown="0" headerRowDxfId="147" headerRowBorderDxfId="146">
  <autoFilter ref="A1:M46" xr:uid="{88CCC96F-3661-4A0A-8FB0-57D847038FF7}"/>
  <sortState xmlns:xlrd2="http://schemas.microsoft.com/office/spreadsheetml/2017/richdata2" ref="A2:L46">
    <sortCondition descending="1" ref="H1:H46"/>
  </sortState>
  <tableColumns count="13">
    <tableColumn id="1" xr3:uid="{73E7C910-135C-49A8-B34E-A15D23793C36}" name="Slaggmängd" dataDxfId="145"/>
    <tableColumn id="2" xr3:uid="{43FCFF06-39BF-4B75-8A54-23574DAF87AC}" name="Gjuttemperatur" dataDxfId="144"/>
    <tableColumn id="3" xr3:uid="{4C2DB57D-3E2F-46FF-8C9C-1AE0B8F155ED}" name="Temperatur motgjutningsyta" dataDxfId="143"/>
    <tableColumn id="4" xr3:uid="{61EA48B5-B004-4D72-B336-38B2CE084119}" name="Värmekabel" dataDxfId="142"/>
    <tableColumn id="8" xr3:uid="{41D2342C-C1C4-4709-9323-3820F0CC747E}" name="Antal värmekablar" dataDxfId="141"/>
    <tableColumn id="5" xr3:uid="{02174A69-D3E5-4533-82BD-3770500D01A6}" name="Täckning [mm]" dataDxfId="140"/>
    <tableColumn id="12" xr3:uid="{51670DE5-91E4-4BD3-B003-B43BED2E0F43}" name="Formisolering [mm]" dataDxfId="139"/>
    <tableColumn id="6" xr3:uid="{C1F3A704-158A-475A-BB9A-7B8CF232CA69}" name="Temperatur" dataDxfId="138"/>
    <tableColumn id="7" xr3:uid="{8160DF58-09CD-41CC-93D3-1CA612652D4F}" name="Vind" dataDxfId="137"/>
    <tableColumn id="11" xr3:uid="{4FB7B5E2-7335-4F3C-A14D-C8559CF5D098}" name="&lt;17 Timmar och &gt;6 Mpa"/>
    <tableColumn id="15" xr3:uid="{1AD973F8-9100-4FEA-BDA6-725149D30240}" name="OK&lt;17 Timamr" dataDxfId="136"/>
    <tableColumn id="10" xr3:uid="{25B43E4C-F8B8-4266-B0C4-65E463E9092B}" name="Kommentar" dataDxfId="135"/>
    <tableColumn id="9" xr3:uid="{F77BFC4C-4D39-40DA-86E8-54C20AE275EA}" name="Åtgärdskåd" dataDxfId="134">
      <calculatedColumnFormula>Table129[[#This Row],[Slaggmängd]]&amp;Table129[[#This Row],[Gjuttemperatur]]&amp;Table129[[#This Row],[Temperatur motgjutningsyta]]&amp;Table129[[#This Row],[Värmekabel]]&amp;Table129[[#This Row],[Antal värmekablar]]&amp;Table129[[#This Row],[Täckning '[mm']]]&amp;Table129[[#This Row],[Formisolering '[mm']]]&amp;Table129[[#This Row],[OK&lt;17 Timamr]]&amp;Table129[[#This Row],[Kommentar]]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51A822FC-BBA9-46F4-827E-62039D1128C2}" name="Table130" displayName="Table130" ref="A1:M46" totalsRowShown="0" headerRowDxfId="133" headerRowBorderDxfId="132">
  <autoFilter ref="A1:M46" xr:uid="{51A822FC-BBA9-46F4-827E-62039D1128C2}"/>
  <sortState xmlns:xlrd2="http://schemas.microsoft.com/office/spreadsheetml/2017/richdata2" ref="A2:L46">
    <sortCondition descending="1" ref="H1:H46"/>
  </sortState>
  <tableColumns count="13">
    <tableColumn id="1" xr3:uid="{B1384198-C935-407F-AFD3-F7289E65593F}" name="Slaggmängd" dataDxfId="131"/>
    <tableColumn id="2" xr3:uid="{E17D813F-23AA-4359-99D1-773CB4E3659A}" name="Gjuttemperatur" dataDxfId="130"/>
    <tableColumn id="3" xr3:uid="{CB99395B-DD66-434E-B714-B9B992D9569A}" name="Temperatur motgjutningsyta" dataDxfId="129"/>
    <tableColumn id="4" xr3:uid="{2B8204FF-E26F-4624-B080-A58468DC622E}" name="Värmekabel" dataDxfId="128"/>
    <tableColumn id="8" xr3:uid="{38C52C37-38EE-4794-A450-8B845B82675B}" name="Antal värmekablar" dataDxfId="127"/>
    <tableColumn id="5" xr3:uid="{2BE9B2EC-BE2D-4DDF-A5EB-52AB7113CC2A}" name="Täckning [mm]" dataDxfId="126"/>
    <tableColumn id="12" xr3:uid="{1D7AB56F-1A3D-4F17-A8A8-98C76786D696}" name="Formisolering [mm]" dataDxfId="125"/>
    <tableColumn id="6" xr3:uid="{5EEA154D-2BBC-42DF-BC36-982A3B03D2DE}" name="Temperatur" dataDxfId="124"/>
    <tableColumn id="7" xr3:uid="{0316D852-B5A1-40CB-945A-DB299EF6802B}" name="Vind" dataDxfId="123"/>
    <tableColumn id="11" xr3:uid="{F3E887D6-7664-408F-B849-595C45CCC333}" name="&lt;17 Timmar och &gt;6 Mpa"/>
    <tableColumn id="15" xr3:uid="{EE32C65A-51CE-423B-BED6-33DE0EFB40F4}" name="OK&lt;17 Timamr" dataDxfId="122"/>
    <tableColumn id="10" xr3:uid="{205A85BE-EF09-4D3A-88E1-3907B6641F42}" name="Kommentar" dataDxfId="121"/>
    <tableColumn id="9" xr3:uid="{3ACA839B-523F-4F8D-BAD3-CCE21602F69E}" name="Åtgärdskåd" dataDxfId="120">
      <calculatedColumnFormula>Table130[[#This Row],[Slaggmängd]]&amp;Table130[[#This Row],[Gjuttemperatur]]&amp;Table130[[#This Row],[Temperatur motgjutningsyta]]&amp;Table130[[#This Row],[Värmekabel]]&amp;Table130[[#This Row],[Antal värmekablar]]&amp;Table130[[#This Row],[Täckning '[mm']]]&amp;Table130[[#This Row],[Formisolering '[mm']]]&amp;Table130[[#This Row],[OK&lt;17 Timamr]]&amp;Table130[[#This Row],[Kommentar]]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9447642F-D93F-4F70-83DE-A61FA027B64C}" name="Table131" displayName="Table131" ref="A1:M46" totalsRowShown="0" headerRowDxfId="119" headerRowBorderDxfId="118">
  <autoFilter ref="A1:M46" xr:uid="{9447642F-D93F-4F70-83DE-A61FA027B64C}"/>
  <sortState xmlns:xlrd2="http://schemas.microsoft.com/office/spreadsheetml/2017/richdata2" ref="A2:L46">
    <sortCondition descending="1" ref="H1:H46"/>
  </sortState>
  <tableColumns count="13">
    <tableColumn id="1" xr3:uid="{D53FEE7E-2398-4405-BA12-0E86656BC01E}" name="Slaggmängd" dataDxfId="117"/>
    <tableColumn id="2" xr3:uid="{82494B05-61D1-40B4-A0C2-8EC742E22ECA}" name="Gjuttemperatur" dataDxfId="116"/>
    <tableColumn id="3" xr3:uid="{A2A3FFC1-2660-4771-BA03-1CB6762CC2F5}" name="Temperatur motgjutningsyta" dataDxfId="115"/>
    <tableColumn id="4" xr3:uid="{B27BAAC2-6A24-4B19-870F-CD2FE961C54F}" name="Värmekabel" dataDxfId="114"/>
    <tableColumn id="8" xr3:uid="{052F6985-8226-4D7F-A7AD-DC340165683E}" name="Antal värmekablar" dataDxfId="113"/>
    <tableColumn id="5" xr3:uid="{EAFA4D4C-C70B-4C59-8862-8D2CEE16CF84}" name="Täckning [mm]" dataDxfId="112"/>
    <tableColumn id="12" xr3:uid="{EA1D3FA6-3B32-4C17-B0F6-30801ABB0983}" name="Formisolering [mm]" dataDxfId="111"/>
    <tableColumn id="6" xr3:uid="{19B8E1B3-C333-46E2-BEC4-3E26BC0618C9}" name="Temperatur" dataDxfId="110"/>
    <tableColumn id="7" xr3:uid="{BC9C452E-20D7-4799-AE14-0B149D98BDF7}" name="Vind" dataDxfId="109"/>
    <tableColumn id="11" xr3:uid="{0305D90E-EA8D-4C1F-9BF8-EEC6B3F08688}" name="&lt;17 Timmar och &gt;6 Mpa"/>
    <tableColumn id="15" xr3:uid="{A2F33DA2-635F-46AA-B5BF-07332FBA462B}" name="OK&lt;17 Timamr" dataDxfId="108"/>
    <tableColumn id="10" xr3:uid="{A8A7BA95-1AED-428C-A376-3294A92395E0}" name="Kommentar" dataDxfId="107"/>
    <tableColumn id="9" xr3:uid="{A0706959-AF19-42A3-B67B-867112613F0E}" name="Åtgärdskåd" dataDxfId="106">
      <calculatedColumnFormula>Table131[[#This Row],[Slaggmängd]]&amp;Table131[[#This Row],[Gjuttemperatur]]&amp;Table131[[#This Row],[Temperatur motgjutningsyta]]&amp;Table131[[#This Row],[Värmekabel]]&amp;Table131[[#This Row],[Antal värmekablar]]&amp;Table131[[#This Row],[Täckning '[mm']]]&amp;Table131[[#This Row],[Formisolering '[mm']]]&amp;Table131[[#This Row],[OK&lt;17 Timamr]]&amp;Table131[[#This Row],[Kommentar]]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BB1120E-CE91-4CD8-997C-2DE938FBF407}" name="Table6" displayName="Table6" ref="A1:I46" totalsRowShown="0" headerRowDxfId="105" headerRowBorderDxfId="104">
  <autoFilter ref="A1:I46" xr:uid="{0BB1120E-CE91-4CD8-997C-2DE938FBF407}"/>
  <tableColumns count="9">
    <tableColumn id="1" xr3:uid="{3F8D47DC-CBE8-4175-9913-E0176FBABB41}" name="Temperatur" dataDxfId="103"/>
    <tableColumn id="2" xr3:uid="{D90A8870-A10A-4C74-9279-24BA802D4AFB}" name="Vind" dataDxfId="102"/>
    <tableColumn id="3" xr3:uid="{54D04A45-64DD-41A4-BCA6-A63F01E2A82A}" name="C20/25" dataDxfId="101">
      <calculatedColumnFormula>Table1[[#This Row],[Åtgärdskåd]]</calculatedColumnFormula>
    </tableColumn>
    <tableColumn id="4" xr3:uid="{DD3D3939-6716-48E7-8CF9-62934939AD1B}" name="C25/30" dataDxfId="100">
      <calculatedColumnFormula>Table127[[#This Row],[Åtgärdskåd]]</calculatedColumnFormula>
    </tableColumn>
    <tableColumn id="11" xr3:uid="{DB5F4426-DC19-4494-8AAD-27F12E909B3F}" name="C28/25" dataDxfId="99">
      <calculatedColumnFormula>Table128[[#This Row],[Åtgärdskåd]]</calculatedColumnFormula>
    </tableColumn>
    <tableColumn id="5" xr3:uid="{012579F0-B509-46A8-AFE0-45B71C4993DF}" name="C30/37" dataDxfId="98">
      <calculatedColumnFormula>Table132[[#This Row],[Åtgärdskåd]]</calculatedColumnFormula>
    </tableColumn>
    <tableColumn id="6" xr3:uid="{CAF851EB-0542-4EE8-B6C9-F4565289114F}" name="C32/40" dataDxfId="97">
      <calculatedColumnFormula>Table129[[#This Row],[Åtgärdskåd]]</calculatedColumnFormula>
    </tableColumn>
    <tableColumn id="7" xr3:uid="{EA982D14-86D6-4D56-867B-82B4E32D98A5}" name="C35/45" dataDxfId="96">
      <calculatedColumnFormula>Table130[[#This Row],[Åtgärdskåd]]</calculatedColumnFormula>
    </tableColumn>
    <tableColumn id="8" xr3:uid="{F27BC86B-7803-4CCC-8AF6-79CD966417E2}" name="C40/50" dataDxfId="95">
      <calculatedColumnFormula>Table131[[#This Row],[Åtgärdskåd]]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543ACA7-E10E-4D0C-81B5-7C9874B28E2C}" name="Table7" displayName="Table7" ref="K1:Q400" totalsRowShown="0" headerRowDxfId="94" dataDxfId="93">
  <autoFilter ref="K1:Q400" xr:uid="{3543ACA7-E10E-4D0C-81B5-7C9874B28E2C}"/>
  <tableColumns count="7">
    <tableColumn id="1" xr3:uid="{CA70578D-B91C-4859-8029-517300CBDC0A}" name="Temperatur" dataDxfId="92"/>
    <tableColumn id="2" xr3:uid="{FD23760E-672D-4C65-B1F3-2EB258999841}" name="Vind" dataDxfId="91"/>
    <tableColumn id="6" xr3:uid="{29E669A7-3489-4A97-ADD4-0A70DECD1FD9}" name="Column1" dataDxfId="90"/>
    <tableColumn id="3" xr3:uid="{48B9FF45-2B80-4D53-8FE2-DA8DE0BA35CC}" name="Åtgärdskåd" dataDxfId="89"/>
    <tableColumn id="5" xr3:uid="{242E0ACE-CE80-480E-8230-C05C49D8A9F9}" name="Åtgärdssvårighet" dataDxfId="88"/>
    <tableColumn id="4" xr3:uid="{5FED107D-20F6-448B-AB84-EF11F9A77698}" name="Nummer" dataDxfId="87" totalsRowDxfId="86"/>
    <tableColumn id="7" xr3:uid="{F6E4BB84-3DBF-4FD1-9385-D8DA346CA583}" name="Column2" dataDxfId="85">
      <calculatedColumnFormula>MATCH(N2, _xlfn.UNIQUE($N$47:$N$361), 0)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A5D34C1-BEBA-41FB-9B95-289E1153E716}" name="Table13" displayName="Table13" ref="A1:I46" totalsRowShown="0" headerRowDxfId="84" tableBorderDxfId="83">
  <autoFilter ref="A1:I46" xr:uid="{AA5D34C1-BEBA-41FB-9B95-289E1153E716}"/>
  <tableColumns count="9">
    <tableColumn id="1" xr3:uid="{D95FC912-C274-4441-A328-D7D7043D77D9}" name="Temperatur [°C]" dataDxfId="82"/>
    <tableColumn id="2" xr3:uid="{E5739E17-063A-4BFD-A7B1-BFF9B650C437}" name="Vind [m/s]" dataDxfId="81"/>
    <tableColumn id="3" xr3:uid="{608630C1-A48B-4156-8AD8-EB99E69EE3A6}" name="C20/25" dataDxfId="80">
      <calculatedColumnFormula>'Data till Lathund, Kådgenererin'!P47</calculatedColumnFormula>
    </tableColumn>
    <tableColumn id="4" xr3:uid="{951BD516-0DEA-4229-9895-5A7E0B0E1A33}" name="C25/30" dataDxfId="79">
      <calculatedColumnFormula>'Data till Lathund, Kådgenererin'!P92</calculatedColumnFormula>
    </tableColumn>
    <tableColumn id="5" xr3:uid="{C0AC1345-4710-4D44-B13B-9625EC5F4A88}" name="C28/37" dataDxfId="78">
      <calculatedColumnFormula>'Data till Lathund, Kådgenererin'!P137</calculatedColumnFormula>
    </tableColumn>
    <tableColumn id="7" xr3:uid="{69B7D15E-2E16-41DB-98F2-8080F58BBCEE}" name="C30/37" dataDxfId="77">
      <calculatedColumnFormula>'Data till Lathund, Kådgenererin'!P182</calculatedColumnFormula>
    </tableColumn>
    <tableColumn id="8" xr3:uid="{BD44EA0D-5488-40EF-ADDD-198F994F97C0}" name="C32/40" dataDxfId="76">
      <calculatedColumnFormula>'Data till Lathund, Kådgenererin'!P227</calculatedColumnFormula>
    </tableColumn>
    <tableColumn id="9" xr3:uid="{8BE9B74C-4503-48A7-B2C3-F57E0A643B5E}" name="C35/45" dataDxfId="75">
      <calculatedColumnFormula>'Data till Lathund, Kådgenererin'!P272</calculatedColumnFormula>
    </tableColumn>
    <tableColumn id="6" xr3:uid="{FF64E311-DB46-4FC0-95C8-D41C6C004423}" name="C40/50" dataDxfId="74">
      <calculatedColumnFormula>'Data till Lathund, Kådgenererin'!P317</calculatedColumnFormula>
    </tableColumn>
  </tableColumns>
  <tableStyleInfo name="TableStyleLight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F589F66F-79C3-47D1-9981-3883A7DD1338}" name="Table1518" displayName="Table1518" ref="K50:R95" totalsRowShown="0" headerRowDxfId="73" dataDxfId="71" headerRowBorderDxfId="72" tableBorderDxfId="70" totalsRowBorderDxfId="69">
  <autoFilter ref="K50:R95" xr:uid="{F589F66F-79C3-47D1-9981-3883A7DD1338}"/>
  <sortState xmlns:xlrd2="http://schemas.microsoft.com/office/spreadsheetml/2017/richdata2" ref="K51:P73">
    <sortCondition ref="K50:K73"/>
  </sortState>
  <tableColumns count="8">
    <tableColumn id="1" xr3:uid="{22BBB2E0-222C-4E4C-A6CC-1344E94A72BA}" name="Paket" dataDxfId="68">
      <calculatedColumnFormula>'Data till lathund Åtgärder'!A2</calculatedColumnFormula>
    </tableColumn>
    <tableColumn id="2" xr3:uid="{94394B0E-7624-4B96-8382-5A629E6E6217}" name="Slagghalt" dataDxfId="67">
      <calculatedColumnFormula>'Data till lathund Åtgärder'!B2</calculatedColumnFormula>
    </tableColumn>
    <tableColumn id="3" xr3:uid="{017ED356-F79A-489F-97CC-35463042223C}" name="Gjuttemperatur" dataDxfId="66">
      <calculatedColumnFormula>'Data till lathund Åtgärder'!C2</calculatedColumnFormula>
    </tableColumn>
    <tableColumn id="4" xr3:uid="{69392CC2-8AC5-44C2-9E12-F9DD96A8C2BA}" name="Temperatur motgjutningsyta" dataDxfId="65">
      <calculatedColumnFormula>'Data till lathund Åtgärder'!D2</calculatedColumnFormula>
    </tableColumn>
    <tableColumn id="5" xr3:uid="{8B9303D9-BF87-48FE-8822-AC1CECC9E4F0}" name="Väderskydd med uppvärmning" dataDxfId="64">
      <calculatedColumnFormula>'Data till lathund Åtgärder'!E2</calculatedColumnFormula>
    </tableColumn>
    <tableColumn id="6" xr3:uid="{B7483DE5-C4F9-475F-8D0D-F96122DA7E14}" name="Täckning [mm]" dataDxfId="63">
      <calculatedColumnFormula>'Data till lathund Åtgärder'!F2</calculatedColumnFormula>
    </tableColumn>
    <tableColumn id="7" xr3:uid="{4D5A30EE-1649-42C0-8899-3E0B54D7DF86}" name="OK&lt;14D" dataDxfId="62">
      <calculatedColumnFormula>'Data till lathund Åtgärder'!G2</calculatedColumnFormula>
    </tableColumn>
    <tableColumn id="8" xr3:uid="{CDEDF46B-FDBB-441F-8820-C39B910B9BF2}" name="OK&lt;21D" dataDxfId="61"/>
  </tableColumns>
  <tableStyleInfo name="TableStyleLight2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22BB4E2-23A1-4EA7-9081-1344A1661165}" name="Table213" displayName="Table213" ref="L102:Q111" totalsRowShown="0" dataDxfId="60" tableBorderDxfId="59">
  <autoFilter ref="L102:Q111" xr:uid="{E22BB4E2-23A1-4EA7-9081-1344A1661165}"/>
  <tableColumns count="6">
    <tableColumn id="1" xr3:uid="{FE9C781D-1694-4C5A-9F19-04719DEF522A}" name="Utomhustemperatur" dataDxfId="58"/>
    <tableColumn id="2" xr3:uid="{1125BDF9-5B0F-4AB0-B0BA-E26D3B52DFC0}" name="Väderskydd" dataDxfId="57"/>
    <tableColumn id="3" xr3:uid="{BCB07AE1-66ED-4F64-B08A-F6D7C88B3976}" name="Riktig temp under" dataDxfId="56">
      <calculatedColumnFormula>M103+L103</calculatedColumnFormula>
    </tableColumn>
    <tableColumn id="4" xr3:uid="{1ED68B08-8197-403D-8231-4BAB34D022EF}" name="Temperatur motgjutiningsyta" dataDxfId="55"/>
    <tableColumn id="5" xr3:uid="{34EF6F0F-A0DA-4728-88D1-A412521A4138}" name="Gjuttemperatur" dataDxfId="54"/>
    <tableColumn id="6" xr3:uid="{9A113FED-F790-4334-AE07-01E115B525C6}" name="Islolering" dataDxfId="53"/>
  </tableColumns>
  <tableStyleInfo name="TableStyleLight2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45810A4-7D11-4B48-8FD9-43D48A738560}" name="Table8" displayName="Table8" ref="A1:J46" totalsRowShown="0">
  <autoFilter ref="A1:J46" xr:uid="{345810A4-7D11-4B48-8FD9-43D48A738560}"/>
  <sortState xmlns:xlrd2="http://schemas.microsoft.com/office/spreadsheetml/2017/richdata2" ref="A2:J37">
    <sortCondition descending="1" ref="B1:B37"/>
  </sortState>
  <tableColumns count="10">
    <tableColumn id="1" xr3:uid="{C350A2E8-4EA1-41E6-8B6D-2094DD6E81BF}" name="Paket"/>
    <tableColumn id="2" xr3:uid="{378D9ABC-063A-43E7-98CA-1E7510FFE6E4}" name="Slagg %" dataDxfId="52"/>
    <tableColumn id="3" xr3:uid="{0C95AF02-4E12-467D-A075-EBD74310392E}" name="Gjuttemperatur (varmbetong)" dataDxfId="51"/>
    <tableColumn id="4" xr3:uid="{027178B4-01F4-4A7A-B491-89025E93544A}" name="Temperatur motgjutningsyta" dataDxfId="50"/>
    <tableColumn id="5" xr3:uid="{F71E9080-36C8-491D-ABC4-930CD82755ED}" name="Väderskydd, uppvärmning (ingen vind)" dataDxfId="49"/>
    <tableColumn id="6" xr3:uid="{B3939368-0769-4EFD-BA0D-50EFD1725AAD}" name="Täckning [mm]" dataDxfId="48"/>
    <tableColumn id="7" xr3:uid="{7942FDE3-4E64-4DD1-BBA2-558353403018}" name="OK under 17 D" dataDxfId="47"/>
    <tableColumn id="10" xr3:uid="{5D6EB567-B659-4051-AF9A-1995EA165204}" name="Ok under 21 D" dataDxfId="46"/>
    <tableColumn id="9" xr3:uid="{59158F46-AEE7-4140-9237-B99D678EAFF6}" name="Column1" dataDxfId="45">
      <calculatedColumnFormula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calculatedColumnFormula>
    </tableColumn>
    <tableColumn id="8" xr3:uid="{DD09CFB0-7C6B-4FC9-A177-6E8DA8DB0B69}" name="Jobbighetsnivå">
      <calculatedColumnFormula>Table8[[#This Row],[Paket]]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4BD4DA-4EEC-4166-AAD0-CA19674A3297}" name="Table2" displayName="Table2" ref="J17:N26" totalsRowShown="0" dataDxfId="44" tableBorderDxfId="43">
  <autoFilter ref="J17:N26" xr:uid="{954BD4DA-4EEC-4166-AAD0-CA19674A3297}"/>
  <tableColumns count="5">
    <tableColumn id="1" xr3:uid="{C701828E-F905-44CF-A902-36F15443BFD4}" name="Utomhustemperatur" dataDxfId="42"/>
    <tableColumn id="2" xr3:uid="{53FAB3E8-83E4-49BA-846A-4E9AA6E6A459}" name="Väderskydd" dataDxfId="41"/>
    <tableColumn id="3" xr3:uid="{2AC9B9DE-F890-4C57-A297-01A27FB579F4}" name="Riktig temp under" dataDxfId="40">
      <calculatedColumnFormula>K18+J18</calculatedColumnFormula>
    </tableColumn>
    <tableColumn id="4" xr3:uid="{C6ADBACD-28C3-480F-AFC8-29A600038233}" name="Temperatur motgjutiningsyta" dataDxfId="39"/>
    <tableColumn id="5" xr3:uid="{BF20DF4B-93B9-4C13-A157-F3E7C4FA5B66}" name="Gjuttemperatur" dataDxfId="38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B72044-1EE4-4A23-8AE9-59AFEDF28FDF}" name="Table11" displayName="Table11" ref="J3:K10" totalsRowShown="0" headerRowDxfId="37" headerRowBorderDxfId="36" tableBorderDxfId="35" totalsRowBorderDxfId="34">
  <autoFilter ref="J3:K10" xr:uid="{C0B72044-1EE4-4A23-8AE9-59AFEDF28FDF}"/>
  <tableColumns count="2">
    <tableColumn id="1" xr3:uid="{CF139840-6626-4F9C-94CD-872A2DA19743}" name="Utgångspunkt" dataDxfId="33"/>
    <tableColumn id="2" xr3:uid="{0298D731-43DD-405B-A387-1DC94C11ED1F}" name="Värden" dataDxfId="32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08F39FD-CFFB-44A5-8996-4F55F297EC05}" name="Table9" displayName="Table9" ref="A1:A7" totalsRowShown="0" headerRowDxfId="31" dataDxfId="29" headerRowBorderDxfId="30" tableBorderDxfId="28">
  <autoFilter ref="A1:A7" xr:uid="{D08F39FD-CFFB-44A5-8996-4F55F297EC05}"/>
  <tableColumns count="1">
    <tableColumn id="1" xr3:uid="{79044889-8A17-4796-888D-B7B7884FD6FF}" name="Slaggmängd" dataDxfId="27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8801962-9EDA-4109-BEFE-361AE6E15432}" name="Table10" displayName="Table10" ref="B1:B6" totalsRowShown="0" headerRowDxfId="26" dataDxfId="24" headerRowBorderDxfId="25" tableBorderDxfId="23">
  <autoFilter ref="B1:B6" xr:uid="{B8801962-9EDA-4109-BEFE-361AE6E15432}"/>
  <tableColumns count="1">
    <tableColumn id="1" xr3:uid="{4D15308A-2E0A-4712-8C79-0C4F1E78BED9}" name="Gjuttemperatur" dataDxfId="22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6258F9E-660E-48DB-8ED4-84A422F90B87}" name="Table15" displayName="Table15" ref="C1:C6" totalsRowShown="0" headerRowBorderDxfId="21" tableBorderDxfId="20">
  <autoFilter ref="C1:C6" xr:uid="{F6258F9E-660E-48DB-8ED4-84A422F90B87}"/>
  <tableColumns count="1">
    <tableColumn id="1" xr3:uid="{F1484920-867B-461E-AC32-2603B29550E7}" name="Temperatur motgjutningsyta" dataDxfId="19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408BCC9-5EA6-439E-B195-D4403488FFD5}" name="Table16" displayName="Table16" ref="D1:D7" totalsRowShown="0" headerRowBorderDxfId="18" tableBorderDxfId="17">
  <autoFilter ref="D1:D7" xr:uid="{4408BCC9-5EA6-439E-B195-D4403488FFD5}"/>
  <tableColumns count="1">
    <tableColumn id="1" xr3:uid="{12A89FD7-3898-4E3B-973F-1A6ACE03C36B}" name="Värmekabel" dataDxfId="16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B5FFE11-ECE9-478A-BAAE-9A557F03E5CF}" name="Table17" displayName="Table17" ref="E1:E5" totalsRowShown="0" headerRowBorderDxfId="15" tableBorderDxfId="14">
  <autoFilter ref="E1:E5" xr:uid="{9B5FFE11-ECE9-478A-BAAE-9A557F03E5CF}"/>
  <tableColumns count="1">
    <tableColumn id="1" xr3:uid="{89281BC1-60E8-493B-AAC3-D569CEE92B70}" name="Antal värmekablar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5E49AF0-0C41-46AA-BC68-7AABE051653E}" name="Table18" displayName="Table18" ref="F1:F7" totalsRowShown="0" headerRowBorderDxfId="13" tableBorderDxfId="12">
  <autoFilter ref="F1:F7" xr:uid="{55E49AF0-0C41-46AA-BC68-7AABE051653E}"/>
  <tableColumns count="1">
    <tableColumn id="1" xr3:uid="{D1DBC2DA-A3E6-4426-80D7-AF2E226409A8}" name="Täckning [mm]" dataDxfId="11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57B44EA-7459-4B56-AECF-D5DFA849F9DA}" name="Table19" displayName="Table19" ref="G1:G8" totalsRowShown="0" headerRowBorderDxfId="10" tableBorderDxfId="9" totalsRowBorderDxfId="8">
  <autoFilter ref="G1:G8" xr:uid="{557B44EA-7459-4B56-AECF-D5DFA849F9DA}"/>
  <tableColumns count="1">
    <tableColumn id="1" xr3:uid="{726ECE8F-48C2-4267-8D4C-2817B4836229}" name="Formisolering [mm]" dataDxfId="7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88A47D-FC14-4F59-AEEE-E4C0B33BAD43}" name="Table20" displayName="Table20" ref="H1:H3" totalsRowShown="0" headerRowBorderDxfId="6" tableBorderDxfId="5">
  <autoFilter ref="H1:H3" xr:uid="{0088A47D-FC14-4F59-AEEE-E4C0B33BAD43}"/>
  <tableColumns count="1">
    <tableColumn id="1" xr3:uid="{6CCB721F-0590-46D9-A4E0-612F2996ADE2}" name="Komentar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43E5FECF-8C9C-4AC6-AD32-78A37212D175}" name="Table21" displayName="Table21" ref="I1:I2" totalsRowShown="0" headerRowBorderDxfId="4" tableBorderDxfId="3">
  <autoFilter ref="I1:I2" xr:uid="{43E5FECF-8C9C-4AC6-AD32-78A37212D175}"/>
  <tableColumns count="1">
    <tableColumn id="1" xr3:uid="{FBD68788-D27C-437E-8B7A-C5959D66DA69}" name="OK under 17" dataDxfId="2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758EA200-8386-43CA-9CD9-FA2DF11BA5AE}" name="Table33" displayName="Table33" ref="J29:M34" totalsRowShown="0">
  <autoFilter ref="J29:M34" xr:uid="{758EA200-8386-43CA-9CD9-FA2DF11BA5AE}"/>
  <tableColumns count="4">
    <tableColumn id="1" xr3:uid="{2785E35B-A05C-4D04-8FF6-65D585EFDAF2}" name="Värmekablar"/>
    <tableColumn id="2" xr3:uid="{B7EBA1F9-7B6D-41AB-9CE6-A198D14DF6BA}" name="1 St"/>
    <tableColumn id="3" xr3:uid="{2F7FEBE1-EE31-4F16-904F-C27C74A36528}" name="2 St"/>
    <tableColumn id="4" xr3:uid="{BF941D87-848E-4D54-93CA-7661C7004103}" name="3 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9.bin"/><Relationship Id="rId4" Type="http://schemas.openxmlformats.org/officeDocument/2006/relationships/table" Target="../tables/table1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0.xml"/><Relationship Id="rId13" Type="http://schemas.openxmlformats.org/officeDocument/2006/relationships/table" Target="../tables/table25.xml"/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12" Type="http://schemas.openxmlformats.org/officeDocument/2006/relationships/table" Target="../tables/table24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18.xml"/><Relationship Id="rId11" Type="http://schemas.openxmlformats.org/officeDocument/2006/relationships/table" Target="../tables/table23.xml"/><Relationship Id="rId5" Type="http://schemas.openxmlformats.org/officeDocument/2006/relationships/table" Target="../tables/table17.xml"/><Relationship Id="rId10" Type="http://schemas.openxmlformats.org/officeDocument/2006/relationships/table" Target="../tables/table22.xml"/><Relationship Id="rId4" Type="http://schemas.openxmlformats.org/officeDocument/2006/relationships/table" Target="../tables/table16.xml"/><Relationship Id="rId9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3B268-9E98-4F7B-97A6-DEAFCF6CAA2E}">
  <sheetPr codeName="Sheet11"/>
  <dimension ref="A1:T46"/>
  <sheetViews>
    <sheetView zoomScaleNormal="100" workbookViewId="0">
      <selection activeCell="B8" sqref="B8"/>
    </sheetView>
  </sheetViews>
  <sheetFormatPr defaultRowHeight="15" x14ac:dyDescent="0.25"/>
  <cols>
    <col min="1" max="1" width="14" style="77" bestFit="1" customWidth="1"/>
    <col min="2" max="2" width="17.42578125" style="2" bestFit="1" customWidth="1"/>
    <col min="3" max="3" width="18" style="2" bestFit="1" customWidth="1"/>
    <col min="4" max="4" width="13.85546875" style="2" bestFit="1" customWidth="1"/>
    <col min="5" max="5" width="19.5703125" style="2" bestFit="1" customWidth="1"/>
    <col min="6" max="6" width="16.5703125" bestFit="1" customWidth="1"/>
    <col min="7" max="7" width="32.85546875" bestFit="1" customWidth="1"/>
    <col min="8" max="8" width="13.7109375" bestFit="1" customWidth="1"/>
    <col min="9" max="9" width="7.28515625" bestFit="1" customWidth="1"/>
    <col min="10" max="10" width="24.140625" bestFit="1" customWidth="1"/>
    <col min="11" max="11" width="16.140625" bestFit="1" customWidth="1"/>
    <col min="12" max="12" width="13" bestFit="1" customWidth="1"/>
    <col min="13" max="13" width="40.85546875" bestFit="1" customWidth="1"/>
    <col min="14" max="17" width="11.28515625" customWidth="1"/>
    <col min="18" max="18" width="12.28515625" customWidth="1"/>
  </cols>
  <sheetData>
    <row r="1" spans="1:20" ht="30.75" thickBot="1" x14ac:dyDescent="0.3">
      <c r="A1" s="117" t="s">
        <v>106</v>
      </c>
      <c r="B1" s="118" t="s">
        <v>0</v>
      </c>
      <c r="C1" s="118" t="s">
        <v>1</v>
      </c>
      <c r="D1" s="118" t="s">
        <v>96</v>
      </c>
      <c r="E1" s="118" t="s">
        <v>97</v>
      </c>
      <c r="F1" s="118" t="s">
        <v>3</v>
      </c>
      <c r="G1" s="118" t="s">
        <v>98</v>
      </c>
      <c r="H1" s="119" t="s">
        <v>4</v>
      </c>
      <c r="I1" s="119" t="s">
        <v>5</v>
      </c>
      <c r="J1" s="120" t="s">
        <v>94</v>
      </c>
      <c r="K1" s="119" t="s">
        <v>95</v>
      </c>
      <c r="L1" s="119" t="s">
        <v>6</v>
      </c>
      <c r="M1" s="121" t="s">
        <v>7</v>
      </c>
      <c r="N1" s="1"/>
      <c r="O1" s="1"/>
      <c r="P1" s="1"/>
      <c r="Q1" s="1"/>
      <c r="R1" s="1"/>
      <c r="S1" s="1"/>
      <c r="T1" s="1"/>
    </row>
    <row r="2" spans="1:20" x14ac:dyDescent="0.25">
      <c r="A2" s="4" t="s">
        <v>206</v>
      </c>
      <c r="B2" s="107" t="s">
        <v>9</v>
      </c>
      <c r="C2" s="107" t="s">
        <v>9</v>
      </c>
      <c r="D2" s="108" t="s">
        <v>9</v>
      </c>
      <c r="E2" s="108" t="s">
        <v>9</v>
      </c>
      <c r="F2" s="107" t="s">
        <v>9</v>
      </c>
      <c r="G2" s="109" t="s">
        <v>9</v>
      </c>
      <c r="H2" s="3">
        <v>20</v>
      </c>
      <c r="I2" s="5">
        <v>0</v>
      </c>
      <c r="K2" s="4"/>
      <c r="L2" s="5" t="s">
        <v>122</v>
      </c>
      <c r="M2" s="3" t="str">
        <f>Table1[[#This Row],[Slaggmängd]]&amp;Table1[[#This Row],[Gjuttemperatur]]&amp;Table1[[#This Row],[Temperatur motgjutningsyta]]&amp;Table1[[#This Row],[Värmekabel]]&amp;Table1[[#This Row],[Antal värmekablar]]&amp;Table1[[#This Row],[Täckning '[mm']]]&amp;Table1[[#This Row],[Formisolering '[mm']]]&amp;Table1[[#This Row],[OK&lt;17 Timamr]]&amp;Table1[[#This Row],[Kommentar]]</f>
        <v>--------Når ej 6 MPa</v>
      </c>
    </row>
    <row r="3" spans="1:20" x14ac:dyDescent="0.25">
      <c r="A3" t="s">
        <v>9</v>
      </c>
      <c r="B3" s="110" t="s">
        <v>9</v>
      </c>
      <c r="C3" s="110" t="s">
        <v>9</v>
      </c>
      <c r="D3" s="110" t="s">
        <v>9</v>
      </c>
      <c r="E3" s="110" t="s">
        <v>9</v>
      </c>
      <c r="F3" s="110" t="s">
        <v>9</v>
      </c>
      <c r="G3" s="111" t="s">
        <v>9</v>
      </c>
      <c r="H3" s="6">
        <v>20</v>
      </c>
      <c r="I3" s="7">
        <v>2</v>
      </c>
      <c r="L3" s="7" t="s">
        <v>122</v>
      </c>
      <c r="M3" s="6" t="str">
        <f>Table1[[#This Row],[Slaggmängd]]&amp;Table1[[#This Row],[Gjuttemperatur]]&amp;Table1[[#This Row],[Temperatur motgjutningsyta]]&amp;Table1[[#This Row],[Värmekabel]]&amp;Table1[[#This Row],[Antal värmekablar]]&amp;Table1[[#This Row],[Täckning '[mm']]]&amp;Table1[[#This Row],[Formisolering '[mm']]]&amp;Table1[[#This Row],[OK&lt;17 Timamr]]&amp;Table1[[#This Row],[Kommentar]]</f>
        <v>-------Når ej 6 MPa</v>
      </c>
    </row>
    <row r="4" spans="1:20" x14ac:dyDescent="0.25">
      <c r="A4" t="s">
        <v>9</v>
      </c>
      <c r="B4" s="110" t="s">
        <v>9</v>
      </c>
      <c r="C4" s="110" t="s">
        <v>9</v>
      </c>
      <c r="D4" s="110" t="s">
        <v>9</v>
      </c>
      <c r="E4" s="110" t="s">
        <v>9</v>
      </c>
      <c r="F4" s="110" t="s">
        <v>9</v>
      </c>
      <c r="G4" s="111" t="s">
        <v>9</v>
      </c>
      <c r="H4" s="6">
        <v>20</v>
      </c>
      <c r="I4" s="7">
        <v>7</v>
      </c>
      <c r="L4" s="7" t="s">
        <v>122</v>
      </c>
      <c r="M4" s="6" t="str">
        <f>Table1[[#This Row],[Slaggmängd]]&amp;Table1[[#This Row],[Gjuttemperatur]]&amp;Table1[[#This Row],[Temperatur motgjutningsyta]]&amp;Table1[[#This Row],[Värmekabel]]&amp;Table1[[#This Row],[Antal värmekablar]]&amp;Table1[[#This Row],[Täckning '[mm']]]&amp;Table1[[#This Row],[Formisolering '[mm']]]&amp;Table1[[#This Row],[OK&lt;17 Timamr]]&amp;Table1[[#This Row],[Kommentar]]</f>
        <v>-------Når ej 6 MPa</v>
      </c>
    </row>
    <row r="5" spans="1:20" x14ac:dyDescent="0.25">
      <c r="A5" t="s">
        <v>9</v>
      </c>
      <c r="B5" s="110" t="s">
        <v>9</v>
      </c>
      <c r="C5" s="110" t="s">
        <v>9</v>
      </c>
      <c r="D5" s="110" t="s">
        <v>9</v>
      </c>
      <c r="E5" s="110" t="s">
        <v>9</v>
      </c>
      <c r="F5" s="110" t="s">
        <v>9</v>
      </c>
      <c r="G5" s="111" t="s">
        <v>9</v>
      </c>
      <c r="H5" s="6">
        <v>20</v>
      </c>
      <c r="I5" s="7">
        <v>12</v>
      </c>
      <c r="L5" s="7" t="s">
        <v>122</v>
      </c>
      <c r="M5" s="6" t="str">
        <f>Table1[[#This Row],[Slaggmängd]]&amp;Table1[[#This Row],[Gjuttemperatur]]&amp;Table1[[#This Row],[Temperatur motgjutningsyta]]&amp;Table1[[#This Row],[Värmekabel]]&amp;Table1[[#This Row],[Antal värmekablar]]&amp;Table1[[#This Row],[Täckning '[mm']]]&amp;Table1[[#This Row],[Formisolering '[mm']]]&amp;Table1[[#This Row],[OK&lt;17 Timamr]]&amp;Table1[[#This Row],[Kommentar]]</f>
        <v>-------Når ej 6 MPa</v>
      </c>
    </row>
    <row r="6" spans="1:20" ht="15.75" thickBot="1" x14ac:dyDescent="0.3">
      <c r="A6" s="9" t="s">
        <v>9</v>
      </c>
      <c r="B6" s="112" t="s">
        <v>9</v>
      </c>
      <c r="C6" s="112" t="s">
        <v>9</v>
      </c>
      <c r="D6" s="112" t="s">
        <v>9</v>
      </c>
      <c r="E6" s="112" t="s">
        <v>9</v>
      </c>
      <c r="F6" s="112" t="s">
        <v>9</v>
      </c>
      <c r="G6" s="113" t="s">
        <v>9</v>
      </c>
      <c r="H6" s="8">
        <v>20</v>
      </c>
      <c r="I6" s="10">
        <v>20</v>
      </c>
      <c r="L6" s="10" t="s">
        <v>122</v>
      </c>
      <c r="M6" s="8" t="str">
        <f>Table1[[#This Row],[Slaggmängd]]&amp;Table1[[#This Row],[Gjuttemperatur]]&amp;Table1[[#This Row],[Temperatur motgjutningsyta]]&amp;Table1[[#This Row],[Värmekabel]]&amp;Table1[[#This Row],[Antal värmekablar]]&amp;Table1[[#This Row],[Täckning '[mm']]]&amp;Table1[[#This Row],[Formisolering '[mm']]]&amp;Table1[[#This Row],[OK&lt;17 Timamr]]&amp;Table1[[#This Row],[Kommentar]]</f>
        <v>-------Når ej 6 MPa</v>
      </c>
    </row>
    <row r="7" spans="1:20" x14ac:dyDescent="0.25">
      <c r="A7" t="s">
        <v>9</v>
      </c>
      <c r="B7" s="110" t="s">
        <v>9</v>
      </c>
      <c r="C7" s="110" t="s">
        <v>9</v>
      </c>
      <c r="D7" s="110" t="s">
        <v>9</v>
      </c>
      <c r="E7" s="110" t="s">
        <v>9</v>
      </c>
      <c r="F7" s="110" t="s">
        <v>9</v>
      </c>
      <c r="G7" s="110" t="s">
        <v>9</v>
      </c>
      <c r="H7" s="3">
        <v>15</v>
      </c>
      <c r="I7" s="5">
        <v>0</v>
      </c>
      <c r="J7" s="3"/>
      <c r="K7" s="4"/>
      <c r="L7" s="5" t="s">
        <v>122</v>
      </c>
      <c r="M7" s="3" t="str">
        <f>Table1[[#This Row],[Slaggmängd]]&amp;Table1[[#This Row],[Gjuttemperatur]]&amp;Table1[[#This Row],[Temperatur motgjutningsyta]]&amp;Table1[[#This Row],[Värmekabel]]&amp;Table1[[#This Row],[Antal värmekablar]]&amp;Table1[[#This Row],[Täckning '[mm']]]&amp;Table1[[#This Row],[Formisolering '[mm']]]&amp;Table1[[#This Row],[OK&lt;17 Timamr]]&amp;Table1[[#This Row],[Kommentar]]</f>
        <v>-------Når ej 6 MPa</v>
      </c>
    </row>
    <row r="8" spans="1:20" x14ac:dyDescent="0.25">
      <c r="A8" t="s">
        <v>9</v>
      </c>
      <c r="B8" s="110" t="s">
        <v>9</v>
      </c>
      <c r="C8" s="110" t="s">
        <v>9</v>
      </c>
      <c r="D8" s="110" t="s">
        <v>9</v>
      </c>
      <c r="E8" s="110" t="s">
        <v>9</v>
      </c>
      <c r="F8" s="110" t="s">
        <v>9</v>
      </c>
      <c r="G8" s="110" t="s">
        <v>9</v>
      </c>
      <c r="H8" s="6">
        <v>15</v>
      </c>
      <c r="I8" s="7">
        <v>2</v>
      </c>
      <c r="J8" s="6"/>
      <c r="L8" s="7" t="s">
        <v>122</v>
      </c>
      <c r="M8" s="6" t="str">
        <f>Table1[[#This Row],[Slaggmängd]]&amp;Table1[[#This Row],[Gjuttemperatur]]&amp;Table1[[#This Row],[Temperatur motgjutningsyta]]&amp;Table1[[#This Row],[Värmekabel]]&amp;Table1[[#This Row],[Antal värmekablar]]&amp;Table1[[#This Row],[Täckning '[mm']]]&amp;Table1[[#This Row],[Formisolering '[mm']]]&amp;Table1[[#This Row],[OK&lt;17 Timamr]]&amp;Table1[[#This Row],[Kommentar]]</f>
        <v>-------Når ej 6 MPa</v>
      </c>
    </row>
    <row r="9" spans="1:20" x14ac:dyDescent="0.25">
      <c r="A9" t="s">
        <v>9</v>
      </c>
      <c r="B9" s="110" t="s">
        <v>9</v>
      </c>
      <c r="C9" s="110" t="s">
        <v>9</v>
      </c>
      <c r="D9" s="110" t="s">
        <v>9</v>
      </c>
      <c r="E9" s="110" t="s">
        <v>9</v>
      </c>
      <c r="F9" s="110" t="s">
        <v>9</v>
      </c>
      <c r="G9" s="110" t="s">
        <v>9</v>
      </c>
      <c r="H9" s="6">
        <v>15</v>
      </c>
      <c r="I9" s="7">
        <v>7</v>
      </c>
      <c r="J9" s="6"/>
      <c r="L9" s="7" t="s">
        <v>122</v>
      </c>
      <c r="M9" s="6" t="str">
        <f>Table1[[#This Row],[Slaggmängd]]&amp;Table1[[#This Row],[Gjuttemperatur]]&amp;Table1[[#This Row],[Temperatur motgjutningsyta]]&amp;Table1[[#This Row],[Värmekabel]]&amp;Table1[[#This Row],[Antal värmekablar]]&amp;Table1[[#This Row],[Täckning '[mm']]]&amp;Table1[[#This Row],[Formisolering '[mm']]]&amp;Table1[[#This Row],[OK&lt;17 Timamr]]&amp;Table1[[#This Row],[Kommentar]]</f>
        <v>-------Når ej 6 MPa</v>
      </c>
    </row>
    <row r="10" spans="1:20" x14ac:dyDescent="0.25">
      <c r="A10" t="s">
        <v>9</v>
      </c>
      <c r="B10" s="110" t="s">
        <v>9</v>
      </c>
      <c r="C10" s="110" t="s">
        <v>9</v>
      </c>
      <c r="D10" s="110" t="s">
        <v>9</v>
      </c>
      <c r="E10" s="110" t="s">
        <v>9</v>
      </c>
      <c r="F10" s="110" t="s">
        <v>9</v>
      </c>
      <c r="G10" s="110" t="s">
        <v>9</v>
      </c>
      <c r="H10" s="6">
        <v>15</v>
      </c>
      <c r="I10" s="7">
        <v>12</v>
      </c>
      <c r="J10" s="6"/>
      <c r="L10" s="7" t="s">
        <v>122</v>
      </c>
      <c r="M10" s="6" t="str">
        <f>Table1[[#This Row],[Slaggmängd]]&amp;Table1[[#This Row],[Gjuttemperatur]]&amp;Table1[[#This Row],[Temperatur motgjutningsyta]]&amp;Table1[[#This Row],[Värmekabel]]&amp;Table1[[#This Row],[Antal värmekablar]]&amp;Table1[[#This Row],[Täckning '[mm']]]&amp;Table1[[#This Row],[Formisolering '[mm']]]&amp;Table1[[#This Row],[OK&lt;17 Timamr]]&amp;Table1[[#This Row],[Kommentar]]</f>
        <v>-------Når ej 6 MPa</v>
      </c>
    </row>
    <row r="11" spans="1:20" ht="15.75" thickBot="1" x14ac:dyDescent="0.3">
      <c r="A11" t="s">
        <v>9</v>
      </c>
      <c r="B11" s="110" t="s">
        <v>9</v>
      </c>
      <c r="C11" s="110" t="s">
        <v>9</v>
      </c>
      <c r="D11" s="110" t="s">
        <v>9</v>
      </c>
      <c r="E11" s="110" t="s">
        <v>9</v>
      </c>
      <c r="F11" s="110" t="s">
        <v>9</v>
      </c>
      <c r="G11" s="110" t="s">
        <v>9</v>
      </c>
      <c r="H11" s="8">
        <v>15</v>
      </c>
      <c r="I11" s="10">
        <v>20</v>
      </c>
      <c r="J11" s="8"/>
      <c r="K11" s="9"/>
      <c r="L11" s="10" t="s">
        <v>122</v>
      </c>
      <c r="M11" s="8" t="str">
        <f>Table1[[#This Row],[Slaggmängd]]&amp;Table1[[#This Row],[Gjuttemperatur]]&amp;Table1[[#This Row],[Temperatur motgjutningsyta]]&amp;Table1[[#This Row],[Värmekabel]]&amp;Table1[[#This Row],[Antal värmekablar]]&amp;Table1[[#This Row],[Täckning '[mm']]]&amp;Table1[[#This Row],[Formisolering '[mm']]]&amp;Table1[[#This Row],[OK&lt;17 Timamr]]&amp;Table1[[#This Row],[Kommentar]]</f>
        <v>-------Når ej 6 MPa</v>
      </c>
    </row>
    <row r="12" spans="1:20" x14ac:dyDescent="0.25">
      <c r="A12" s="4" t="s">
        <v>9</v>
      </c>
      <c r="B12" s="107" t="s">
        <v>9</v>
      </c>
      <c r="C12" s="107" t="s">
        <v>9</v>
      </c>
      <c r="D12" s="107" t="s">
        <v>9</v>
      </c>
      <c r="E12" s="107" t="s">
        <v>9</v>
      </c>
      <c r="F12" s="107" t="s">
        <v>9</v>
      </c>
      <c r="G12" s="114" t="s">
        <v>9</v>
      </c>
      <c r="H12" s="3">
        <v>10</v>
      </c>
      <c r="I12" s="5">
        <v>0</v>
      </c>
      <c r="J12" s="3"/>
      <c r="K12" s="4"/>
      <c r="L12" s="5" t="s">
        <v>122</v>
      </c>
      <c r="M12" s="3" t="str">
        <f>Table1[[#This Row],[Slaggmängd]]&amp;Table1[[#This Row],[Gjuttemperatur]]&amp;Table1[[#This Row],[Temperatur motgjutningsyta]]&amp;Table1[[#This Row],[Värmekabel]]&amp;Table1[[#This Row],[Antal värmekablar]]&amp;Table1[[#This Row],[Täckning '[mm']]]&amp;Table1[[#This Row],[Formisolering '[mm']]]&amp;Table1[[#This Row],[OK&lt;17 Timamr]]&amp;Table1[[#This Row],[Kommentar]]</f>
        <v>-------Når ej 6 MPa</v>
      </c>
    </row>
    <row r="13" spans="1:20" x14ac:dyDescent="0.25">
      <c r="A13" t="s">
        <v>9</v>
      </c>
      <c r="B13" s="110" t="s">
        <v>9</v>
      </c>
      <c r="C13" s="110" t="s">
        <v>9</v>
      </c>
      <c r="D13" s="110" t="s">
        <v>9</v>
      </c>
      <c r="E13" s="110" t="s">
        <v>9</v>
      </c>
      <c r="F13" s="110" t="s">
        <v>9</v>
      </c>
      <c r="G13" s="111" t="s">
        <v>9</v>
      </c>
      <c r="H13" s="6">
        <v>10</v>
      </c>
      <c r="I13" s="7">
        <v>2</v>
      </c>
      <c r="J13" s="6"/>
      <c r="L13" s="7" t="s">
        <v>122</v>
      </c>
      <c r="M13" s="6" t="str">
        <f>Table1[[#This Row],[Slaggmängd]]&amp;Table1[[#This Row],[Gjuttemperatur]]&amp;Table1[[#This Row],[Temperatur motgjutningsyta]]&amp;Table1[[#This Row],[Värmekabel]]&amp;Table1[[#This Row],[Antal värmekablar]]&amp;Table1[[#This Row],[Täckning '[mm']]]&amp;Table1[[#This Row],[Formisolering '[mm']]]&amp;Table1[[#This Row],[OK&lt;17 Timamr]]&amp;Table1[[#This Row],[Kommentar]]</f>
        <v>-------Når ej 6 MPa</v>
      </c>
    </row>
    <row r="14" spans="1:20" x14ac:dyDescent="0.25">
      <c r="A14" t="s">
        <v>9</v>
      </c>
      <c r="B14" s="110" t="s">
        <v>9</v>
      </c>
      <c r="C14" s="110" t="s">
        <v>9</v>
      </c>
      <c r="D14" s="110" t="s">
        <v>9</v>
      </c>
      <c r="E14" s="110" t="s">
        <v>9</v>
      </c>
      <c r="F14" s="110" t="s">
        <v>9</v>
      </c>
      <c r="G14" s="111" t="s">
        <v>9</v>
      </c>
      <c r="H14" s="6">
        <v>10</v>
      </c>
      <c r="I14" s="7">
        <v>7</v>
      </c>
      <c r="J14" s="6"/>
      <c r="L14" s="7" t="s">
        <v>122</v>
      </c>
      <c r="M14" s="6" t="str">
        <f>Table1[[#This Row],[Slaggmängd]]&amp;Table1[[#This Row],[Gjuttemperatur]]&amp;Table1[[#This Row],[Temperatur motgjutningsyta]]&amp;Table1[[#This Row],[Värmekabel]]&amp;Table1[[#This Row],[Antal värmekablar]]&amp;Table1[[#This Row],[Täckning '[mm']]]&amp;Table1[[#This Row],[Formisolering '[mm']]]&amp;Table1[[#This Row],[OK&lt;17 Timamr]]&amp;Table1[[#This Row],[Kommentar]]</f>
        <v>-------Når ej 6 MPa</v>
      </c>
    </row>
    <row r="15" spans="1:20" x14ac:dyDescent="0.25">
      <c r="A15" t="s">
        <v>9</v>
      </c>
      <c r="B15" s="110" t="s">
        <v>9</v>
      </c>
      <c r="C15" s="110" t="s">
        <v>9</v>
      </c>
      <c r="D15" s="110" t="s">
        <v>9</v>
      </c>
      <c r="E15" s="110" t="s">
        <v>9</v>
      </c>
      <c r="F15" s="110" t="s">
        <v>9</v>
      </c>
      <c r="G15" s="111" t="s">
        <v>9</v>
      </c>
      <c r="H15" s="6">
        <v>10</v>
      </c>
      <c r="I15" s="7">
        <v>12</v>
      </c>
      <c r="J15" s="6"/>
      <c r="L15" s="7" t="s">
        <v>122</v>
      </c>
      <c r="M15" s="6" t="str">
        <f>Table1[[#This Row],[Slaggmängd]]&amp;Table1[[#This Row],[Gjuttemperatur]]&amp;Table1[[#This Row],[Temperatur motgjutningsyta]]&amp;Table1[[#This Row],[Värmekabel]]&amp;Table1[[#This Row],[Antal värmekablar]]&amp;Table1[[#This Row],[Täckning '[mm']]]&amp;Table1[[#This Row],[Formisolering '[mm']]]&amp;Table1[[#This Row],[OK&lt;17 Timamr]]&amp;Table1[[#This Row],[Kommentar]]</f>
        <v>-------Når ej 6 MPa</v>
      </c>
    </row>
    <row r="16" spans="1:20" ht="15.75" thickBot="1" x14ac:dyDescent="0.3">
      <c r="A16" s="9" t="s">
        <v>9</v>
      </c>
      <c r="B16" s="112" t="s">
        <v>9</v>
      </c>
      <c r="C16" s="112" t="s">
        <v>9</v>
      </c>
      <c r="D16" s="112" t="s">
        <v>9</v>
      </c>
      <c r="E16" s="112" t="s">
        <v>9</v>
      </c>
      <c r="F16" s="112" t="s">
        <v>9</v>
      </c>
      <c r="G16" s="113" t="s">
        <v>9</v>
      </c>
      <c r="H16" s="8">
        <v>10</v>
      </c>
      <c r="I16" s="10">
        <v>20</v>
      </c>
      <c r="J16" s="8"/>
      <c r="K16" s="9"/>
      <c r="L16" s="10" t="s">
        <v>122</v>
      </c>
      <c r="M16" s="8" t="str">
        <f>Table1[[#This Row],[Slaggmängd]]&amp;Table1[[#This Row],[Gjuttemperatur]]&amp;Table1[[#This Row],[Temperatur motgjutningsyta]]&amp;Table1[[#This Row],[Värmekabel]]&amp;Table1[[#This Row],[Antal värmekablar]]&amp;Table1[[#This Row],[Täckning '[mm']]]&amp;Table1[[#This Row],[Formisolering '[mm']]]&amp;Table1[[#This Row],[OK&lt;17 Timamr]]&amp;Table1[[#This Row],[Kommentar]]</f>
        <v>-------Når ej 6 MPa</v>
      </c>
    </row>
    <row r="17" spans="1:13" x14ac:dyDescent="0.25">
      <c r="A17" t="s">
        <v>48</v>
      </c>
      <c r="B17" s="110">
        <v>20</v>
      </c>
      <c r="C17" s="110">
        <v>5</v>
      </c>
      <c r="D17" s="110">
        <v>40</v>
      </c>
      <c r="E17" s="110">
        <v>2</v>
      </c>
      <c r="F17" s="110" t="s">
        <v>9</v>
      </c>
      <c r="G17" s="110" t="s">
        <v>125</v>
      </c>
      <c r="H17" s="3">
        <v>5</v>
      </c>
      <c r="I17" s="5">
        <v>0</v>
      </c>
      <c r="J17" s="4">
        <v>17</v>
      </c>
      <c r="K17" s="4" t="s">
        <v>101</v>
      </c>
      <c r="L17" s="5"/>
      <c r="M17" s="3" t="str">
        <f>Table1[[#This Row],[Slaggmängd]]&amp;Table1[[#This Row],[Gjuttemperatur]]&amp;Table1[[#This Row],[Temperatur motgjutningsyta]]&amp;Table1[[#This Row],[Värmekabel]]&amp;Table1[[#This Row],[Antal värmekablar]]&amp;Table1[[#This Row],[Täckning '[mm']]]&amp;Table1[[#This Row],[Formisolering '[mm']]]&amp;Table1[[#This Row],[OK&lt;17 Timamr]]&amp;Table1[[#This Row],[Kommentar]]</f>
        <v>Bas+0%205402-Plywood 12-19  cellplast 50OK17</v>
      </c>
    </row>
    <row r="18" spans="1:13" x14ac:dyDescent="0.25">
      <c r="A18" t="s">
        <v>48</v>
      </c>
      <c r="B18" s="110">
        <v>20</v>
      </c>
      <c r="C18" s="110">
        <v>5</v>
      </c>
      <c r="D18" s="110">
        <v>40</v>
      </c>
      <c r="E18" s="110">
        <v>2</v>
      </c>
      <c r="F18" s="110">
        <v>10</v>
      </c>
      <c r="G18" s="110" t="s">
        <v>128</v>
      </c>
      <c r="H18" s="6">
        <v>5</v>
      </c>
      <c r="I18" s="7">
        <v>2</v>
      </c>
      <c r="J18">
        <v>17</v>
      </c>
      <c r="K18" t="s">
        <v>101</v>
      </c>
      <c r="L18" s="7"/>
      <c r="M18" s="6" t="str">
        <f>Table1[[#This Row],[Slaggmängd]]&amp;Table1[[#This Row],[Gjuttemperatur]]&amp;Table1[[#This Row],[Temperatur motgjutningsyta]]&amp;Table1[[#This Row],[Värmekabel]]&amp;Table1[[#This Row],[Antal värmekablar]]&amp;Table1[[#This Row],[Täckning '[mm']]]&amp;Table1[[#This Row],[Formisolering '[mm']]]&amp;Table1[[#This Row],[OK&lt;17 Timamr]]&amp;Table1[[#This Row],[Kommentar]]</f>
        <v>Bas+0%20540210Plywood 12-19 cellplast 120OK17</v>
      </c>
    </row>
    <row r="19" spans="1:13" x14ac:dyDescent="0.25">
      <c r="A19" t="s">
        <v>9</v>
      </c>
      <c r="B19" s="110" t="s">
        <v>9</v>
      </c>
      <c r="C19" s="110" t="s">
        <v>9</v>
      </c>
      <c r="D19" s="110" t="s">
        <v>9</v>
      </c>
      <c r="E19" s="110" t="s">
        <v>9</v>
      </c>
      <c r="F19" s="110" t="s">
        <v>9</v>
      </c>
      <c r="G19" s="110" t="s">
        <v>9</v>
      </c>
      <c r="H19" s="6">
        <v>5</v>
      </c>
      <c r="I19" s="7">
        <v>7</v>
      </c>
      <c r="L19" s="7" t="s">
        <v>122</v>
      </c>
      <c r="M19" s="6" t="str">
        <f>Table1[[#This Row],[Slaggmängd]]&amp;Table1[[#This Row],[Gjuttemperatur]]&amp;Table1[[#This Row],[Temperatur motgjutningsyta]]&amp;Table1[[#This Row],[Värmekabel]]&amp;Table1[[#This Row],[Antal värmekablar]]&amp;Table1[[#This Row],[Täckning '[mm']]]&amp;Table1[[#This Row],[Formisolering '[mm']]]&amp;Table1[[#This Row],[OK&lt;17 Timamr]]&amp;Table1[[#This Row],[Kommentar]]</f>
        <v>-------Når ej 6 MPa</v>
      </c>
    </row>
    <row r="20" spans="1:13" x14ac:dyDescent="0.25">
      <c r="A20" t="s">
        <v>9</v>
      </c>
      <c r="B20" s="110" t="s">
        <v>9</v>
      </c>
      <c r="C20" s="110" t="s">
        <v>9</v>
      </c>
      <c r="D20" s="110" t="s">
        <v>9</v>
      </c>
      <c r="E20" s="110" t="s">
        <v>9</v>
      </c>
      <c r="F20" s="110" t="s">
        <v>9</v>
      </c>
      <c r="G20" s="110" t="s">
        <v>9</v>
      </c>
      <c r="H20" s="6">
        <v>5</v>
      </c>
      <c r="I20" s="7">
        <v>12</v>
      </c>
      <c r="L20" s="7" t="s">
        <v>122</v>
      </c>
      <c r="M20" s="6" t="str">
        <f>Table1[[#This Row],[Slaggmängd]]&amp;Table1[[#This Row],[Gjuttemperatur]]&amp;Table1[[#This Row],[Temperatur motgjutningsyta]]&amp;Table1[[#This Row],[Värmekabel]]&amp;Table1[[#This Row],[Antal värmekablar]]&amp;Table1[[#This Row],[Täckning '[mm']]]&amp;Table1[[#This Row],[Formisolering '[mm']]]&amp;Table1[[#This Row],[OK&lt;17 Timamr]]&amp;Table1[[#This Row],[Kommentar]]</f>
        <v>-------Når ej 6 MPa</v>
      </c>
    </row>
    <row r="21" spans="1:13" ht="15.75" thickBot="1" x14ac:dyDescent="0.3">
      <c r="A21" t="s">
        <v>9</v>
      </c>
      <c r="B21" s="110" t="s">
        <v>9</v>
      </c>
      <c r="C21" s="110" t="s">
        <v>9</v>
      </c>
      <c r="D21" s="110" t="s">
        <v>9</v>
      </c>
      <c r="E21" s="110" t="s">
        <v>9</v>
      </c>
      <c r="F21" s="110" t="s">
        <v>9</v>
      </c>
      <c r="G21" s="110" t="s">
        <v>9</v>
      </c>
      <c r="H21" s="8">
        <v>5</v>
      </c>
      <c r="I21" s="10">
        <v>20</v>
      </c>
      <c r="J21" s="9"/>
      <c r="K21" s="9"/>
      <c r="L21" s="10" t="s">
        <v>122</v>
      </c>
      <c r="M21" s="8" t="str">
        <f>Table1[[#This Row],[Slaggmängd]]&amp;Table1[[#This Row],[Gjuttemperatur]]&amp;Table1[[#This Row],[Temperatur motgjutningsyta]]&amp;Table1[[#This Row],[Värmekabel]]&amp;Table1[[#This Row],[Antal värmekablar]]&amp;Table1[[#This Row],[Täckning '[mm']]]&amp;Table1[[#This Row],[Formisolering '[mm']]]&amp;Table1[[#This Row],[OK&lt;17 Timamr]]&amp;Table1[[#This Row],[Kommentar]]</f>
        <v>-------Når ej 6 MPa</v>
      </c>
    </row>
    <row r="22" spans="1:13" x14ac:dyDescent="0.25">
      <c r="A22" s="4" t="s">
        <v>48</v>
      </c>
      <c r="B22" s="107">
        <v>20</v>
      </c>
      <c r="C22" s="107">
        <v>5</v>
      </c>
      <c r="D22" s="107">
        <v>40</v>
      </c>
      <c r="E22" s="107">
        <v>3</v>
      </c>
      <c r="F22" s="107">
        <v>10</v>
      </c>
      <c r="G22" s="114" t="s">
        <v>126</v>
      </c>
      <c r="H22" s="3">
        <v>0</v>
      </c>
      <c r="I22" s="5">
        <v>0</v>
      </c>
      <c r="J22" s="4">
        <v>16.899999999999999</v>
      </c>
      <c r="K22" s="4" t="s">
        <v>101</v>
      </c>
      <c r="L22" s="5"/>
      <c r="M22" s="3" t="str">
        <f>Table1[[#This Row],[Slaggmängd]]&amp;Table1[[#This Row],[Gjuttemperatur]]&amp;Table1[[#This Row],[Temperatur motgjutningsyta]]&amp;Table1[[#This Row],[Värmekabel]]&amp;Table1[[#This Row],[Antal värmekablar]]&amp;Table1[[#This Row],[Täckning '[mm']]]&amp;Table1[[#This Row],[Formisolering '[mm']]]&amp;Table1[[#This Row],[OK&lt;17 Timamr]]&amp;Table1[[#This Row],[Kommentar]]</f>
        <v>Bas+0%20540310Plywood 12-19 cellplast 70OK17</v>
      </c>
    </row>
    <row r="23" spans="1:13" x14ac:dyDescent="0.25">
      <c r="A23" t="s">
        <v>9</v>
      </c>
      <c r="B23" s="110" t="s">
        <v>9</v>
      </c>
      <c r="C23" s="110" t="s">
        <v>9</v>
      </c>
      <c r="D23" s="110" t="s">
        <v>9</v>
      </c>
      <c r="E23" s="110" t="s">
        <v>9</v>
      </c>
      <c r="F23" s="110" t="s">
        <v>9</v>
      </c>
      <c r="G23" s="111" t="s">
        <v>9</v>
      </c>
      <c r="H23" s="6">
        <v>0</v>
      </c>
      <c r="I23" s="7">
        <v>2</v>
      </c>
      <c r="L23" s="7" t="s">
        <v>122</v>
      </c>
      <c r="M23" s="6" t="str">
        <f>Table1[[#This Row],[Slaggmängd]]&amp;Table1[[#This Row],[Gjuttemperatur]]&amp;Table1[[#This Row],[Temperatur motgjutningsyta]]&amp;Table1[[#This Row],[Värmekabel]]&amp;Table1[[#This Row],[Antal värmekablar]]&amp;Table1[[#This Row],[Täckning '[mm']]]&amp;Table1[[#This Row],[Formisolering '[mm']]]&amp;Table1[[#This Row],[OK&lt;17 Timamr]]&amp;Table1[[#This Row],[Kommentar]]</f>
        <v>-------Når ej 6 MPa</v>
      </c>
    </row>
    <row r="24" spans="1:13" x14ac:dyDescent="0.25">
      <c r="A24" t="s">
        <v>9</v>
      </c>
      <c r="B24" s="110" t="s">
        <v>9</v>
      </c>
      <c r="C24" s="110" t="s">
        <v>9</v>
      </c>
      <c r="D24" s="110" t="s">
        <v>9</v>
      </c>
      <c r="E24" s="110" t="s">
        <v>9</v>
      </c>
      <c r="F24" s="110" t="s">
        <v>9</v>
      </c>
      <c r="G24" s="111" t="s">
        <v>9</v>
      </c>
      <c r="H24" s="6">
        <v>0</v>
      </c>
      <c r="I24" s="7">
        <v>7</v>
      </c>
      <c r="L24" s="7" t="s">
        <v>122</v>
      </c>
      <c r="M24" s="6" t="str">
        <f>Table1[[#This Row],[Slaggmängd]]&amp;Table1[[#This Row],[Gjuttemperatur]]&amp;Table1[[#This Row],[Temperatur motgjutningsyta]]&amp;Table1[[#This Row],[Värmekabel]]&amp;Table1[[#This Row],[Antal värmekablar]]&amp;Table1[[#This Row],[Täckning '[mm']]]&amp;Table1[[#This Row],[Formisolering '[mm']]]&amp;Table1[[#This Row],[OK&lt;17 Timamr]]&amp;Table1[[#This Row],[Kommentar]]</f>
        <v>-------Når ej 6 MPa</v>
      </c>
    </row>
    <row r="25" spans="1:13" x14ac:dyDescent="0.25">
      <c r="A25" t="s">
        <v>9</v>
      </c>
      <c r="B25" s="110" t="s">
        <v>9</v>
      </c>
      <c r="C25" s="110" t="s">
        <v>9</v>
      </c>
      <c r="D25" s="110" t="s">
        <v>9</v>
      </c>
      <c r="E25" s="110" t="s">
        <v>9</v>
      </c>
      <c r="F25" s="110" t="s">
        <v>9</v>
      </c>
      <c r="G25" s="111" t="s">
        <v>9</v>
      </c>
      <c r="H25" s="6">
        <v>0</v>
      </c>
      <c r="I25" s="7">
        <v>12</v>
      </c>
      <c r="L25" s="7" t="s">
        <v>122</v>
      </c>
      <c r="M25" s="6" t="str">
        <f>Table1[[#This Row],[Slaggmängd]]&amp;Table1[[#This Row],[Gjuttemperatur]]&amp;Table1[[#This Row],[Temperatur motgjutningsyta]]&amp;Table1[[#This Row],[Värmekabel]]&amp;Table1[[#This Row],[Antal värmekablar]]&amp;Table1[[#This Row],[Täckning '[mm']]]&amp;Table1[[#This Row],[Formisolering '[mm']]]&amp;Table1[[#This Row],[OK&lt;17 Timamr]]&amp;Table1[[#This Row],[Kommentar]]</f>
        <v>-------Når ej 6 MPa</v>
      </c>
    </row>
    <row r="26" spans="1:13" ht="15.75" thickBot="1" x14ac:dyDescent="0.3">
      <c r="A26" s="9" t="s">
        <v>9</v>
      </c>
      <c r="B26" s="112" t="s">
        <v>9</v>
      </c>
      <c r="C26" s="112" t="s">
        <v>9</v>
      </c>
      <c r="D26" s="112" t="s">
        <v>9</v>
      </c>
      <c r="E26" s="112" t="s">
        <v>9</v>
      </c>
      <c r="F26" s="112" t="s">
        <v>9</v>
      </c>
      <c r="G26" s="113" t="s">
        <v>9</v>
      </c>
      <c r="H26" s="8">
        <v>0</v>
      </c>
      <c r="I26" s="10">
        <v>20</v>
      </c>
      <c r="J26" s="9"/>
      <c r="K26" s="9"/>
      <c r="L26" s="10" t="s">
        <v>122</v>
      </c>
      <c r="M26" s="8" t="str">
        <f>Table1[[#This Row],[Slaggmängd]]&amp;Table1[[#This Row],[Gjuttemperatur]]&amp;Table1[[#This Row],[Temperatur motgjutningsyta]]&amp;Table1[[#This Row],[Värmekabel]]&amp;Table1[[#This Row],[Antal värmekablar]]&amp;Table1[[#This Row],[Täckning '[mm']]]&amp;Table1[[#This Row],[Formisolering '[mm']]]&amp;Table1[[#This Row],[OK&lt;17 Timamr]]&amp;Table1[[#This Row],[Kommentar]]</f>
        <v>-------Når ej 6 MPa</v>
      </c>
    </row>
    <row r="27" spans="1:13" x14ac:dyDescent="0.25">
      <c r="A27" s="4" t="s">
        <v>9</v>
      </c>
      <c r="B27" s="107" t="s">
        <v>9</v>
      </c>
      <c r="C27" s="107" t="s">
        <v>9</v>
      </c>
      <c r="D27" s="107" t="s">
        <v>9</v>
      </c>
      <c r="E27" s="107" t="s">
        <v>9</v>
      </c>
      <c r="F27" s="107" t="s">
        <v>9</v>
      </c>
      <c r="G27" s="114" t="s">
        <v>9</v>
      </c>
      <c r="H27" s="3">
        <v>-5</v>
      </c>
      <c r="I27" s="5">
        <v>0</v>
      </c>
      <c r="J27" s="4"/>
      <c r="K27" s="4"/>
      <c r="L27" s="5" t="s">
        <v>122</v>
      </c>
      <c r="M27" s="3" t="str">
        <f>Table1[[#This Row],[Slaggmängd]]&amp;Table1[[#This Row],[Gjuttemperatur]]&amp;Table1[[#This Row],[Temperatur motgjutningsyta]]&amp;Table1[[#This Row],[Värmekabel]]&amp;Table1[[#This Row],[Antal värmekablar]]&amp;Table1[[#This Row],[Täckning '[mm']]]&amp;Table1[[#This Row],[Formisolering '[mm']]]&amp;Table1[[#This Row],[OK&lt;17 Timamr]]&amp;Table1[[#This Row],[Kommentar]]</f>
        <v>-------Når ej 6 MPa</v>
      </c>
    </row>
    <row r="28" spans="1:13" x14ac:dyDescent="0.25">
      <c r="A28" t="s">
        <v>9</v>
      </c>
      <c r="B28" s="110" t="s">
        <v>9</v>
      </c>
      <c r="C28" s="110" t="s">
        <v>9</v>
      </c>
      <c r="D28" s="110" t="s">
        <v>9</v>
      </c>
      <c r="E28" s="110" t="s">
        <v>9</v>
      </c>
      <c r="F28" s="110" t="s">
        <v>9</v>
      </c>
      <c r="G28" s="111" t="s">
        <v>9</v>
      </c>
      <c r="H28" s="6">
        <v>-5</v>
      </c>
      <c r="I28" s="7">
        <v>2</v>
      </c>
      <c r="L28" s="7" t="s">
        <v>122</v>
      </c>
      <c r="M28" s="6" t="str">
        <f>Table1[[#This Row],[Slaggmängd]]&amp;Table1[[#This Row],[Gjuttemperatur]]&amp;Table1[[#This Row],[Temperatur motgjutningsyta]]&amp;Table1[[#This Row],[Värmekabel]]&amp;Table1[[#This Row],[Antal värmekablar]]&amp;Table1[[#This Row],[Täckning '[mm']]]&amp;Table1[[#This Row],[Formisolering '[mm']]]&amp;Table1[[#This Row],[OK&lt;17 Timamr]]&amp;Table1[[#This Row],[Kommentar]]</f>
        <v>-------Når ej 6 MPa</v>
      </c>
    </row>
    <row r="29" spans="1:13" x14ac:dyDescent="0.25">
      <c r="A29" t="s">
        <v>9</v>
      </c>
      <c r="B29" s="110" t="s">
        <v>9</v>
      </c>
      <c r="C29" s="110" t="s">
        <v>9</v>
      </c>
      <c r="D29" s="110" t="s">
        <v>9</v>
      </c>
      <c r="E29" s="110" t="s">
        <v>9</v>
      </c>
      <c r="F29" s="110" t="s">
        <v>9</v>
      </c>
      <c r="G29" s="111" t="s">
        <v>9</v>
      </c>
      <c r="H29" s="6">
        <v>-5</v>
      </c>
      <c r="I29" s="7">
        <v>7</v>
      </c>
      <c r="L29" s="7" t="s">
        <v>122</v>
      </c>
      <c r="M29" s="6" t="str">
        <f>Table1[[#This Row],[Slaggmängd]]&amp;Table1[[#This Row],[Gjuttemperatur]]&amp;Table1[[#This Row],[Temperatur motgjutningsyta]]&amp;Table1[[#This Row],[Värmekabel]]&amp;Table1[[#This Row],[Antal värmekablar]]&amp;Table1[[#This Row],[Täckning '[mm']]]&amp;Table1[[#This Row],[Formisolering '[mm']]]&amp;Table1[[#This Row],[OK&lt;17 Timamr]]&amp;Table1[[#This Row],[Kommentar]]</f>
        <v>-------Når ej 6 MPa</v>
      </c>
    </row>
    <row r="30" spans="1:13" x14ac:dyDescent="0.25">
      <c r="A30" t="s">
        <v>9</v>
      </c>
      <c r="B30" s="110" t="s">
        <v>9</v>
      </c>
      <c r="C30" s="110" t="s">
        <v>9</v>
      </c>
      <c r="D30" s="110" t="s">
        <v>9</v>
      </c>
      <c r="E30" s="110" t="s">
        <v>9</v>
      </c>
      <c r="F30" s="110" t="s">
        <v>9</v>
      </c>
      <c r="G30" s="111" t="s">
        <v>9</v>
      </c>
      <c r="H30" s="6">
        <v>-5</v>
      </c>
      <c r="I30" s="7">
        <v>12</v>
      </c>
      <c r="L30" s="7" t="s">
        <v>122</v>
      </c>
      <c r="M30" s="6" t="str">
        <f>Table1[[#This Row],[Slaggmängd]]&amp;Table1[[#This Row],[Gjuttemperatur]]&amp;Table1[[#This Row],[Temperatur motgjutningsyta]]&amp;Table1[[#This Row],[Värmekabel]]&amp;Table1[[#This Row],[Antal värmekablar]]&amp;Table1[[#This Row],[Täckning '[mm']]]&amp;Table1[[#This Row],[Formisolering '[mm']]]&amp;Table1[[#This Row],[OK&lt;17 Timamr]]&amp;Table1[[#This Row],[Kommentar]]</f>
        <v>-------Når ej 6 MPa</v>
      </c>
    </row>
    <row r="31" spans="1:13" ht="15.75" thickBot="1" x14ac:dyDescent="0.3">
      <c r="A31" s="9" t="s">
        <v>9</v>
      </c>
      <c r="B31" s="112" t="s">
        <v>9</v>
      </c>
      <c r="C31" s="112" t="s">
        <v>9</v>
      </c>
      <c r="D31" s="112" t="s">
        <v>9</v>
      </c>
      <c r="E31" s="112" t="s">
        <v>9</v>
      </c>
      <c r="F31" s="112" t="s">
        <v>9</v>
      </c>
      <c r="G31" s="113" t="s">
        <v>9</v>
      </c>
      <c r="H31" s="8">
        <v>-5</v>
      </c>
      <c r="I31" s="10">
        <v>20</v>
      </c>
      <c r="J31" s="9"/>
      <c r="K31" s="9"/>
      <c r="L31" s="10" t="s">
        <v>100</v>
      </c>
      <c r="M31" s="8" t="str">
        <f>Table1[[#This Row],[Slaggmängd]]&amp;Table1[[#This Row],[Gjuttemperatur]]&amp;Table1[[#This Row],[Temperatur motgjutningsyta]]&amp;Table1[[#This Row],[Värmekabel]]&amp;Table1[[#This Row],[Antal värmekablar]]&amp;Table1[[#This Row],[Täckning '[mm']]]&amp;Table1[[#This Row],[Formisolering '[mm']]]&amp;Table1[[#This Row],[OK&lt;17 Timamr]]&amp;Table1[[#This Row],[Kommentar]]</f>
        <v>-------Fryser innan täck</v>
      </c>
    </row>
    <row r="32" spans="1:13" x14ac:dyDescent="0.25">
      <c r="A32" s="4" t="s">
        <v>9</v>
      </c>
      <c r="B32" s="107" t="s">
        <v>9</v>
      </c>
      <c r="C32" s="107" t="s">
        <v>9</v>
      </c>
      <c r="D32" s="107" t="s">
        <v>9</v>
      </c>
      <c r="E32" s="107" t="s">
        <v>9</v>
      </c>
      <c r="F32" s="107" t="s">
        <v>9</v>
      </c>
      <c r="G32" s="114" t="s">
        <v>9</v>
      </c>
      <c r="H32" s="3">
        <v>-10</v>
      </c>
      <c r="I32" s="5">
        <v>0</v>
      </c>
      <c r="J32" s="4"/>
      <c r="K32" s="4"/>
      <c r="L32" s="5" t="s">
        <v>122</v>
      </c>
      <c r="M32" s="3" t="str">
        <f>Table1[[#This Row],[Slaggmängd]]&amp;Table1[[#This Row],[Gjuttemperatur]]&amp;Table1[[#This Row],[Temperatur motgjutningsyta]]&amp;Table1[[#This Row],[Värmekabel]]&amp;Table1[[#This Row],[Antal värmekablar]]&amp;Table1[[#This Row],[Täckning '[mm']]]&amp;Table1[[#This Row],[Formisolering '[mm']]]&amp;Table1[[#This Row],[OK&lt;17 Timamr]]&amp;Table1[[#This Row],[Kommentar]]</f>
        <v>-------Når ej 6 MPa</v>
      </c>
    </row>
    <row r="33" spans="1:13" x14ac:dyDescent="0.25">
      <c r="A33" t="s">
        <v>9</v>
      </c>
      <c r="B33" s="110" t="s">
        <v>9</v>
      </c>
      <c r="C33" s="110" t="s">
        <v>9</v>
      </c>
      <c r="D33" s="110" t="s">
        <v>9</v>
      </c>
      <c r="E33" s="110" t="s">
        <v>9</v>
      </c>
      <c r="F33" s="110" t="s">
        <v>9</v>
      </c>
      <c r="G33" s="111" t="s">
        <v>9</v>
      </c>
      <c r="H33" s="6">
        <v>-10</v>
      </c>
      <c r="I33" s="7">
        <v>2</v>
      </c>
      <c r="L33" s="7" t="s">
        <v>122</v>
      </c>
      <c r="M33" s="6" t="str">
        <f>Table1[[#This Row],[Slaggmängd]]&amp;Table1[[#This Row],[Gjuttemperatur]]&amp;Table1[[#This Row],[Temperatur motgjutningsyta]]&amp;Table1[[#This Row],[Värmekabel]]&amp;Table1[[#This Row],[Antal värmekablar]]&amp;Table1[[#This Row],[Täckning '[mm']]]&amp;Table1[[#This Row],[Formisolering '[mm']]]&amp;Table1[[#This Row],[OK&lt;17 Timamr]]&amp;Table1[[#This Row],[Kommentar]]</f>
        <v>-------Når ej 6 MPa</v>
      </c>
    </row>
    <row r="34" spans="1:13" x14ac:dyDescent="0.25">
      <c r="A34" t="s">
        <v>9</v>
      </c>
      <c r="B34" s="110" t="s">
        <v>9</v>
      </c>
      <c r="C34" s="110" t="s">
        <v>9</v>
      </c>
      <c r="D34" s="110" t="s">
        <v>9</v>
      </c>
      <c r="E34" s="110" t="s">
        <v>9</v>
      </c>
      <c r="F34" s="110" t="s">
        <v>9</v>
      </c>
      <c r="G34" s="111" t="s">
        <v>9</v>
      </c>
      <c r="H34" s="6">
        <v>-10</v>
      </c>
      <c r="I34" s="7">
        <v>7</v>
      </c>
      <c r="L34" s="7" t="s">
        <v>122</v>
      </c>
      <c r="M34" s="6" t="str">
        <f>Table1[[#This Row],[Slaggmängd]]&amp;Table1[[#This Row],[Gjuttemperatur]]&amp;Table1[[#This Row],[Temperatur motgjutningsyta]]&amp;Table1[[#This Row],[Värmekabel]]&amp;Table1[[#This Row],[Antal värmekablar]]&amp;Table1[[#This Row],[Täckning '[mm']]]&amp;Table1[[#This Row],[Formisolering '[mm']]]&amp;Table1[[#This Row],[OK&lt;17 Timamr]]&amp;Table1[[#This Row],[Kommentar]]</f>
        <v>-------Når ej 6 MPa</v>
      </c>
    </row>
    <row r="35" spans="1:13" x14ac:dyDescent="0.25">
      <c r="A35" t="s">
        <v>9</v>
      </c>
      <c r="B35" s="110" t="s">
        <v>9</v>
      </c>
      <c r="C35" s="110" t="s">
        <v>9</v>
      </c>
      <c r="D35" s="110" t="s">
        <v>9</v>
      </c>
      <c r="E35" s="110" t="s">
        <v>9</v>
      </c>
      <c r="F35" s="110" t="s">
        <v>9</v>
      </c>
      <c r="G35" s="111" t="s">
        <v>9</v>
      </c>
      <c r="H35" s="6">
        <v>-10</v>
      </c>
      <c r="I35" s="7">
        <v>12</v>
      </c>
      <c r="L35" s="7" t="s">
        <v>100</v>
      </c>
      <c r="M35" s="6" t="str">
        <f>Table1[[#This Row],[Slaggmängd]]&amp;Table1[[#This Row],[Gjuttemperatur]]&amp;Table1[[#This Row],[Temperatur motgjutningsyta]]&amp;Table1[[#This Row],[Värmekabel]]&amp;Table1[[#This Row],[Antal värmekablar]]&amp;Table1[[#This Row],[Täckning '[mm']]]&amp;Table1[[#This Row],[Formisolering '[mm']]]&amp;Table1[[#This Row],[OK&lt;17 Timamr]]&amp;Table1[[#This Row],[Kommentar]]</f>
        <v>-------Fryser innan täck</v>
      </c>
    </row>
    <row r="36" spans="1:13" ht="15.75" thickBot="1" x14ac:dyDescent="0.3">
      <c r="A36" s="9" t="s">
        <v>9</v>
      </c>
      <c r="B36" s="112" t="s">
        <v>9</v>
      </c>
      <c r="C36" s="112" t="s">
        <v>9</v>
      </c>
      <c r="D36" s="112" t="s">
        <v>9</v>
      </c>
      <c r="E36" s="112" t="s">
        <v>9</v>
      </c>
      <c r="F36" s="112" t="s">
        <v>9</v>
      </c>
      <c r="G36" s="113" t="s">
        <v>9</v>
      </c>
      <c r="H36" s="8">
        <v>-10</v>
      </c>
      <c r="I36" s="10">
        <v>20</v>
      </c>
      <c r="J36" s="9"/>
      <c r="K36" s="9"/>
      <c r="L36" s="10" t="s">
        <v>100</v>
      </c>
      <c r="M36" s="8" t="str">
        <f>Table1[[#This Row],[Slaggmängd]]&amp;Table1[[#This Row],[Gjuttemperatur]]&amp;Table1[[#This Row],[Temperatur motgjutningsyta]]&amp;Table1[[#This Row],[Värmekabel]]&amp;Table1[[#This Row],[Antal värmekablar]]&amp;Table1[[#This Row],[Täckning '[mm']]]&amp;Table1[[#This Row],[Formisolering '[mm']]]&amp;Table1[[#This Row],[OK&lt;17 Timamr]]&amp;Table1[[#This Row],[Kommentar]]</f>
        <v>-------Fryser innan täck</v>
      </c>
    </row>
    <row r="37" spans="1:13" x14ac:dyDescent="0.25">
      <c r="A37" t="s">
        <v>9</v>
      </c>
      <c r="B37" s="110" t="s">
        <v>9</v>
      </c>
      <c r="C37" s="110" t="s">
        <v>9</v>
      </c>
      <c r="D37" s="110" t="s">
        <v>9</v>
      </c>
      <c r="E37" s="110" t="s">
        <v>9</v>
      </c>
      <c r="F37" s="110" t="s">
        <v>9</v>
      </c>
      <c r="G37" s="110" t="s">
        <v>9</v>
      </c>
      <c r="H37" s="3">
        <v>-15</v>
      </c>
      <c r="I37" s="5">
        <v>0</v>
      </c>
      <c r="J37" s="4"/>
      <c r="K37" s="4"/>
      <c r="L37" s="5" t="s">
        <v>122</v>
      </c>
      <c r="M37" s="3" t="str">
        <f>Table1[[#This Row],[Slaggmängd]]&amp;Table1[[#This Row],[Gjuttemperatur]]&amp;Table1[[#This Row],[Temperatur motgjutningsyta]]&amp;Table1[[#This Row],[Värmekabel]]&amp;Table1[[#This Row],[Antal värmekablar]]&amp;Table1[[#This Row],[Täckning '[mm']]]&amp;Table1[[#This Row],[Formisolering '[mm']]]&amp;Table1[[#This Row],[OK&lt;17 Timamr]]&amp;Table1[[#This Row],[Kommentar]]</f>
        <v>-------Når ej 6 MPa</v>
      </c>
    </row>
    <row r="38" spans="1:13" x14ac:dyDescent="0.25">
      <c r="A38" t="s">
        <v>9</v>
      </c>
      <c r="B38" s="110" t="s">
        <v>9</v>
      </c>
      <c r="C38" s="110" t="s">
        <v>9</v>
      </c>
      <c r="D38" s="110" t="s">
        <v>9</v>
      </c>
      <c r="E38" s="110" t="s">
        <v>9</v>
      </c>
      <c r="F38" s="110" t="s">
        <v>9</v>
      </c>
      <c r="G38" s="110" t="s">
        <v>9</v>
      </c>
      <c r="H38" s="6">
        <v>-15</v>
      </c>
      <c r="I38" s="7">
        <v>2</v>
      </c>
      <c r="L38" s="7" t="s">
        <v>122</v>
      </c>
      <c r="M38" s="6" t="str">
        <f>Table1[[#This Row],[Slaggmängd]]&amp;Table1[[#This Row],[Gjuttemperatur]]&amp;Table1[[#This Row],[Temperatur motgjutningsyta]]&amp;Table1[[#This Row],[Värmekabel]]&amp;Table1[[#This Row],[Antal värmekablar]]&amp;Table1[[#This Row],[Täckning '[mm']]]&amp;Table1[[#This Row],[Formisolering '[mm']]]&amp;Table1[[#This Row],[OK&lt;17 Timamr]]&amp;Table1[[#This Row],[Kommentar]]</f>
        <v>-------Når ej 6 MPa</v>
      </c>
    </row>
    <row r="39" spans="1:13" x14ac:dyDescent="0.25">
      <c r="A39" t="s">
        <v>9</v>
      </c>
      <c r="B39" s="110" t="s">
        <v>9</v>
      </c>
      <c r="C39" s="110" t="s">
        <v>9</v>
      </c>
      <c r="D39" s="110" t="s">
        <v>9</v>
      </c>
      <c r="E39" s="110" t="s">
        <v>9</v>
      </c>
      <c r="F39" s="110" t="s">
        <v>9</v>
      </c>
      <c r="G39" s="110" t="s">
        <v>9</v>
      </c>
      <c r="H39" s="6">
        <v>-15</v>
      </c>
      <c r="I39" s="7">
        <v>7</v>
      </c>
      <c r="L39" s="7" t="s">
        <v>100</v>
      </c>
      <c r="M39" s="6" t="str">
        <f>Table1[[#This Row],[Slaggmängd]]&amp;Table1[[#This Row],[Gjuttemperatur]]&amp;Table1[[#This Row],[Temperatur motgjutningsyta]]&amp;Table1[[#This Row],[Värmekabel]]&amp;Table1[[#This Row],[Antal värmekablar]]&amp;Table1[[#This Row],[Täckning '[mm']]]&amp;Table1[[#This Row],[Formisolering '[mm']]]&amp;Table1[[#This Row],[OK&lt;17 Timamr]]&amp;Table1[[#This Row],[Kommentar]]</f>
        <v>-------Fryser innan täck</v>
      </c>
    </row>
    <row r="40" spans="1:13" x14ac:dyDescent="0.25">
      <c r="A40" t="s">
        <v>9</v>
      </c>
      <c r="B40" s="110" t="s">
        <v>9</v>
      </c>
      <c r="C40" s="110" t="s">
        <v>9</v>
      </c>
      <c r="D40" s="110" t="s">
        <v>9</v>
      </c>
      <c r="E40" s="110" t="s">
        <v>9</v>
      </c>
      <c r="F40" s="110" t="s">
        <v>9</v>
      </c>
      <c r="G40" s="110" t="s">
        <v>9</v>
      </c>
      <c r="H40" s="6">
        <v>-15</v>
      </c>
      <c r="I40" s="7">
        <v>12</v>
      </c>
      <c r="L40" s="7" t="s">
        <v>100</v>
      </c>
      <c r="M40" s="6" t="str">
        <f>Table1[[#This Row],[Slaggmängd]]&amp;Table1[[#This Row],[Gjuttemperatur]]&amp;Table1[[#This Row],[Temperatur motgjutningsyta]]&amp;Table1[[#This Row],[Värmekabel]]&amp;Table1[[#This Row],[Antal värmekablar]]&amp;Table1[[#This Row],[Täckning '[mm']]]&amp;Table1[[#This Row],[Formisolering '[mm']]]&amp;Table1[[#This Row],[OK&lt;17 Timamr]]&amp;Table1[[#This Row],[Kommentar]]</f>
        <v>-------Fryser innan täck</v>
      </c>
    </row>
    <row r="41" spans="1:13" ht="15.75" thickBot="1" x14ac:dyDescent="0.3">
      <c r="A41" t="s">
        <v>9</v>
      </c>
      <c r="B41" s="110" t="s">
        <v>9</v>
      </c>
      <c r="C41" s="110" t="s">
        <v>9</v>
      </c>
      <c r="D41" s="110" t="s">
        <v>9</v>
      </c>
      <c r="E41" s="110" t="s">
        <v>9</v>
      </c>
      <c r="F41" s="110" t="s">
        <v>9</v>
      </c>
      <c r="G41" s="110" t="s">
        <v>9</v>
      </c>
      <c r="H41" s="8">
        <v>-15</v>
      </c>
      <c r="I41" s="10">
        <v>20</v>
      </c>
      <c r="J41" s="9"/>
      <c r="K41" s="9"/>
      <c r="L41" s="10" t="s">
        <v>100</v>
      </c>
      <c r="M41" s="8" t="str">
        <f>Table1[[#This Row],[Slaggmängd]]&amp;Table1[[#This Row],[Gjuttemperatur]]&amp;Table1[[#This Row],[Temperatur motgjutningsyta]]&amp;Table1[[#This Row],[Värmekabel]]&amp;Table1[[#This Row],[Antal värmekablar]]&amp;Table1[[#This Row],[Täckning '[mm']]]&amp;Table1[[#This Row],[Formisolering '[mm']]]&amp;Table1[[#This Row],[OK&lt;17 Timamr]]&amp;Table1[[#This Row],[Kommentar]]</f>
        <v>-------Fryser innan täck</v>
      </c>
    </row>
    <row r="42" spans="1:13" x14ac:dyDescent="0.25">
      <c r="A42" s="4" t="s">
        <v>9</v>
      </c>
      <c r="B42" s="107" t="s">
        <v>9</v>
      </c>
      <c r="C42" s="107" t="s">
        <v>9</v>
      </c>
      <c r="D42" s="107" t="s">
        <v>9</v>
      </c>
      <c r="E42" s="107" t="s">
        <v>9</v>
      </c>
      <c r="F42" s="107" t="s">
        <v>9</v>
      </c>
      <c r="G42" s="114" t="s">
        <v>9</v>
      </c>
      <c r="H42" s="6">
        <v>-20</v>
      </c>
      <c r="I42" s="7">
        <v>0</v>
      </c>
      <c r="L42" s="7" t="s">
        <v>122</v>
      </c>
      <c r="M42" s="6" t="str">
        <f>Table1[[#This Row],[Slaggmängd]]&amp;Table1[[#This Row],[Gjuttemperatur]]&amp;Table1[[#This Row],[Temperatur motgjutningsyta]]&amp;Table1[[#This Row],[Värmekabel]]&amp;Table1[[#This Row],[Antal värmekablar]]&amp;Table1[[#This Row],[Täckning '[mm']]]&amp;Table1[[#This Row],[Formisolering '[mm']]]&amp;Table1[[#This Row],[OK&lt;17 Timamr]]&amp;Table1[[#This Row],[Kommentar]]</f>
        <v>-------Når ej 6 MPa</v>
      </c>
    </row>
    <row r="43" spans="1:13" x14ac:dyDescent="0.25">
      <c r="A43" t="s">
        <v>9</v>
      </c>
      <c r="B43" s="110" t="s">
        <v>9</v>
      </c>
      <c r="C43" s="110" t="s">
        <v>9</v>
      </c>
      <c r="D43" s="110" t="s">
        <v>9</v>
      </c>
      <c r="E43" s="110" t="s">
        <v>9</v>
      </c>
      <c r="F43" s="110" t="s">
        <v>9</v>
      </c>
      <c r="G43" s="111" t="s">
        <v>9</v>
      </c>
      <c r="H43" s="6">
        <v>-20</v>
      </c>
      <c r="I43" s="7">
        <v>2</v>
      </c>
      <c r="L43" s="7" t="s">
        <v>100</v>
      </c>
      <c r="M43" s="6" t="str">
        <f>Table1[[#This Row],[Slaggmängd]]&amp;Table1[[#This Row],[Gjuttemperatur]]&amp;Table1[[#This Row],[Temperatur motgjutningsyta]]&amp;Table1[[#This Row],[Värmekabel]]&amp;Table1[[#This Row],[Antal värmekablar]]&amp;Table1[[#This Row],[Täckning '[mm']]]&amp;Table1[[#This Row],[Formisolering '[mm']]]&amp;Table1[[#This Row],[OK&lt;17 Timamr]]&amp;Table1[[#This Row],[Kommentar]]</f>
        <v>-------Fryser innan täck</v>
      </c>
    </row>
    <row r="44" spans="1:13" x14ac:dyDescent="0.25">
      <c r="A44" t="s">
        <v>9</v>
      </c>
      <c r="B44" s="110" t="s">
        <v>9</v>
      </c>
      <c r="C44" s="110" t="s">
        <v>9</v>
      </c>
      <c r="D44" s="110" t="s">
        <v>9</v>
      </c>
      <c r="E44" s="110" t="s">
        <v>9</v>
      </c>
      <c r="F44" s="110" t="s">
        <v>9</v>
      </c>
      <c r="G44" s="111" t="s">
        <v>9</v>
      </c>
      <c r="H44" s="6">
        <v>-20</v>
      </c>
      <c r="I44" s="7">
        <v>7</v>
      </c>
      <c r="L44" s="7" t="s">
        <v>100</v>
      </c>
      <c r="M44" s="6" t="str">
        <f>Table1[[#This Row],[Slaggmängd]]&amp;Table1[[#This Row],[Gjuttemperatur]]&amp;Table1[[#This Row],[Temperatur motgjutningsyta]]&amp;Table1[[#This Row],[Värmekabel]]&amp;Table1[[#This Row],[Antal värmekablar]]&amp;Table1[[#This Row],[Täckning '[mm']]]&amp;Table1[[#This Row],[Formisolering '[mm']]]&amp;Table1[[#This Row],[OK&lt;17 Timamr]]&amp;Table1[[#This Row],[Kommentar]]</f>
        <v>-------Fryser innan täck</v>
      </c>
    </row>
    <row r="45" spans="1:13" x14ac:dyDescent="0.25">
      <c r="A45" t="s">
        <v>9</v>
      </c>
      <c r="B45" s="110" t="s">
        <v>9</v>
      </c>
      <c r="C45" s="110" t="s">
        <v>9</v>
      </c>
      <c r="D45" s="110" t="s">
        <v>9</v>
      </c>
      <c r="E45" s="110" t="s">
        <v>9</v>
      </c>
      <c r="F45" s="110" t="s">
        <v>9</v>
      </c>
      <c r="G45" s="111" t="s">
        <v>9</v>
      </c>
      <c r="H45" s="6">
        <v>-20</v>
      </c>
      <c r="I45" s="7">
        <v>12</v>
      </c>
      <c r="L45" s="7" t="s">
        <v>100</v>
      </c>
      <c r="M45" s="6" t="str">
        <f>Table1[[#This Row],[Slaggmängd]]&amp;Table1[[#This Row],[Gjuttemperatur]]&amp;Table1[[#This Row],[Temperatur motgjutningsyta]]&amp;Table1[[#This Row],[Värmekabel]]&amp;Table1[[#This Row],[Antal värmekablar]]&amp;Table1[[#This Row],[Täckning '[mm']]]&amp;Table1[[#This Row],[Formisolering '[mm']]]&amp;Table1[[#This Row],[OK&lt;17 Timamr]]&amp;Table1[[#This Row],[Kommentar]]</f>
        <v>-------Fryser innan täck</v>
      </c>
    </row>
    <row r="46" spans="1:13" x14ac:dyDescent="0.25">
      <c r="A46" t="s">
        <v>9</v>
      </c>
      <c r="B46" s="110" t="s">
        <v>9</v>
      </c>
      <c r="C46" s="110" t="s">
        <v>9</v>
      </c>
      <c r="D46" s="110" t="s">
        <v>9</v>
      </c>
      <c r="E46" s="110" t="s">
        <v>9</v>
      </c>
      <c r="F46" s="110" t="s">
        <v>9</v>
      </c>
      <c r="G46" s="111" t="s">
        <v>9</v>
      </c>
      <c r="H46" s="6">
        <v>-20</v>
      </c>
      <c r="I46" s="7">
        <v>20</v>
      </c>
      <c r="L46" s="7" t="s">
        <v>100</v>
      </c>
      <c r="M46" s="6" t="str">
        <f>Table1[[#This Row],[Slaggmängd]]&amp;Table1[[#This Row],[Gjuttemperatur]]&amp;Table1[[#This Row],[Temperatur motgjutningsyta]]&amp;Table1[[#This Row],[Värmekabel]]&amp;Table1[[#This Row],[Antal värmekablar]]&amp;Table1[[#This Row],[Täckning '[mm']]]&amp;Table1[[#This Row],[Formisolering '[mm']]]&amp;Table1[[#This Row],[OK&lt;17 Timamr]]&amp;Table1[[#This Row],[Kommentar]]</f>
        <v>-------Fryser innan täck</v>
      </c>
    </row>
  </sheetData>
  <phoneticPr fontId="3" type="noConversion"/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382525F8-9025-4D50-AB22-33E184D65F35}">
          <x14:formula1>
            <xm:f>Förutsättningar!$A$2:$A$7</xm:f>
          </x14:formula1>
          <xm:sqref>A2:A21 A22:A46</xm:sqref>
        </x14:dataValidation>
        <x14:dataValidation type="list" allowBlank="1" showInputMessage="1" showErrorMessage="1" xr:uid="{5F437F11-D0C2-416F-8FD8-1CC1F018C297}">
          <x14:formula1>
            <xm:f>Förutsättningar!$B$2:$B$6</xm:f>
          </x14:formula1>
          <xm:sqref>B2:B21 B22:B46</xm:sqref>
        </x14:dataValidation>
        <x14:dataValidation type="list" allowBlank="1" showInputMessage="1" showErrorMessage="1" xr:uid="{3A750462-CAFD-4C51-B4DF-128213DD544A}">
          <x14:formula1>
            <xm:f>Förutsättningar!$C$2:$C$6</xm:f>
          </x14:formula1>
          <xm:sqref>C2:C21 C22:C46</xm:sqref>
        </x14:dataValidation>
        <x14:dataValidation type="list" allowBlank="1" showInputMessage="1" showErrorMessage="1" xr:uid="{D80B3489-C4E8-424F-BF3D-0701AF0EA035}">
          <x14:formula1>
            <xm:f>Förutsättningar!$E$2:$E$5</xm:f>
          </x14:formula1>
          <xm:sqref>E2:E21 E22:E46</xm:sqref>
        </x14:dataValidation>
        <x14:dataValidation type="list" allowBlank="1" showInputMessage="1" showErrorMessage="1" xr:uid="{B84DA622-B626-4FC3-AADE-1EC82E3259DF}">
          <x14:formula1>
            <xm:f>Förutsättningar!$I$2</xm:f>
          </x14:formula1>
          <xm:sqref>K2:K21 K22:K46</xm:sqref>
        </x14:dataValidation>
        <x14:dataValidation type="list" allowBlank="1" showInputMessage="1" showErrorMessage="1" xr:uid="{618B87AB-BEDA-49B2-AC66-CDABB13313A9}">
          <x14:formula1>
            <xm:f>Förutsättningar!$H$2:$H$3</xm:f>
          </x14:formula1>
          <xm:sqref>L2:L21 L22:L46</xm:sqref>
        </x14:dataValidation>
        <x14:dataValidation type="list" allowBlank="1" showInputMessage="1" showErrorMessage="1" xr:uid="{DDC84978-F834-4FB8-9C73-038173686E80}">
          <x14:formula1>
            <xm:f>Förutsättningar!$F$2:$F$7</xm:f>
          </x14:formula1>
          <xm:sqref>F2:F46</xm:sqref>
        </x14:dataValidation>
        <x14:dataValidation type="list" allowBlank="1" showInputMessage="1" showErrorMessage="1" xr:uid="{1D6D517B-EAF0-443E-8F6B-4F06A65BA970}">
          <x14:formula1>
            <xm:f>Förutsättningar!$G$2:$G$8</xm:f>
          </x14:formula1>
          <xm:sqref>G2:G46</xm:sqref>
        </x14:dataValidation>
        <x14:dataValidation type="list" allowBlank="1" showInputMessage="1" showErrorMessage="1" xr:uid="{AC258150-92D8-4501-B2AB-FB8EB4010D9F}">
          <x14:formula1>
            <xm:f>Förutsättningar!$D$2:$D$3</xm:f>
          </x14:formula1>
          <xm:sqref>D2:D46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16119-852E-4E28-9BAE-A9D00AC87E73}">
  <sheetPr codeName="Sheet10"/>
  <dimension ref="A1:T46"/>
  <sheetViews>
    <sheetView zoomScaleNormal="100" workbookViewId="0">
      <selection activeCell="K16" sqref="K7:K16"/>
    </sheetView>
  </sheetViews>
  <sheetFormatPr defaultRowHeight="15" x14ac:dyDescent="0.25"/>
  <cols>
    <col min="1" max="1" width="14" style="77" bestFit="1" customWidth="1"/>
    <col min="2" max="2" width="17.42578125" style="2" bestFit="1" customWidth="1"/>
    <col min="3" max="3" width="18" style="2" bestFit="1" customWidth="1"/>
    <col min="4" max="4" width="13.85546875" style="2" bestFit="1" customWidth="1"/>
    <col min="5" max="5" width="19.5703125" style="2" bestFit="1" customWidth="1"/>
    <col min="6" max="6" width="16.5703125" bestFit="1" customWidth="1"/>
    <col min="7" max="7" width="32.28515625" bestFit="1" customWidth="1"/>
    <col min="8" max="8" width="13.7109375" bestFit="1" customWidth="1"/>
    <col min="9" max="9" width="7.28515625" bestFit="1" customWidth="1"/>
    <col min="10" max="10" width="24.140625" bestFit="1" customWidth="1"/>
    <col min="11" max="12" width="16.140625" bestFit="1" customWidth="1"/>
    <col min="13" max="13" width="41.7109375" bestFit="1" customWidth="1"/>
    <col min="14" max="17" width="11.28515625" customWidth="1"/>
    <col min="18" max="18" width="12.28515625" customWidth="1"/>
  </cols>
  <sheetData>
    <row r="1" spans="1:20" ht="30.75" thickBot="1" x14ac:dyDescent="0.3">
      <c r="A1" s="105" t="s">
        <v>106</v>
      </c>
      <c r="B1" s="80" t="s">
        <v>0</v>
      </c>
      <c r="C1" s="80" t="s">
        <v>1</v>
      </c>
      <c r="D1" s="80" t="s">
        <v>96</v>
      </c>
      <c r="E1" s="80" t="s">
        <v>97</v>
      </c>
      <c r="F1" s="80" t="s">
        <v>3</v>
      </c>
      <c r="G1" s="80" t="s">
        <v>98</v>
      </c>
      <c r="H1" s="11" t="s">
        <v>4</v>
      </c>
      <c r="I1" s="11" t="s">
        <v>5</v>
      </c>
      <c r="J1" s="106" t="s">
        <v>94</v>
      </c>
      <c r="K1" s="11" t="s">
        <v>95</v>
      </c>
      <c r="L1" s="11" t="s">
        <v>6</v>
      </c>
      <c r="M1" s="12" t="s">
        <v>7</v>
      </c>
      <c r="N1" s="1"/>
      <c r="O1" s="1"/>
      <c r="P1" s="1"/>
      <c r="Q1" s="1"/>
      <c r="R1" s="1"/>
      <c r="S1" s="1"/>
      <c r="T1" s="1"/>
    </row>
    <row r="2" spans="1:20" ht="15.75" customHeight="1" x14ac:dyDescent="0.25">
      <c r="A2" s="3" t="s">
        <v>48</v>
      </c>
      <c r="B2" s="107">
        <v>15</v>
      </c>
      <c r="C2" s="107">
        <v>20</v>
      </c>
      <c r="D2" s="108" t="s">
        <v>9</v>
      </c>
      <c r="E2" s="108" t="s">
        <v>9</v>
      </c>
      <c r="F2" s="107" t="s">
        <v>9</v>
      </c>
      <c r="G2" s="109" t="s">
        <v>123</v>
      </c>
      <c r="H2" s="3">
        <v>20</v>
      </c>
      <c r="I2" s="5">
        <v>0</v>
      </c>
      <c r="J2">
        <v>15.3</v>
      </c>
      <c r="K2" s="4" t="s">
        <v>101</v>
      </c>
      <c r="L2" s="5"/>
      <c r="M2" s="13" t="str">
        <f>Table127[[#This Row],[Slaggmängd]]&amp;Table127[[#This Row],[Gjuttemperatur]]&amp;Table127[[#This Row],[Temperatur motgjutningsyta]]&amp;Table127[[#This Row],[Värmekabel]]&amp;Table127[[#This Row],[Antal värmekablar]]&amp;Table127[[#This Row],[Täckning '[mm']]]&amp;Table127[[#This Row],[Formisolering '[mm']]]&amp;Table127[[#This Row],[OK&lt;17 Timamr]]&amp;Table127[[#This Row],[Kommentar]]</f>
        <v>Bas+0%1520---Plywood 15, oisoleratOK17</v>
      </c>
      <c r="O2" s="1"/>
    </row>
    <row r="3" spans="1:20" x14ac:dyDescent="0.25">
      <c r="A3" s="6" t="s">
        <v>48</v>
      </c>
      <c r="B3" s="110">
        <v>15</v>
      </c>
      <c r="C3" s="110">
        <v>20</v>
      </c>
      <c r="D3" s="110" t="s">
        <v>9</v>
      </c>
      <c r="E3" s="110" t="s">
        <v>9</v>
      </c>
      <c r="F3" s="110" t="s">
        <v>9</v>
      </c>
      <c r="G3" s="122" t="s">
        <v>123</v>
      </c>
      <c r="H3" s="6">
        <v>20</v>
      </c>
      <c r="I3" s="7">
        <v>2</v>
      </c>
      <c r="J3">
        <v>15.3</v>
      </c>
      <c r="K3" t="s">
        <v>101</v>
      </c>
      <c r="L3" s="7"/>
      <c r="M3" s="14" t="str">
        <f>Table127[[#This Row],[Slaggmängd]]&amp;Table127[[#This Row],[Gjuttemperatur]]&amp;Table127[[#This Row],[Temperatur motgjutningsyta]]&amp;Table127[[#This Row],[Värmekabel]]&amp;Table127[[#This Row],[Antal värmekablar]]&amp;Table127[[#This Row],[Täckning '[mm']]]&amp;Table127[[#This Row],[Formisolering '[mm']]]&amp;Table127[[#This Row],[OK&lt;17 Timamr]]&amp;Table127[[#This Row],[Kommentar]]</f>
        <v>Bas+0%1520---Plywood 15, oisoleratOK17</v>
      </c>
    </row>
    <row r="4" spans="1:20" x14ac:dyDescent="0.25">
      <c r="A4" s="6" t="s">
        <v>48</v>
      </c>
      <c r="B4" s="110">
        <v>15</v>
      </c>
      <c r="C4" s="110">
        <v>20</v>
      </c>
      <c r="D4" s="110" t="s">
        <v>9</v>
      </c>
      <c r="E4" s="110" t="s">
        <v>9</v>
      </c>
      <c r="F4" s="110" t="s">
        <v>9</v>
      </c>
      <c r="G4" s="122" t="s">
        <v>123</v>
      </c>
      <c r="H4" s="6">
        <v>20</v>
      </c>
      <c r="I4" s="7">
        <v>7</v>
      </c>
      <c r="J4">
        <v>15.3</v>
      </c>
      <c r="K4" t="s">
        <v>101</v>
      </c>
      <c r="L4" s="7"/>
      <c r="M4" s="14" t="str">
        <f>Table127[[#This Row],[Slaggmängd]]&amp;Table127[[#This Row],[Gjuttemperatur]]&amp;Table127[[#This Row],[Temperatur motgjutningsyta]]&amp;Table127[[#This Row],[Värmekabel]]&amp;Table127[[#This Row],[Antal värmekablar]]&amp;Table127[[#This Row],[Täckning '[mm']]]&amp;Table127[[#This Row],[Formisolering '[mm']]]&amp;Table127[[#This Row],[OK&lt;17 Timamr]]&amp;Table127[[#This Row],[Kommentar]]</f>
        <v>Bas+0%1520---Plywood 15, oisoleratOK17</v>
      </c>
    </row>
    <row r="5" spans="1:20" x14ac:dyDescent="0.25">
      <c r="A5" s="6" t="s">
        <v>48</v>
      </c>
      <c r="B5" s="110">
        <v>15</v>
      </c>
      <c r="C5" s="110">
        <v>20</v>
      </c>
      <c r="D5" s="110" t="s">
        <v>9</v>
      </c>
      <c r="E5" s="110" t="s">
        <v>9</v>
      </c>
      <c r="F5" s="110" t="s">
        <v>9</v>
      </c>
      <c r="G5" s="122" t="s">
        <v>123</v>
      </c>
      <c r="H5" s="6">
        <v>20</v>
      </c>
      <c r="I5" s="7">
        <v>12</v>
      </c>
      <c r="J5">
        <v>15.3</v>
      </c>
      <c r="K5" t="s">
        <v>101</v>
      </c>
      <c r="L5" s="7"/>
      <c r="M5" s="14" t="str">
        <f>Table127[[#This Row],[Slaggmängd]]&amp;Table127[[#This Row],[Gjuttemperatur]]&amp;Table127[[#This Row],[Temperatur motgjutningsyta]]&amp;Table127[[#This Row],[Värmekabel]]&amp;Table127[[#This Row],[Antal värmekablar]]&amp;Table127[[#This Row],[Täckning '[mm']]]&amp;Table127[[#This Row],[Formisolering '[mm']]]&amp;Table127[[#This Row],[OK&lt;17 Timamr]]&amp;Table127[[#This Row],[Kommentar]]</f>
        <v>Bas+0%1520---Plywood 15, oisoleratOK17</v>
      </c>
    </row>
    <row r="6" spans="1:20" ht="15.75" thickBot="1" x14ac:dyDescent="0.3">
      <c r="A6" s="8" t="s">
        <v>48</v>
      </c>
      <c r="B6" s="112">
        <v>15</v>
      </c>
      <c r="C6" s="112">
        <v>20</v>
      </c>
      <c r="D6" s="112" t="s">
        <v>9</v>
      </c>
      <c r="E6" s="112" t="s">
        <v>9</v>
      </c>
      <c r="F6" s="112" t="s">
        <v>9</v>
      </c>
      <c r="G6" s="123" t="s">
        <v>123</v>
      </c>
      <c r="H6" s="8">
        <v>20</v>
      </c>
      <c r="I6" s="10">
        <v>20</v>
      </c>
      <c r="J6">
        <v>15.3</v>
      </c>
      <c r="K6" t="s">
        <v>101</v>
      </c>
      <c r="L6" s="10"/>
      <c r="M6" s="15" t="str">
        <f>Table127[[#This Row],[Slaggmängd]]&amp;Table127[[#This Row],[Gjuttemperatur]]&amp;Table127[[#This Row],[Temperatur motgjutningsyta]]&amp;Table127[[#This Row],[Värmekabel]]&amp;Table127[[#This Row],[Antal värmekablar]]&amp;Table127[[#This Row],[Täckning '[mm']]]&amp;Table127[[#This Row],[Formisolering '[mm']]]&amp;Table127[[#This Row],[OK&lt;17 Timamr]]&amp;Table127[[#This Row],[Kommentar]]</f>
        <v>Bas+0%1520---Plywood 15, oisoleratOK17</v>
      </c>
    </row>
    <row r="7" spans="1:20" x14ac:dyDescent="0.25">
      <c r="A7" s="6" t="s">
        <v>9</v>
      </c>
      <c r="B7" s="110" t="s">
        <v>9</v>
      </c>
      <c r="C7" s="110" t="s">
        <v>9</v>
      </c>
      <c r="D7" s="110" t="s">
        <v>9</v>
      </c>
      <c r="E7" s="110" t="s">
        <v>9</v>
      </c>
      <c r="F7" s="110" t="s">
        <v>9</v>
      </c>
      <c r="G7" s="124" t="s">
        <v>9</v>
      </c>
      <c r="H7" s="3">
        <v>15</v>
      </c>
      <c r="I7" s="5">
        <v>0</v>
      </c>
      <c r="J7" s="3"/>
      <c r="K7" s="4"/>
      <c r="L7" s="5" t="s">
        <v>122</v>
      </c>
      <c r="M7" s="13" t="str">
        <f>Table127[[#This Row],[Slaggmängd]]&amp;Table127[[#This Row],[Gjuttemperatur]]&amp;Table127[[#This Row],[Temperatur motgjutningsyta]]&amp;Table127[[#This Row],[Värmekabel]]&amp;Table127[[#This Row],[Antal värmekablar]]&amp;Table127[[#This Row],[Täckning '[mm']]]&amp;Table127[[#This Row],[Formisolering '[mm']]]&amp;Table127[[#This Row],[OK&lt;17 Timamr]]&amp;Table127[[#This Row],[Kommentar]]</f>
        <v>-------Når ej 6 MPa</v>
      </c>
    </row>
    <row r="8" spans="1:20" x14ac:dyDescent="0.25">
      <c r="A8" s="6" t="s">
        <v>9</v>
      </c>
      <c r="B8" s="110" t="s">
        <v>9</v>
      </c>
      <c r="C8" s="110" t="s">
        <v>9</v>
      </c>
      <c r="D8" s="110" t="s">
        <v>9</v>
      </c>
      <c r="E8" s="110" t="s">
        <v>9</v>
      </c>
      <c r="F8" s="110" t="s">
        <v>9</v>
      </c>
      <c r="G8" s="124" t="s">
        <v>9</v>
      </c>
      <c r="H8" s="6">
        <v>15</v>
      </c>
      <c r="I8" s="7">
        <v>2</v>
      </c>
      <c r="J8" s="6"/>
      <c r="L8" s="7" t="s">
        <v>122</v>
      </c>
      <c r="M8" s="14" t="str">
        <f>Table127[[#This Row],[Slaggmängd]]&amp;Table127[[#This Row],[Gjuttemperatur]]&amp;Table127[[#This Row],[Temperatur motgjutningsyta]]&amp;Table127[[#This Row],[Värmekabel]]&amp;Table127[[#This Row],[Antal värmekablar]]&amp;Table127[[#This Row],[Täckning '[mm']]]&amp;Table127[[#This Row],[Formisolering '[mm']]]&amp;Table127[[#This Row],[OK&lt;17 Timamr]]&amp;Table127[[#This Row],[Kommentar]]</f>
        <v>-------Når ej 6 MPa</v>
      </c>
    </row>
    <row r="9" spans="1:20" x14ac:dyDescent="0.25">
      <c r="A9" s="6" t="s">
        <v>9</v>
      </c>
      <c r="B9" s="110" t="s">
        <v>9</v>
      </c>
      <c r="C9" s="110" t="s">
        <v>9</v>
      </c>
      <c r="D9" s="110" t="s">
        <v>9</v>
      </c>
      <c r="E9" s="110" t="s">
        <v>9</v>
      </c>
      <c r="F9" s="110" t="s">
        <v>9</v>
      </c>
      <c r="G9" s="124" t="s">
        <v>9</v>
      </c>
      <c r="H9" s="6">
        <v>15</v>
      </c>
      <c r="I9" s="7">
        <v>7</v>
      </c>
      <c r="J9" s="6"/>
      <c r="L9" s="7" t="s">
        <v>122</v>
      </c>
      <c r="M9" s="14" t="str">
        <f>Table127[[#This Row],[Slaggmängd]]&amp;Table127[[#This Row],[Gjuttemperatur]]&amp;Table127[[#This Row],[Temperatur motgjutningsyta]]&amp;Table127[[#This Row],[Värmekabel]]&amp;Table127[[#This Row],[Antal värmekablar]]&amp;Table127[[#This Row],[Täckning '[mm']]]&amp;Table127[[#This Row],[Formisolering '[mm']]]&amp;Table127[[#This Row],[OK&lt;17 Timamr]]&amp;Table127[[#This Row],[Kommentar]]</f>
        <v>-------Når ej 6 MPa</v>
      </c>
    </row>
    <row r="10" spans="1:20" x14ac:dyDescent="0.25">
      <c r="A10" s="6" t="s">
        <v>9</v>
      </c>
      <c r="B10" s="110" t="s">
        <v>9</v>
      </c>
      <c r="C10" s="110" t="s">
        <v>9</v>
      </c>
      <c r="D10" s="110" t="s">
        <v>9</v>
      </c>
      <c r="E10" s="110" t="s">
        <v>9</v>
      </c>
      <c r="F10" s="110" t="s">
        <v>9</v>
      </c>
      <c r="G10" s="124" t="s">
        <v>9</v>
      </c>
      <c r="H10" s="6">
        <v>15</v>
      </c>
      <c r="I10" s="7">
        <v>12</v>
      </c>
      <c r="J10" s="6"/>
      <c r="L10" s="7" t="s">
        <v>122</v>
      </c>
      <c r="M10" s="14" t="str">
        <f>Table127[[#This Row],[Slaggmängd]]&amp;Table127[[#This Row],[Gjuttemperatur]]&amp;Table127[[#This Row],[Temperatur motgjutningsyta]]&amp;Table127[[#This Row],[Värmekabel]]&amp;Table127[[#This Row],[Antal värmekablar]]&amp;Table127[[#This Row],[Täckning '[mm']]]&amp;Table127[[#This Row],[Formisolering '[mm']]]&amp;Table127[[#This Row],[OK&lt;17 Timamr]]&amp;Table127[[#This Row],[Kommentar]]</f>
        <v>-------Når ej 6 MPa</v>
      </c>
    </row>
    <row r="11" spans="1:20" ht="15.75" thickBot="1" x14ac:dyDescent="0.3">
      <c r="A11" s="6" t="s">
        <v>9</v>
      </c>
      <c r="B11" s="110" t="s">
        <v>9</v>
      </c>
      <c r="C11" s="110" t="s">
        <v>9</v>
      </c>
      <c r="D11" s="110" t="s">
        <v>9</v>
      </c>
      <c r="E11" s="110" t="s">
        <v>9</v>
      </c>
      <c r="F11" s="110" t="s">
        <v>9</v>
      </c>
      <c r="G11" s="124" t="s">
        <v>9</v>
      </c>
      <c r="H11" s="8">
        <v>15</v>
      </c>
      <c r="I11" s="10">
        <v>20</v>
      </c>
      <c r="J11" s="8"/>
      <c r="K11" s="9"/>
      <c r="L11" s="10" t="s">
        <v>122</v>
      </c>
      <c r="M11" s="15" t="str">
        <f>Table127[[#This Row],[Slaggmängd]]&amp;Table127[[#This Row],[Gjuttemperatur]]&amp;Table127[[#This Row],[Temperatur motgjutningsyta]]&amp;Table127[[#This Row],[Värmekabel]]&amp;Table127[[#This Row],[Antal värmekablar]]&amp;Table127[[#This Row],[Täckning '[mm']]]&amp;Table127[[#This Row],[Formisolering '[mm']]]&amp;Table127[[#This Row],[OK&lt;17 Timamr]]&amp;Table127[[#This Row],[Kommentar]]</f>
        <v>-------Når ej 6 MPa</v>
      </c>
    </row>
    <row r="12" spans="1:20" x14ac:dyDescent="0.25">
      <c r="A12" s="3" t="s">
        <v>9</v>
      </c>
      <c r="B12" s="107" t="s">
        <v>9</v>
      </c>
      <c r="C12" s="107" t="s">
        <v>9</v>
      </c>
      <c r="D12" s="107" t="s">
        <v>9</v>
      </c>
      <c r="E12" s="107" t="s">
        <v>9</v>
      </c>
      <c r="F12" s="107" t="s">
        <v>9</v>
      </c>
      <c r="G12" s="125" t="s">
        <v>9</v>
      </c>
      <c r="H12" s="3">
        <v>10</v>
      </c>
      <c r="I12" s="5">
        <v>0</v>
      </c>
      <c r="J12" s="3"/>
      <c r="K12" s="4"/>
      <c r="L12" s="5" t="s">
        <v>122</v>
      </c>
      <c r="M12" s="13" t="str">
        <f>Table127[[#This Row],[Slaggmängd]]&amp;Table127[[#This Row],[Gjuttemperatur]]&amp;Table127[[#This Row],[Temperatur motgjutningsyta]]&amp;Table127[[#This Row],[Värmekabel]]&amp;Table127[[#This Row],[Antal värmekablar]]&amp;Table127[[#This Row],[Täckning '[mm']]]&amp;Table127[[#This Row],[Formisolering '[mm']]]&amp;Table127[[#This Row],[OK&lt;17 Timamr]]&amp;Table127[[#This Row],[Kommentar]]</f>
        <v>-------Når ej 6 MPa</v>
      </c>
    </row>
    <row r="13" spans="1:20" x14ac:dyDescent="0.25">
      <c r="A13" s="6" t="s">
        <v>9</v>
      </c>
      <c r="B13" s="110" t="s">
        <v>9</v>
      </c>
      <c r="C13" s="110" t="s">
        <v>9</v>
      </c>
      <c r="D13" s="110" t="s">
        <v>9</v>
      </c>
      <c r="E13" s="110" t="s">
        <v>9</v>
      </c>
      <c r="F13" s="110" t="s">
        <v>9</v>
      </c>
      <c r="G13" s="122" t="s">
        <v>9</v>
      </c>
      <c r="H13" s="6">
        <v>10</v>
      </c>
      <c r="I13" s="7">
        <v>2</v>
      </c>
      <c r="J13" s="6"/>
      <c r="L13" s="7" t="s">
        <v>122</v>
      </c>
      <c r="M13" s="14" t="str">
        <f>Table127[[#This Row],[Slaggmängd]]&amp;Table127[[#This Row],[Gjuttemperatur]]&amp;Table127[[#This Row],[Temperatur motgjutningsyta]]&amp;Table127[[#This Row],[Värmekabel]]&amp;Table127[[#This Row],[Antal värmekablar]]&amp;Table127[[#This Row],[Täckning '[mm']]]&amp;Table127[[#This Row],[Formisolering '[mm']]]&amp;Table127[[#This Row],[OK&lt;17 Timamr]]&amp;Table127[[#This Row],[Kommentar]]</f>
        <v>-------Når ej 6 MPa</v>
      </c>
    </row>
    <row r="14" spans="1:20" x14ac:dyDescent="0.25">
      <c r="A14" s="6" t="s">
        <v>9</v>
      </c>
      <c r="B14" s="110" t="s">
        <v>9</v>
      </c>
      <c r="C14" s="110" t="s">
        <v>9</v>
      </c>
      <c r="D14" s="110" t="s">
        <v>9</v>
      </c>
      <c r="E14" s="110" t="s">
        <v>9</v>
      </c>
      <c r="F14" s="110" t="s">
        <v>9</v>
      </c>
      <c r="G14" s="122" t="s">
        <v>9</v>
      </c>
      <c r="H14" s="6">
        <v>10</v>
      </c>
      <c r="I14" s="7">
        <v>7</v>
      </c>
      <c r="J14" s="6"/>
      <c r="L14" s="7" t="s">
        <v>122</v>
      </c>
      <c r="M14" s="14" t="str">
        <f>Table127[[#This Row],[Slaggmängd]]&amp;Table127[[#This Row],[Gjuttemperatur]]&amp;Table127[[#This Row],[Temperatur motgjutningsyta]]&amp;Table127[[#This Row],[Värmekabel]]&amp;Table127[[#This Row],[Antal värmekablar]]&amp;Table127[[#This Row],[Täckning '[mm']]]&amp;Table127[[#This Row],[Formisolering '[mm']]]&amp;Table127[[#This Row],[OK&lt;17 Timamr]]&amp;Table127[[#This Row],[Kommentar]]</f>
        <v>-------Når ej 6 MPa</v>
      </c>
    </row>
    <row r="15" spans="1:20" x14ac:dyDescent="0.25">
      <c r="A15" s="6" t="s">
        <v>9</v>
      </c>
      <c r="B15" s="110" t="s">
        <v>9</v>
      </c>
      <c r="C15" s="110" t="s">
        <v>9</v>
      </c>
      <c r="D15" s="110" t="s">
        <v>9</v>
      </c>
      <c r="E15" s="110" t="s">
        <v>9</v>
      </c>
      <c r="F15" s="110" t="s">
        <v>9</v>
      </c>
      <c r="G15" s="122" t="s">
        <v>9</v>
      </c>
      <c r="H15" s="6">
        <v>10</v>
      </c>
      <c r="I15" s="7">
        <v>12</v>
      </c>
      <c r="J15" s="6"/>
      <c r="L15" s="7" t="s">
        <v>122</v>
      </c>
      <c r="M15" s="14" t="str">
        <f>Table127[[#This Row],[Slaggmängd]]&amp;Table127[[#This Row],[Gjuttemperatur]]&amp;Table127[[#This Row],[Temperatur motgjutningsyta]]&amp;Table127[[#This Row],[Värmekabel]]&amp;Table127[[#This Row],[Antal värmekablar]]&amp;Table127[[#This Row],[Täckning '[mm']]]&amp;Table127[[#This Row],[Formisolering '[mm']]]&amp;Table127[[#This Row],[OK&lt;17 Timamr]]&amp;Table127[[#This Row],[Kommentar]]</f>
        <v>-------Når ej 6 MPa</v>
      </c>
    </row>
    <row r="16" spans="1:20" ht="15.75" thickBot="1" x14ac:dyDescent="0.3">
      <c r="A16" s="8" t="s">
        <v>9</v>
      </c>
      <c r="B16" s="112" t="s">
        <v>9</v>
      </c>
      <c r="C16" s="112" t="s">
        <v>9</v>
      </c>
      <c r="D16" s="112" t="s">
        <v>9</v>
      </c>
      <c r="E16" s="112" t="s">
        <v>9</v>
      </c>
      <c r="F16" s="112" t="s">
        <v>9</v>
      </c>
      <c r="G16" s="123" t="s">
        <v>9</v>
      </c>
      <c r="H16" s="8">
        <v>10</v>
      </c>
      <c r="I16" s="10">
        <v>20</v>
      </c>
      <c r="J16" s="8"/>
      <c r="K16" s="9"/>
      <c r="L16" s="10" t="s">
        <v>122</v>
      </c>
      <c r="M16" s="15" t="str">
        <f>Table127[[#This Row],[Slaggmängd]]&amp;Table127[[#This Row],[Gjuttemperatur]]&amp;Table127[[#This Row],[Temperatur motgjutningsyta]]&amp;Table127[[#This Row],[Värmekabel]]&amp;Table127[[#This Row],[Antal värmekablar]]&amp;Table127[[#This Row],[Täckning '[mm']]]&amp;Table127[[#This Row],[Formisolering '[mm']]]&amp;Table127[[#This Row],[OK&lt;17 Timamr]]&amp;Table127[[#This Row],[Kommentar]]</f>
        <v>-------Når ej 6 MPa</v>
      </c>
    </row>
    <row r="17" spans="1:13" x14ac:dyDescent="0.25">
      <c r="A17" s="6">
        <v>0.1</v>
      </c>
      <c r="B17" s="110">
        <v>20</v>
      </c>
      <c r="C17" s="110">
        <v>5</v>
      </c>
      <c r="D17" s="110">
        <v>40</v>
      </c>
      <c r="E17" s="110">
        <v>3</v>
      </c>
      <c r="F17" s="110">
        <v>10</v>
      </c>
      <c r="G17" s="124" t="s">
        <v>125</v>
      </c>
      <c r="H17" s="3">
        <v>5</v>
      </c>
      <c r="I17" s="5">
        <v>0</v>
      </c>
      <c r="J17" s="4">
        <v>17</v>
      </c>
      <c r="K17" s="4" t="s">
        <v>101</v>
      </c>
      <c r="L17" s="5"/>
      <c r="M17" s="13" t="str">
        <f>Table127[[#This Row],[Slaggmängd]]&amp;Table127[[#This Row],[Gjuttemperatur]]&amp;Table127[[#This Row],[Temperatur motgjutningsyta]]&amp;Table127[[#This Row],[Värmekabel]]&amp;Table127[[#This Row],[Antal värmekablar]]&amp;Table127[[#This Row],[Täckning '[mm']]]&amp;Table127[[#This Row],[Formisolering '[mm']]]&amp;Table127[[#This Row],[OK&lt;17 Timamr]]&amp;Table127[[#This Row],[Kommentar]]</f>
        <v>0,120540310Plywood 12-19  cellplast 50OK17</v>
      </c>
    </row>
    <row r="18" spans="1:13" x14ac:dyDescent="0.25">
      <c r="A18" s="6">
        <v>0.1</v>
      </c>
      <c r="B18" s="110">
        <v>20</v>
      </c>
      <c r="C18" s="110">
        <v>5</v>
      </c>
      <c r="D18" s="110">
        <v>40</v>
      </c>
      <c r="E18" s="110">
        <v>3</v>
      </c>
      <c r="F18" s="110">
        <v>10</v>
      </c>
      <c r="G18" s="124" t="s">
        <v>126</v>
      </c>
      <c r="H18" s="6">
        <v>5</v>
      </c>
      <c r="I18" s="7">
        <v>2</v>
      </c>
      <c r="J18">
        <v>17</v>
      </c>
      <c r="K18" t="s">
        <v>101</v>
      </c>
      <c r="L18" s="7"/>
      <c r="M18" s="14" t="str">
        <f>Table127[[#This Row],[Slaggmängd]]&amp;Table127[[#This Row],[Gjuttemperatur]]&amp;Table127[[#This Row],[Temperatur motgjutningsyta]]&amp;Table127[[#This Row],[Värmekabel]]&amp;Table127[[#This Row],[Antal värmekablar]]&amp;Table127[[#This Row],[Täckning '[mm']]]&amp;Table127[[#This Row],[Formisolering '[mm']]]&amp;Table127[[#This Row],[OK&lt;17 Timamr]]&amp;Table127[[#This Row],[Kommentar]]</f>
        <v>0,120540310Plywood 12-19 cellplast 70OK17</v>
      </c>
    </row>
    <row r="19" spans="1:13" x14ac:dyDescent="0.25">
      <c r="A19" s="6" t="s">
        <v>48</v>
      </c>
      <c r="B19" s="110">
        <v>20</v>
      </c>
      <c r="C19" s="110">
        <v>5</v>
      </c>
      <c r="D19" s="110">
        <v>40</v>
      </c>
      <c r="E19" s="110">
        <v>1</v>
      </c>
      <c r="F19" s="110">
        <v>10</v>
      </c>
      <c r="G19" s="124" t="s">
        <v>125</v>
      </c>
      <c r="H19" s="6">
        <v>5</v>
      </c>
      <c r="I19" s="7">
        <v>7</v>
      </c>
      <c r="J19">
        <v>16.899999999999999</v>
      </c>
      <c r="K19" t="s">
        <v>101</v>
      </c>
      <c r="L19" s="7"/>
      <c r="M19" s="14" t="str">
        <f>Table127[[#This Row],[Slaggmängd]]&amp;Table127[[#This Row],[Gjuttemperatur]]&amp;Table127[[#This Row],[Temperatur motgjutningsyta]]&amp;Table127[[#This Row],[Värmekabel]]&amp;Table127[[#This Row],[Antal värmekablar]]&amp;Table127[[#This Row],[Täckning '[mm']]]&amp;Table127[[#This Row],[Formisolering '[mm']]]&amp;Table127[[#This Row],[OK&lt;17 Timamr]]&amp;Table127[[#This Row],[Kommentar]]</f>
        <v>Bas+0%20540110Plywood 12-19  cellplast 50OK17</v>
      </c>
    </row>
    <row r="20" spans="1:13" x14ac:dyDescent="0.25">
      <c r="A20" s="6" t="s">
        <v>48</v>
      </c>
      <c r="B20" s="110">
        <v>20</v>
      </c>
      <c r="C20" s="110">
        <v>5</v>
      </c>
      <c r="D20" s="110">
        <v>40</v>
      </c>
      <c r="E20" s="110">
        <v>1</v>
      </c>
      <c r="F20" s="110">
        <v>10</v>
      </c>
      <c r="G20" s="124" t="s">
        <v>126</v>
      </c>
      <c r="H20" s="6">
        <v>5</v>
      </c>
      <c r="I20" s="7">
        <v>12</v>
      </c>
      <c r="J20">
        <v>16.899999999999999</v>
      </c>
      <c r="K20" t="s">
        <v>101</v>
      </c>
      <c r="L20" s="7"/>
      <c r="M20" s="14" t="str">
        <f>Table127[[#This Row],[Slaggmängd]]&amp;Table127[[#This Row],[Gjuttemperatur]]&amp;Table127[[#This Row],[Temperatur motgjutningsyta]]&amp;Table127[[#This Row],[Värmekabel]]&amp;Table127[[#This Row],[Antal värmekablar]]&amp;Table127[[#This Row],[Täckning '[mm']]]&amp;Table127[[#This Row],[Formisolering '[mm']]]&amp;Table127[[#This Row],[OK&lt;17 Timamr]]&amp;Table127[[#This Row],[Kommentar]]</f>
        <v>Bas+0%20540110Plywood 12-19 cellplast 70OK17</v>
      </c>
    </row>
    <row r="21" spans="1:13" ht="15.75" thickBot="1" x14ac:dyDescent="0.3">
      <c r="A21" s="6" t="s">
        <v>48</v>
      </c>
      <c r="B21" s="110">
        <v>20</v>
      </c>
      <c r="C21" s="110">
        <v>5</v>
      </c>
      <c r="D21" s="110">
        <v>40</v>
      </c>
      <c r="E21" s="110">
        <v>1</v>
      </c>
      <c r="F21" s="110">
        <v>10</v>
      </c>
      <c r="G21" s="124" t="s">
        <v>127</v>
      </c>
      <c r="H21" s="8">
        <v>5</v>
      </c>
      <c r="I21" s="10">
        <v>20</v>
      </c>
      <c r="J21" s="9">
        <v>17</v>
      </c>
      <c r="K21" s="9" t="s">
        <v>101</v>
      </c>
      <c r="L21" s="10"/>
      <c r="M21" s="15" t="str">
        <f>Table127[[#This Row],[Slaggmängd]]&amp;Table127[[#This Row],[Gjuttemperatur]]&amp;Table127[[#This Row],[Temperatur motgjutningsyta]]&amp;Table127[[#This Row],[Värmekabel]]&amp;Table127[[#This Row],[Antal värmekablar]]&amp;Table127[[#This Row],[Täckning '[mm']]]&amp;Table127[[#This Row],[Formisolering '[mm']]]&amp;Table127[[#This Row],[OK&lt;17 Timamr]]&amp;Table127[[#This Row],[Kommentar]]</f>
        <v>Bas+0%20540110Plywood 12-19 cellplast 100OK17</v>
      </c>
    </row>
    <row r="22" spans="1:13" x14ac:dyDescent="0.25">
      <c r="A22" s="3">
        <v>0.1</v>
      </c>
      <c r="B22" s="107">
        <v>20</v>
      </c>
      <c r="C22" s="107">
        <v>5</v>
      </c>
      <c r="D22" s="107">
        <v>40</v>
      </c>
      <c r="E22" s="107">
        <v>3</v>
      </c>
      <c r="F22" s="107">
        <v>10</v>
      </c>
      <c r="G22" s="125" t="s">
        <v>126</v>
      </c>
      <c r="H22" s="3">
        <v>0</v>
      </c>
      <c r="I22" s="5">
        <v>0</v>
      </c>
      <c r="J22" s="4">
        <v>17</v>
      </c>
      <c r="K22" s="4" t="s">
        <v>101</v>
      </c>
      <c r="L22" s="5"/>
      <c r="M22" s="13" t="str">
        <f>Table127[[#This Row],[Slaggmängd]]&amp;Table127[[#This Row],[Gjuttemperatur]]&amp;Table127[[#This Row],[Temperatur motgjutningsyta]]&amp;Table127[[#This Row],[Värmekabel]]&amp;Table127[[#This Row],[Antal värmekablar]]&amp;Table127[[#This Row],[Täckning '[mm']]]&amp;Table127[[#This Row],[Formisolering '[mm']]]&amp;Table127[[#This Row],[OK&lt;17 Timamr]]&amp;Table127[[#This Row],[Kommentar]]</f>
        <v>0,120540310Plywood 12-19 cellplast 70OK17</v>
      </c>
    </row>
    <row r="23" spans="1:13" x14ac:dyDescent="0.25">
      <c r="A23" s="6" t="s">
        <v>48</v>
      </c>
      <c r="B23" s="110">
        <v>20</v>
      </c>
      <c r="C23" s="110">
        <v>5</v>
      </c>
      <c r="D23" s="110">
        <v>40</v>
      </c>
      <c r="E23" s="110">
        <v>1</v>
      </c>
      <c r="F23" s="110">
        <v>10</v>
      </c>
      <c r="G23" s="122" t="s">
        <v>128</v>
      </c>
      <c r="H23" s="6">
        <v>0</v>
      </c>
      <c r="I23" s="7">
        <v>2</v>
      </c>
      <c r="J23">
        <v>17</v>
      </c>
      <c r="K23" t="s">
        <v>101</v>
      </c>
      <c r="L23" s="7"/>
      <c r="M23" s="14" t="str">
        <f>Table127[[#This Row],[Slaggmängd]]&amp;Table127[[#This Row],[Gjuttemperatur]]&amp;Table127[[#This Row],[Temperatur motgjutningsyta]]&amp;Table127[[#This Row],[Värmekabel]]&amp;Table127[[#This Row],[Antal värmekablar]]&amp;Table127[[#This Row],[Täckning '[mm']]]&amp;Table127[[#This Row],[Formisolering '[mm']]]&amp;Table127[[#This Row],[OK&lt;17 Timamr]]&amp;Table127[[#This Row],[Kommentar]]</f>
        <v>Bas+0%20540110Plywood 12-19 cellplast 120OK17</v>
      </c>
    </row>
    <row r="24" spans="1:13" x14ac:dyDescent="0.25">
      <c r="A24" s="6" t="s">
        <v>48</v>
      </c>
      <c r="B24" s="110">
        <v>20</v>
      </c>
      <c r="C24" s="110">
        <v>5</v>
      </c>
      <c r="D24" s="110">
        <v>40</v>
      </c>
      <c r="E24" s="110">
        <v>2</v>
      </c>
      <c r="F24" s="110">
        <v>10</v>
      </c>
      <c r="G24" s="122" t="s">
        <v>126</v>
      </c>
      <c r="H24" s="6">
        <v>0</v>
      </c>
      <c r="I24" s="7">
        <v>7</v>
      </c>
      <c r="J24">
        <v>16.8</v>
      </c>
      <c r="K24" t="s">
        <v>101</v>
      </c>
      <c r="L24" s="7"/>
      <c r="M24" s="14" t="str">
        <f>Table127[[#This Row],[Slaggmängd]]&amp;Table127[[#This Row],[Gjuttemperatur]]&amp;Table127[[#This Row],[Temperatur motgjutningsyta]]&amp;Table127[[#This Row],[Värmekabel]]&amp;Table127[[#This Row],[Antal värmekablar]]&amp;Table127[[#This Row],[Täckning '[mm']]]&amp;Table127[[#This Row],[Formisolering '[mm']]]&amp;Table127[[#This Row],[OK&lt;17 Timamr]]&amp;Table127[[#This Row],[Kommentar]]</f>
        <v>Bas+0%20540210Plywood 12-19 cellplast 70OK17</v>
      </c>
    </row>
    <row r="25" spans="1:13" x14ac:dyDescent="0.25">
      <c r="A25" s="6" t="s">
        <v>48</v>
      </c>
      <c r="B25" s="110">
        <v>20</v>
      </c>
      <c r="C25" s="110">
        <v>5</v>
      </c>
      <c r="D25" s="110">
        <v>40</v>
      </c>
      <c r="E25" s="110">
        <v>2</v>
      </c>
      <c r="F25" s="110">
        <v>10</v>
      </c>
      <c r="G25" s="122" t="s">
        <v>128</v>
      </c>
      <c r="H25" s="6">
        <v>0</v>
      </c>
      <c r="I25" s="7">
        <v>12</v>
      </c>
      <c r="J25">
        <v>17</v>
      </c>
      <c r="K25" t="s">
        <v>101</v>
      </c>
      <c r="L25" s="7"/>
      <c r="M25" s="14" t="str">
        <f>Table127[[#This Row],[Slaggmängd]]&amp;Table127[[#This Row],[Gjuttemperatur]]&amp;Table127[[#This Row],[Temperatur motgjutningsyta]]&amp;Table127[[#This Row],[Värmekabel]]&amp;Table127[[#This Row],[Antal värmekablar]]&amp;Table127[[#This Row],[Täckning '[mm']]]&amp;Table127[[#This Row],[Formisolering '[mm']]]&amp;Table127[[#This Row],[OK&lt;17 Timamr]]&amp;Table127[[#This Row],[Kommentar]]</f>
        <v>Bas+0%20540210Plywood 12-19 cellplast 120OK17</v>
      </c>
    </row>
    <row r="26" spans="1:13" ht="15.75" thickBot="1" x14ac:dyDescent="0.3">
      <c r="A26" s="8" t="s">
        <v>9</v>
      </c>
      <c r="B26" s="112" t="s">
        <v>9</v>
      </c>
      <c r="C26" s="112" t="s">
        <v>9</v>
      </c>
      <c r="D26" s="112" t="s">
        <v>9</v>
      </c>
      <c r="E26" s="112" t="s">
        <v>9</v>
      </c>
      <c r="F26" s="112" t="s">
        <v>9</v>
      </c>
      <c r="G26" s="123" t="s">
        <v>9</v>
      </c>
      <c r="H26" s="8">
        <v>0</v>
      </c>
      <c r="I26" s="10">
        <v>20</v>
      </c>
      <c r="J26" s="9"/>
      <c r="K26" s="9"/>
      <c r="L26" s="10" t="s">
        <v>122</v>
      </c>
      <c r="M26" s="15" t="str">
        <f>Table127[[#This Row],[Slaggmängd]]&amp;Table127[[#This Row],[Gjuttemperatur]]&amp;Table127[[#This Row],[Temperatur motgjutningsyta]]&amp;Table127[[#This Row],[Värmekabel]]&amp;Table127[[#This Row],[Antal värmekablar]]&amp;Table127[[#This Row],[Täckning '[mm']]]&amp;Table127[[#This Row],[Formisolering '[mm']]]&amp;Table127[[#This Row],[OK&lt;17 Timamr]]&amp;Table127[[#This Row],[Kommentar]]</f>
        <v>-------Når ej 6 MPa</v>
      </c>
    </row>
    <row r="27" spans="1:13" x14ac:dyDescent="0.25">
      <c r="A27" s="3" t="s">
        <v>48</v>
      </c>
      <c r="B27" s="107">
        <v>20</v>
      </c>
      <c r="C27" s="107">
        <v>5</v>
      </c>
      <c r="D27" s="107">
        <v>40</v>
      </c>
      <c r="E27" s="107">
        <v>1</v>
      </c>
      <c r="F27" s="107">
        <v>10</v>
      </c>
      <c r="G27" s="125" t="s">
        <v>127</v>
      </c>
      <c r="H27" s="3">
        <v>-5</v>
      </c>
      <c r="I27" s="5">
        <v>0</v>
      </c>
      <c r="J27" s="4">
        <v>17</v>
      </c>
      <c r="K27" s="4" t="s">
        <v>101</v>
      </c>
      <c r="L27" s="5"/>
      <c r="M27" s="13" t="str">
        <f>Table127[[#This Row],[Slaggmängd]]&amp;Table127[[#This Row],[Gjuttemperatur]]&amp;Table127[[#This Row],[Temperatur motgjutningsyta]]&amp;Table127[[#This Row],[Värmekabel]]&amp;Table127[[#This Row],[Antal värmekablar]]&amp;Table127[[#This Row],[Täckning '[mm']]]&amp;Table127[[#This Row],[Formisolering '[mm']]]&amp;Table127[[#This Row],[OK&lt;17 Timamr]]&amp;Table127[[#This Row],[Kommentar]]</f>
        <v>Bas+0%20540110Plywood 12-19 cellplast 100OK17</v>
      </c>
    </row>
    <row r="28" spans="1:13" x14ac:dyDescent="0.25">
      <c r="A28" s="6" t="s">
        <v>48</v>
      </c>
      <c r="B28" s="110">
        <v>20</v>
      </c>
      <c r="C28" s="110">
        <v>5</v>
      </c>
      <c r="D28" s="110">
        <v>40</v>
      </c>
      <c r="E28" s="110">
        <v>2</v>
      </c>
      <c r="F28" s="110">
        <v>10</v>
      </c>
      <c r="G28" s="122" t="s">
        <v>126</v>
      </c>
      <c r="H28" s="6">
        <v>-5</v>
      </c>
      <c r="I28" s="7">
        <v>2</v>
      </c>
      <c r="J28">
        <v>16.8</v>
      </c>
      <c r="K28" t="s">
        <v>101</v>
      </c>
      <c r="L28" s="7"/>
      <c r="M28" s="14" t="str">
        <f>Table127[[#This Row],[Slaggmängd]]&amp;Table127[[#This Row],[Gjuttemperatur]]&amp;Table127[[#This Row],[Temperatur motgjutningsyta]]&amp;Table127[[#This Row],[Värmekabel]]&amp;Table127[[#This Row],[Antal värmekablar]]&amp;Table127[[#This Row],[Täckning '[mm']]]&amp;Table127[[#This Row],[Formisolering '[mm']]]&amp;Table127[[#This Row],[OK&lt;17 Timamr]]&amp;Table127[[#This Row],[Kommentar]]</f>
        <v>Bas+0%20540210Plywood 12-19 cellplast 70OK17</v>
      </c>
    </row>
    <row r="29" spans="1:13" x14ac:dyDescent="0.25">
      <c r="A29" s="6" t="s">
        <v>9</v>
      </c>
      <c r="B29" s="110" t="s">
        <v>9</v>
      </c>
      <c r="C29" s="110" t="s">
        <v>9</v>
      </c>
      <c r="D29" s="110" t="s">
        <v>9</v>
      </c>
      <c r="E29" s="110" t="s">
        <v>9</v>
      </c>
      <c r="F29" s="110" t="s">
        <v>9</v>
      </c>
      <c r="G29" s="122" t="s">
        <v>9</v>
      </c>
      <c r="H29" s="6">
        <v>-5</v>
      </c>
      <c r="I29" s="7">
        <v>7</v>
      </c>
      <c r="L29" s="7" t="s">
        <v>122</v>
      </c>
      <c r="M29" s="14" t="str">
        <f>Table127[[#This Row],[Slaggmängd]]&amp;Table127[[#This Row],[Gjuttemperatur]]&amp;Table127[[#This Row],[Temperatur motgjutningsyta]]&amp;Table127[[#This Row],[Värmekabel]]&amp;Table127[[#This Row],[Antal värmekablar]]&amp;Table127[[#This Row],[Täckning '[mm']]]&amp;Table127[[#This Row],[Formisolering '[mm']]]&amp;Table127[[#This Row],[OK&lt;17 Timamr]]&amp;Table127[[#This Row],[Kommentar]]</f>
        <v>-------Når ej 6 MPa</v>
      </c>
    </row>
    <row r="30" spans="1:13" x14ac:dyDescent="0.25">
      <c r="A30" s="6" t="s">
        <v>9</v>
      </c>
      <c r="B30" s="110" t="s">
        <v>9</v>
      </c>
      <c r="C30" s="110" t="s">
        <v>9</v>
      </c>
      <c r="D30" s="110" t="s">
        <v>9</v>
      </c>
      <c r="E30" s="110" t="s">
        <v>9</v>
      </c>
      <c r="F30" s="110" t="s">
        <v>9</v>
      </c>
      <c r="G30" s="122" t="s">
        <v>9</v>
      </c>
      <c r="H30" s="6">
        <v>-5</v>
      </c>
      <c r="I30" s="7">
        <v>12</v>
      </c>
      <c r="L30" s="7" t="s">
        <v>122</v>
      </c>
      <c r="M30" s="14" t="str">
        <f>Table127[[#This Row],[Slaggmängd]]&amp;Table127[[#This Row],[Gjuttemperatur]]&amp;Table127[[#This Row],[Temperatur motgjutningsyta]]&amp;Table127[[#This Row],[Värmekabel]]&amp;Table127[[#This Row],[Antal värmekablar]]&amp;Table127[[#This Row],[Täckning '[mm']]]&amp;Table127[[#This Row],[Formisolering '[mm']]]&amp;Table127[[#This Row],[OK&lt;17 Timamr]]&amp;Table127[[#This Row],[Kommentar]]</f>
        <v>-------Når ej 6 MPa</v>
      </c>
    </row>
    <row r="31" spans="1:13" ht="15.75" thickBot="1" x14ac:dyDescent="0.3">
      <c r="A31" s="8" t="s">
        <v>9</v>
      </c>
      <c r="B31" s="112" t="s">
        <v>9</v>
      </c>
      <c r="C31" s="112" t="s">
        <v>9</v>
      </c>
      <c r="D31" s="112" t="s">
        <v>9</v>
      </c>
      <c r="E31" s="112" t="s">
        <v>9</v>
      </c>
      <c r="F31" s="112" t="s">
        <v>9</v>
      </c>
      <c r="G31" s="123" t="s">
        <v>9</v>
      </c>
      <c r="H31" s="8">
        <v>-5</v>
      </c>
      <c r="I31" s="10">
        <v>20</v>
      </c>
      <c r="J31" s="9"/>
      <c r="K31" s="9"/>
      <c r="L31" s="10" t="s">
        <v>100</v>
      </c>
      <c r="M31" s="15" t="str">
        <f>Table127[[#This Row],[Slaggmängd]]&amp;Table127[[#This Row],[Gjuttemperatur]]&amp;Table127[[#This Row],[Temperatur motgjutningsyta]]&amp;Table127[[#This Row],[Värmekabel]]&amp;Table127[[#This Row],[Antal värmekablar]]&amp;Table127[[#This Row],[Täckning '[mm']]]&amp;Table127[[#This Row],[Formisolering '[mm']]]&amp;Table127[[#This Row],[OK&lt;17 Timamr]]&amp;Table127[[#This Row],[Kommentar]]</f>
        <v>-------Fryser innan täck</v>
      </c>
    </row>
    <row r="32" spans="1:13" x14ac:dyDescent="0.25">
      <c r="A32" s="3" t="s">
        <v>48</v>
      </c>
      <c r="B32" s="107">
        <v>20</v>
      </c>
      <c r="C32" s="107">
        <v>5</v>
      </c>
      <c r="D32" s="107">
        <v>40</v>
      </c>
      <c r="E32" s="107">
        <v>2</v>
      </c>
      <c r="F32" s="107">
        <v>10</v>
      </c>
      <c r="G32" s="125" t="s">
        <v>125</v>
      </c>
      <c r="H32" s="3">
        <v>-10</v>
      </c>
      <c r="I32" s="5">
        <v>0</v>
      </c>
      <c r="J32" s="4">
        <v>16.7</v>
      </c>
      <c r="K32" s="4" t="s">
        <v>101</v>
      </c>
      <c r="L32" s="5"/>
      <c r="M32" s="13" t="str">
        <f>Table127[[#This Row],[Slaggmängd]]&amp;Table127[[#This Row],[Gjuttemperatur]]&amp;Table127[[#This Row],[Temperatur motgjutningsyta]]&amp;Table127[[#This Row],[Värmekabel]]&amp;Table127[[#This Row],[Antal värmekablar]]&amp;Table127[[#This Row],[Täckning '[mm']]]&amp;Table127[[#This Row],[Formisolering '[mm']]]&amp;Table127[[#This Row],[OK&lt;17 Timamr]]&amp;Table127[[#This Row],[Kommentar]]</f>
        <v>Bas+0%20540210Plywood 12-19  cellplast 50OK17</v>
      </c>
    </row>
    <row r="33" spans="1:13" x14ac:dyDescent="0.25">
      <c r="A33" s="6" t="s">
        <v>48</v>
      </c>
      <c r="B33" s="110">
        <v>20</v>
      </c>
      <c r="C33" s="110">
        <v>5</v>
      </c>
      <c r="D33" s="110">
        <v>40</v>
      </c>
      <c r="E33" s="110">
        <v>3</v>
      </c>
      <c r="F33" s="110">
        <v>10</v>
      </c>
      <c r="G33" s="122" t="s">
        <v>128</v>
      </c>
      <c r="H33" s="6">
        <v>-10</v>
      </c>
      <c r="I33" s="7">
        <v>2</v>
      </c>
      <c r="J33">
        <v>16.899999999999999</v>
      </c>
      <c r="K33" t="s">
        <v>101</v>
      </c>
      <c r="L33" s="7"/>
      <c r="M33" s="14" t="str">
        <f>Table127[[#This Row],[Slaggmängd]]&amp;Table127[[#This Row],[Gjuttemperatur]]&amp;Table127[[#This Row],[Temperatur motgjutningsyta]]&amp;Table127[[#This Row],[Värmekabel]]&amp;Table127[[#This Row],[Antal värmekablar]]&amp;Table127[[#This Row],[Täckning '[mm']]]&amp;Table127[[#This Row],[Formisolering '[mm']]]&amp;Table127[[#This Row],[OK&lt;17 Timamr]]&amp;Table127[[#This Row],[Kommentar]]</f>
        <v>Bas+0%20540310Plywood 12-19 cellplast 120OK17</v>
      </c>
    </row>
    <row r="34" spans="1:13" x14ac:dyDescent="0.25">
      <c r="A34" s="6" t="s">
        <v>9</v>
      </c>
      <c r="B34" s="110" t="s">
        <v>9</v>
      </c>
      <c r="C34" s="110" t="s">
        <v>9</v>
      </c>
      <c r="D34" s="110" t="s">
        <v>9</v>
      </c>
      <c r="E34" s="110" t="s">
        <v>9</v>
      </c>
      <c r="F34" s="110" t="s">
        <v>9</v>
      </c>
      <c r="G34" s="122" t="s">
        <v>9</v>
      </c>
      <c r="H34" s="6">
        <v>-10</v>
      </c>
      <c r="I34" s="7">
        <v>7</v>
      </c>
      <c r="L34" s="7" t="s">
        <v>122</v>
      </c>
      <c r="M34" s="14" t="str">
        <f>Table127[[#This Row],[Slaggmängd]]&amp;Table127[[#This Row],[Gjuttemperatur]]&amp;Table127[[#This Row],[Temperatur motgjutningsyta]]&amp;Table127[[#This Row],[Värmekabel]]&amp;Table127[[#This Row],[Antal värmekablar]]&amp;Table127[[#This Row],[Täckning '[mm']]]&amp;Table127[[#This Row],[Formisolering '[mm']]]&amp;Table127[[#This Row],[OK&lt;17 Timamr]]&amp;Table127[[#This Row],[Kommentar]]</f>
        <v>-------Når ej 6 MPa</v>
      </c>
    </row>
    <row r="35" spans="1:13" x14ac:dyDescent="0.25">
      <c r="A35" s="6" t="s">
        <v>9</v>
      </c>
      <c r="B35" s="110" t="s">
        <v>9</v>
      </c>
      <c r="C35" s="110" t="s">
        <v>9</v>
      </c>
      <c r="D35" s="110" t="s">
        <v>9</v>
      </c>
      <c r="E35" s="110" t="s">
        <v>9</v>
      </c>
      <c r="F35" s="110" t="s">
        <v>9</v>
      </c>
      <c r="G35" s="122" t="s">
        <v>9</v>
      </c>
      <c r="H35" s="6">
        <v>-10</v>
      </c>
      <c r="I35" s="7">
        <v>12</v>
      </c>
      <c r="L35" s="7" t="s">
        <v>100</v>
      </c>
      <c r="M35" s="14" t="str">
        <f>Table127[[#This Row],[Slaggmängd]]&amp;Table127[[#This Row],[Gjuttemperatur]]&amp;Table127[[#This Row],[Temperatur motgjutningsyta]]&amp;Table127[[#This Row],[Värmekabel]]&amp;Table127[[#This Row],[Antal värmekablar]]&amp;Table127[[#This Row],[Täckning '[mm']]]&amp;Table127[[#This Row],[Formisolering '[mm']]]&amp;Table127[[#This Row],[OK&lt;17 Timamr]]&amp;Table127[[#This Row],[Kommentar]]</f>
        <v>-------Fryser innan täck</v>
      </c>
    </row>
    <row r="36" spans="1:13" ht="15.75" thickBot="1" x14ac:dyDescent="0.3">
      <c r="A36" s="8" t="s">
        <v>9</v>
      </c>
      <c r="B36" s="112" t="s">
        <v>9</v>
      </c>
      <c r="C36" s="112" t="s">
        <v>9</v>
      </c>
      <c r="D36" s="112" t="s">
        <v>9</v>
      </c>
      <c r="E36" s="112" t="s">
        <v>9</v>
      </c>
      <c r="F36" s="112" t="s">
        <v>9</v>
      </c>
      <c r="G36" s="123" t="s">
        <v>9</v>
      </c>
      <c r="H36" s="8">
        <v>-10</v>
      </c>
      <c r="I36" s="10">
        <v>20</v>
      </c>
      <c r="J36" s="9"/>
      <c r="K36" s="9"/>
      <c r="L36" s="10" t="s">
        <v>100</v>
      </c>
      <c r="M36" s="15" t="str">
        <f>Table127[[#This Row],[Slaggmängd]]&amp;Table127[[#This Row],[Gjuttemperatur]]&amp;Table127[[#This Row],[Temperatur motgjutningsyta]]&amp;Table127[[#This Row],[Värmekabel]]&amp;Table127[[#This Row],[Antal värmekablar]]&amp;Table127[[#This Row],[Täckning '[mm']]]&amp;Table127[[#This Row],[Formisolering '[mm']]]&amp;Table127[[#This Row],[OK&lt;17 Timamr]]&amp;Table127[[#This Row],[Kommentar]]</f>
        <v>-------Fryser innan täck</v>
      </c>
    </row>
    <row r="37" spans="1:13" x14ac:dyDescent="0.25">
      <c r="A37" s="6" t="s">
        <v>9</v>
      </c>
      <c r="B37" s="110" t="s">
        <v>9</v>
      </c>
      <c r="C37" s="110" t="s">
        <v>9</v>
      </c>
      <c r="D37" s="110" t="s">
        <v>9</v>
      </c>
      <c r="E37" s="110" t="s">
        <v>9</v>
      </c>
      <c r="F37" s="110" t="s">
        <v>9</v>
      </c>
      <c r="G37" s="124" t="s">
        <v>9</v>
      </c>
      <c r="H37" s="3">
        <v>-15</v>
      </c>
      <c r="I37" s="5">
        <v>0</v>
      </c>
      <c r="J37" s="4"/>
      <c r="K37" s="4"/>
      <c r="L37" s="5" t="s">
        <v>122</v>
      </c>
      <c r="M37" s="13" t="str">
        <f>Table127[[#This Row],[Slaggmängd]]&amp;Table127[[#This Row],[Gjuttemperatur]]&amp;Table127[[#This Row],[Temperatur motgjutningsyta]]&amp;Table127[[#This Row],[Värmekabel]]&amp;Table127[[#This Row],[Antal värmekablar]]&amp;Table127[[#This Row],[Täckning '[mm']]]&amp;Table127[[#This Row],[Formisolering '[mm']]]&amp;Table127[[#This Row],[OK&lt;17 Timamr]]&amp;Table127[[#This Row],[Kommentar]]</f>
        <v>-------Når ej 6 MPa</v>
      </c>
    </row>
    <row r="38" spans="1:13" x14ac:dyDescent="0.25">
      <c r="A38" s="6" t="s">
        <v>9</v>
      </c>
      <c r="B38" s="110" t="s">
        <v>9</v>
      </c>
      <c r="C38" s="110" t="s">
        <v>9</v>
      </c>
      <c r="D38" s="110" t="s">
        <v>9</v>
      </c>
      <c r="E38" s="110" t="s">
        <v>9</v>
      </c>
      <c r="F38" s="110" t="s">
        <v>9</v>
      </c>
      <c r="G38" s="124" t="s">
        <v>9</v>
      </c>
      <c r="H38" s="6">
        <v>-15</v>
      </c>
      <c r="I38" s="7">
        <v>2</v>
      </c>
      <c r="L38" s="7" t="s">
        <v>122</v>
      </c>
      <c r="M38" s="14" t="str">
        <f>Table127[[#This Row],[Slaggmängd]]&amp;Table127[[#This Row],[Gjuttemperatur]]&amp;Table127[[#This Row],[Temperatur motgjutningsyta]]&amp;Table127[[#This Row],[Värmekabel]]&amp;Table127[[#This Row],[Antal värmekablar]]&amp;Table127[[#This Row],[Täckning '[mm']]]&amp;Table127[[#This Row],[Formisolering '[mm']]]&amp;Table127[[#This Row],[OK&lt;17 Timamr]]&amp;Table127[[#This Row],[Kommentar]]</f>
        <v>-------Når ej 6 MPa</v>
      </c>
    </row>
    <row r="39" spans="1:13" x14ac:dyDescent="0.25">
      <c r="A39" s="6" t="s">
        <v>9</v>
      </c>
      <c r="B39" s="110" t="s">
        <v>9</v>
      </c>
      <c r="C39" s="110" t="s">
        <v>9</v>
      </c>
      <c r="D39" s="110" t="s">
        <v>9</v>
      </c>
      <c r="E39" s="110" t="s">
        <v>9</v>
      </c>
      <c r="F39" s="110" t="s">
        <v>9</v>
      </c>
      <c r="G39" s="124" t="s">
        <v>9</v>
      </c>
      <c r="H39" s="6">
        <v>-15</v>
      </c>
      <c r="I39" s="7">
        <v>7</v>
      </c>
      <c r="L39" s="7" t="s">
        <v>100</v>
      </c>
      <c r="M39" s="14" t="str">
        <f>Table127[[#This Row],[Slaggmängd]]&amp;Table127[[#This Row],[Gjuttemperatur]]&amp;Table127[[#This Row],[Temperatur motgjutningsyta]]&amp;Table127[[#This Row],[Värmekabel]]&amp;Table127[[#This Row],[Antal värmekablar]]&amp;Table127[[#This Row],[Täckning '[mm']]]&amp;Table127[[#This Row],[Formisolering '[mm']]]&amp;Table127[[#This Row],[OK&lt;17 Timamr]]&amp;Table127[[#This Row],[Kommentar]]</f>
        <v>-------Fryser innan täck</v>
      </c>
    </row>
    <row r="40" spans="1:13" x14ac:dyDescent="0.25">
      <c r="A40" s="6" t="s">
        <v>9</v>
      </c>
      <c r="B40" s="110" t="s">
        <v>9</v>
      </c>
      <c r="C40" s="110" t="s">
        <v>9</v>
      </c>
      <c r="D40" s="110" t="s">
        <v>9</v>
      </c>
      <c r="E40" s="110" t="s">
        <v>9</v>
      </c>
      <c r="F40" s="110" t="s">
        <v>9</v>
      </c>
      <c r="G40" s="124" t="s">
        <v>9</v>
      </c>
      <c r="H40" s="6">
        <v>-15</v>
      </c>
      <c r="I40" s="7">
        <v>12</v>
      </c>
      <c r="L40" s="7" t="s">
        <v>100</v>
      </c>
      <c r="M40" s="14" t="str">
        <f>Table127[[#This Row],[Slaggmängd]]&amp;Table127[[#This Row],[Gjuttemperatur]]&amp;Table127[[#This Row],[Temperatur motgjutningsyta]]&amp;Table127[[#This Row],[Värmekabel]]&amp;Table127[[#This Row],[Antal värmekablar]]&amp;Table127[[#This Row],[Täckning '[mm']]]&amp;Table127[[#This Row],[Formisolering '[mm']]]&amp;Table127[[#This Row],[OK&lt;17 Timamr]]&amp;Table127[[#This Row],[Kommentar]]</f>
        <v>-------Fryser innan täck</v>
      </c>
    </row>
    <row r="41" spans="1:13" ht="15.75" thickBot="1" x14ac:dyDescent="0.3">
      <c r="A41" s="6" t="s">
        <v>9</v>
      </c>
      <c r="B41" s="110" t="s">
        <v>9</v>
      </c>
      <c r="C41" s="110" t="s">
        <v>9</v>
      </c>
      <c r="D41" s="110" t="s">
        <v>9</v>
      </c>
      <c r="E41" s="110" t="s">
        <v>9</v>
      </c>
      <c r="F41" s="110" t="s">
        <v>9</v>
      </c>
      <c r="G41" s="124" t="s">
        <v>9</v>
      </c>
      <c r="H41" s="8">
        <v>-15</v>
      </c>
      <c r="I41" s="10">
        <v>20</v>
      </c>
      <c r="J41" s="9"/>
      <c r="K41" s="9"/>
      <c r="L41" s="10" t="s">
        <v>100</v>
      </c>
      <c r="M41" s="15" t="str">
        <f>Table127[[#This Row],[Slaggmängd]]&amp;Table127[[#This Row],[Gjuttemperatur]]&amp;Table127[[#This Row],[Temperatur motgjutningsyta]]&amp;Table127[[#This Row],[Värmekabel]]&amp;Table127[[#This Row],[Antal värmekablar]]&amp;Table127[[#This Row],[Täckning '[mm']]]&amp;Table127[[#This Row],[Formisolering '[mm']]]&amp;Table127[[#This Row],[OK&lt;17 Timamr]]&amp;Table127[[#This Row],[Kommentar]]</f>
        <v>-------Fryser innan täck</v>
      </c>
    </row>
    <row r="42" spans="1:13" x14ac:dyDescent="0.25">
      <c r="A42" s="3" t="s">
        <v>9</v>
      </c>
      <c r="B42" s="107" t="s">
        <v>9</v>
      </c>
      <c r="C42" s="107" t="s">
        <v>9</v>
      </c>
      <c r="D42" s="107" t="s">
        <v>9</v>
      </c>
      <c r="E42" s="107" t="s">
        <v>9</v>
      </c>
      <c r="F42" s="107" t="s">
        <v>9</v>
      </c>
      <c r="G42" s="125" t="s">
        <v>9</v>
      </c>
      <c r="H42" s="6">
        <v>-20</v>
      </c>
      <c r="I42" s="7">
        <v>0</v>
      </c>
      <c r="L42" s="7" t="s">
        <v>122</v>
      </c>
      <c r="M42" s="14" t="str">
        <f>Table127[[#This Row],[Slaggmängd]]&amp;Table127[[#This Row],[Gjuttemperatur]]&amp;Table127[[#This Row],[Temperatur motgjutningsyta]]&amp;Table127[[#This Row],[Värmekabel]]&amp;Table127[[#This Row],[Antal värmekablar]]&amp;Table127[[#This Row],[Täckning '[mm']]]&amp;Table127[[#This Row],[Formisolering '[mm']]]&amp;Table127[[#This Row],[OK&lt;17 Timamr]]&amp;Table127[[#This Row],[Kommentar]]</f>
        <v>-------Når ej 6 MPa</v>
      </c>
    </row>
    <row r="43" spans="1:13" x14ac:dyDescent="0.25">
      <c r="A43" s="6" t="s">
        <v>9</v>
      </c>
      <c r="B43" s="110" t="s">
        <v>9</v>
      </c>
      <c r="C43" s="110" t="s">
        <v>9</v>
      </c>
      <c r="D43" s="110" t="s">
        <v>9</v>
      </c>
      <c r="E43" s="110" t="s">
        <v>9</v>
      </c>
      <c r="F43" s="110" t="s">
        <v>9</v>
      </c>
      <c r="G43" s="122" t="s">
        <v>9</v>
      </c>
      <c r="H43" s="6">
        <v>-20</v>
      </c>
      <c r="I43" s="7">
        <v>2</v>
      </c>
      <c r="L43" s="7" t="s">
        <v>100</v>
      </c>
      <c r="M43" s="14" t="str">
        <f>Table127[[#This Row],[Slaggmängd]]&amp;Table127[[#This Row],[Gjuttemperatur]]&amp;Table127[[#This Row],[Temperatur motgjutningsyta]]&amp;Table127[[#This Row],[Värmekabel]]&amp;Table127[[#This Row],[Antal värmekablar]]&amp;Table127[[#This Row],[Täckning '[mm']]]&amp;Table127[[#This Row],[Formisolering '[mm']]]&amp;Table127[[#This Row],[OK&lt;17 Timamr]]&amp;Table127[[#This Row],[Kommentar]]</f>
        <v>-------Fryser innan täck</v>
      </c>
    </row>
    <row r="44" spans="1:13" x14ac:dyDescent="0.25">
      <c r="A44" s="6" t="s">
        <v>9</v>
      </c>
      <c r="B44" s="110" t="s">
        <v>9</v>
      </c>
      <c r="C44" s="110" t="s">
        <v>9</v>
      </c>
      <c r="D44" s="110" t="s">
        <v>9</v>
      </c>
      <c r="E44" s="110" t="s">
        <v>9</v>
      </c>
      <c r="F44" s="110" t="s">
        <v>9</v>
      </c>
      <c r="G44" s="122" t="s">
        <v>9</v>
      </c>
      <c r="H44" s="6">
        <v>-20</v>
      </c>
      <c r="I44" s="7">
        <v>7</v>
      </c>
      <c r="L44" s="7" t="s">
        <v>100</v>
      </c>
      <c r="M44" s="14" t="str">
        <f>Table127[[#This Row],[Slaggmängd]]&amp;Table127[[#This Row],[Gjuttemperatur]]&amp;Table127[[#This Row],[Temperatur motgjutningsyta]]&amp;Table127[[#This Row],[Värmekabel]]&amp;Table127[[#This Row],[Antal värmekablar]]&amp;Table127[[#This Row],[Täckning '[mm']]]&amp;Table127[[#This Row],[Formisolering '[mm']]]&amp;Table127[[#This Row],[OK&lt;17 Timamr]]&amp;Table127[[#This Row],[Kommentar]]</f>
        <v>-------Fryser innan täck</v>
      </c>
    </row>
    <row r="45" spans="1:13" x14ac:dyDescent="0.25">
      <c r="A45" s="6" t="s">
        <v>9</v>
      </c>
      <c r="B45" s="110" t="s">
        <v>9</v>
      </c>
      <c r="C45" s="110" t="s">
        <v>9</v>
      </c>
      <c r="D45" s="110" t="s">
        <v>9</v>
      </c>
      <c r="E45" s="110" t="s">
        <v>9</v>
      </c>
      <c r="F45" s="110" t="s">
        <v>9</v>
      </c>
      <c r="G45" s="122" t="s">
        <v>9</v>
      </c>
      <c r="H45" s="6">
        <v>-20</v>
      </c>
      <c r="I45" s="7">
        <v>12</v>
      </c>
      <c r="L45" s="7" t="s">
        <v>100</v>
      </c>
      <c r="M45" s="14" t="str">
        <f>Table127[[#This Row],[Slaggmängd]]&amp;Table127[[#This Row],[Gjuttemperatur]]&amp;Table127[[#This Row],[Temperatur motgjutningsyta]]&amp;Table127[[#This Row],[Värmekabel]]&amp;Table127[[#This Row],[Antal värmekablar]]&amp;Table127[[#This Row],[Täckning '[mm']]]&amp;Table127[[#This Row],[Formisolering '[mm']]]&amp;Table127[[#This Row],[OK&lt;17 Timamr]]&amp;Table127[[#This Row],[Kommentar]]</f>
        <v>-------Fryser innan täck</v>
      </c>
    </row>
    <row r="46" spans="1:13" ht="15.75" thickBot="1" x14ac:dyDescent="0.3">
      <c r="A46" s="8" t="s">
        <v>9</v>
      </c>
      <c r="B46" s="112" t="s">
        <v>9</v>
      </c>
      <c r="C46" s="112" t="s">
        <v>9</v>
      </c>
      <c r="D46" s="112" t="s">
        <v>9</v>
      </c>
      <c r="E46" s="112" t="s">
        <v>9</v>
      </c>
      <c r="F46" s="112" t="s">
        <v>9</v>
      </c>
      <c r="G46" s="123" t="s">
        <v>9</v>
      </c>
      <c r="H46" s="8">
        <v>-20</v>
      </c>
      <c r="I46" s="10">
        <v>20</v>
      </c>
      <c r="J46" s="9"/>
      <c r="K46" s="9"/>
      <c r="L46" s="10" t="s">
        <v>100</v>
      </c>
      <c r="M46" s="15" t="str">
        <f>Table127[[#This Row],[Slaggmängd]]&amp;Table127[[#This Row],[Gjuttemperatur]]&amp;Table127[[#This Row],[Temperatur motgjutningsyta]]&amp;Table127[[#This Row],[Värmekabel]]&amp;Table127[[#This Row],[Antal värmekablar]]&amp;Table127[[#This Row],[Täckning '[mm']]]&amp;Table127[[#This Row],[Formisolering '[mm']]]&amp;Table127[[#This Row],[OK&lt;17 Timamr]]&amp;Table127[[#This Row],[Kommentar]]</f>
        <v>-------Fryser innan täck</v>
      </c>
    </row>
  </sheetData>
  <phoneticPr fontId="3" type="noConversion"/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6FEA5140-E422-4349-90A2-835FA088FB36}">
          <x14:formula1>
            <xm:f>Förutsättningar!$H$2:$H$3</xm:f>
          </x14:formula1>
          <xm:sqref>L2:L46</xm:sqref>
        </x14:dataValidation>
        <x14:dataValidation type="list" allowBlank="1" showInputMessage="1" showErrorMessage="1" xr:uid="{97C9A785-1B89-46F3-846A-D1CDB0B53343}">
          <x14:formula1>
            <xm:f>Förutsättningar!$I$2</xm:f>
          </x14:formula1>
          <xm:sqref>K2:K46</xm:sqref>
        </x14:dataValidation>
        <x14:dataValidation type="list" allowBlank="1" showInputMessage="1" showErrorMessage="1" xr:uid="{4A20C7D4-0F42-4C91-834F-8AF8327D2360}">
          <x14:formula1>
            <xm:f>Förutsättningar!$G$2:$G$8</xm:f>
          </x14:formula1>
          <xm:sqref>G2:G46</xm:sqref>
        </x14:dataValidation>
        <x14:dataValidation type="list" allowBlank="1" showInputMessage="1" showErrorMessage="1" xr:uid="{658F8B74-202F-4B4E-B60D-C2B87BEBA8F0}">
          <x14:formula1>
            <xm:f>Förutsättningar!$E$2:$E$5</xm:f>
          </x14:formula1>
          <xm:sqref>E2:E46</xm:sqref>
        </x14:dataValidation>
        <x14:dataValidation type="list" allowBlank="1" showInputMessage="1" showErrorMessage="1" xr:uid="{0CC870EA-B119-40C1-A59C-CF4C95DCB7CC}">
          <x14:formula1>
            <xm:f>Förutsättningar!$C$2:$C$6</xm:f>
          </x14:formula1>
          <xm:sqref>C2:C46</xm:sqref>
        </x14:dataValidation>
        <x14:dataValidation type="list" allowBlank="1" showInputMessage="1" showErrorMessage="1" xr:uid="{98C1C876-669F-4FC3-9698-2F3B83E18DD8}">
          <x14:formula1>
            <xm:f>Förutsättningar!$B$2:$B$6</xm:f>
          </x14:formula1>
          <xm:sqref>B2:B46</xm:sqref>
        </x14:dataValidation>
        <x14:dataValidation type="list" allowBlank="1" showInputMessage="1" showErrorMessage="1" xr:uid="{3D4B3C8B-E40C-4EFD-9F1A-A19F86CE0C20}">
          <x14:formula1>
            <xm:f>Förutsättningar!$A$2:$A$7</xm:f>
          </x14:formula1>
          <xm:sqref>A2:A46</xm:sqref>
        </x14:dataValidation>
        <x14:dataValidation type="list" allowBlank="1" showInputMessage="1" showErrorMessage="1" xr:uid="{FD738C8B-36C2-42D4-9968-DE5127230827}">
          <x14:formula1>
            <xm:f>Förutsättningar!$F$2:$F$7</xm:f>
          </x14:formula1>
          <xm:sqref>F2:F46</xm:sqref>
        </x14:dataValidation>
        <x14:dataValidation type="list" allowBlank="1" showInputMessage="1" showErrorMessage="1" xr:uid="{897B34DA-BF21-44B4-B0D8-B0649D11262B}">
          <x14:formula1>
            <xm:f>Förutsättningar!$D$2:$D$3</xm:f>
          </x14:formula1>
          <xm:sqref>D2:D46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440B2-5302-4ED1-BB7D-3A61A080B1FC}">
  <sheetPr codeName="Sheet9"/>
  <dimension ref="A1:T46"/>
  <sheetViews>
    <sheetView zoomScaleNormal="100" workbookViewId="0">
      <selection activeCell="K38" sqref="K38"/>
    </sheetView>
  </sheetViews>
  <sheetFormatPr defaultRowHeight="15" x14ac:dyDescent="0.25"/>
  <cols>
    <col min="1" max="1" width="14" style="77" bestFit="1" customWidth="1"/>
    <col min="2" max="2" width="17.42578125" style="2" bestFit="1" customWidth="1"/>
    <col min="3" max="3" width="18" style="2" bestFit="1" customWidth="1"/>
    <col min="4" max="4" width="13.85546875" style="2" bestFit="1" customWidth="1"/>
    <col min="5" max="5" width="14.28515625" style="2" bestFit="1" customWidth="1"/>
    <col min="6" max="6" width="16.5703125" bestFit="1" customWidth="1"/>
    <col min="7" max="7" width="25.5703125" bestFit="1" customWidth="1"/>
    <col min="8" max="8" width="13.7109375" bestFit="1" customWidth="1"/>
    <col min="9" max="9" width="7.28515625" bestFit="1" customWidth="1"/>
    <col min="10" max="10" width="24.140625" bestFit="1" customWidth="1"/>
    <col min="11" max="11" width="16.140625" bestFit="1" customWidth="1"/>
    <col min="12" max="12" width="13" bestFit="1" customWidth="1"/>
    <col min="13" max="13" width="40.85546875" bestFit="1" customWidth="1"/>
    <col min="14" max="17" width="11.28515625" customWidth="1"/>
    <col min="18" max="18" width="12.28515625" customWidth="1"/>
  </cols>
  <sheetData>
    <row r="1" spans="1:20" ht="30.75" thickBot="1" x14ac:dyDescent="0.3">
      <c r="A1" s="105" t="s">
        <v>106</v>
      </c>
      <c r="B1" s="80" t="s">
        <v>0</v>
      </c>
      <c r="C1" s="80" t="s">
        <v>1</v>
      </c>
      <c r="D1" s="80" t="s">
        <v>96</v>
      </c>
      <c r="E1" s="80" t="s">
        <v>97</v>
      </c>
      <c r="F1" s="80" t="s">
        <v>3</v>
      </c>
      <c r="G1" s="80" t="s">
        <v>98</v>
      </c>
      <c r="H1" s="11" t="s">
        <v>4</v>
      </c>
      <c r="I1" s="11" t="s">
        <v>5</v>
      </c>
      <c r="J1" s="106" t="s">
        <v>94</v>
      </c>
      <c r="K1" s="11" t="s">
        <v>95</v>
      </c>
      <c r="L1" s="11" t="s">
        <v>6</v>
      </c>
      <c r="M1" s="12" t="s">
        <v>7</v>
      </c>
      <c r="N1" s="1"/>
      <c r="O1" s="1"/>
      <c r="P1" s="1"/>
      <c r="Q1" s="1"/>
      <c r="R1" s="1"/>
      <c r="S1" s="1"/>
      <c r="T1" s="1"/>
    </row>
    <row r="2" spans="1:20" x14ac:dyDescent="0.25">
      <c r="A2" s="3">
        <v>0.1</v>
      </c>
      <c r="B2" s="107">
        <v>15</v>
      </c>
      <c r="C2" s="107">
        <v>20</v>
      </c>
      <c r="D2" s="108" t="s">
        <v>9</v>
      </c>
      <c r="E2" s="108" t="s">
        <v>9</v>
      </c>
      <c r="F2" s="107" t="s">
        <v>9</v>
      </c>
      <c r="G2" s="109" t="s">
        <v>123</v>
      </c>
      <c r="H2" s="3">
        <v>20</v>
      </c>
      <c r="I2" s="5">
        <v>0</v>
      </c>
      <c r="J2">
        <v>15.3</v>
      </c>
      <c r="K2" s="4" t="s">
        <v>101</v>
      </c>
      <c r="L2" s="5"/>
      <c r="M2" s="13" t="str">
        <f>Table128[[#This Row],[Slaggmängd]]&amp;Table128[[#This Row],[Gjuttemperatur]]&amp;Table128[[#This Row],[Temperatur motgjutningsyta]]&amp;Table128[[#This Row],[Värmekabel]]&amp;Table128[[#This Row],[Antal värmekablar]]&amp;Table128[[#This Row],[Täckning '[mm']]]&amp;Table128[[#This Row],[Formisolering '[mm']]]&amp;Table128[[#This Row],[OK&lt;17 Timamr]]&amp;Table128[[#This Row],[Kommentar]]</f>
        <v>0,11520---Plywood 15, oisoleratOK17</v>
      </c>
      <c r="O2" s="1"/>
    </row>
    <row r="3" spans="1:20" x14ac:dyDescent="0.25">
      <c r="A3" s="6">
        <v>0.1</v>
      </c>
      <c r="B3" s="110">
        <v>15</v>
      </c>
      <c r="C3" s="110">
        <v>20</v>
      </c>
      <c r="D3" s="110" t="s">
        <v>9</v>
      </c>
      <c r="E3" s="110" t="s">
        <v>9</v>
      </c>
      <c r="F3" s="110" t="s">
        <v>9</v>
      </c>
      <c r="G3" s="111" t="s">
        <v>123</v>
      </c>
      <c r="H3" s="6">
        <v>20</v>
      </c>
      <c r="I3" s="7">
        <v>2</v>
      </c>
      <c r="J3">
        <v>15.3</v>
      </c>
      <c r="K3" t="s">
        <v>101</v>
      </c>
      <c r="L3" s="7"/>
      <c r="M3" s="14" t="str">
        <f>Table128[[#This Row],[Slaggmängd]]&amp;Table128[[#This Row],[Gjuttemperatur]]&amp;Table128[[#This Row],[Temperatur motgjutningsyta]]&amp;Table128[[#This Row],[Värmekabel]]&amp;Table128[[#This Row],[Antal värmekablar]]&amp;Table128[[#This Row],[Täckning '[mm']]]&amp;Table128[[#This Row],[Formisolering '[mm']]]&amp;Table128[[#This Row],[OK&lt;17 Timamr]]&amp;Table128[[#This Row],[Kommentar]]</f>
        <v>0,11520---Plywood 15, oisoleratOK17</v>
      </c>
    </row>
    <row r="4" spans="1:20" x14ac:dyDescent="0.25">
      <c r="A4" s="6">
        <v>0.1</v>
      </c>
      <c r="B4" s="110">
        <v>15</v>
      </c>
      <c r="C4" s="110">
        <v>20</v>
      </c>
      <c r="D4" s="110" t="s">
        <v>9</v>
      </c>
      <c r="E4" s="110" t="s">
        <v>9</v>
      </c>
      <c r="F4" s="110" t="s">
        <v>9</v>
      </c>
      <c r="G4" s="111" t="s">
        <v>123</v>
      </c>
      <c r="H4" s="6">
        <v>20</v>
      </c>
      <c r="I4" s="7">
        <v>7</v>
      </c>
      <c r="J4">
        <v>15.3</v>
      </c>
      <c r="K4" t="s">
        <v>101</v>
      </c>
      <c r="L4" s="7"/>
      <c r="M4" s="14" t="str">
        <f>Table128[[#This Row],[Slaggmängd]]&amp;Table128[[#This Row],[Gjuttemperatur]]&amp;Table128[[#This Row],[Temperatur motgjutningsyta]]&amp;Table128[[#This Row],[Värmekabel]]&amp;Table128[[#This Row],[Antal värmekablar]]&amp;Table128[[#This Row],[Täckning '[mm']]]&amp;Table128[[#This Row],[Formisolering '[mm']]]&amp;Table128[[#This Row],[OK&lt;17 Timamr]]&amp;Table128[[#This Row],[Kommentar]]</f>
        <v>0,11520---Plywood 15, oisoleratOK17</v>
      </c>
    </row>
    <row r="5" spans="1:20" x14ac:dyDescent="0.25">
      <c r="A5" s="6">
        <v>0.1</v>
      </c>
      <c r="B5" s="110">
        <v>15</v>
      </c>
      <c r="C5" s="110">
        <v>20</v>
      </c>
      <c r="D5" s="110" t="s">
        <v>9</v>
      </c>
      <c r="E5" s="110" t="s">
        <v>9</v>
      </c>
      <c r="F5" s="110" t="s">
        <v>9</v>
      </c>
      <c r="G5" s="111" t="s">
        <v>123</v>
      </c>
      <c r="H5" s="6">
        <v>20</v>
      </c>
      <c r="I5" s="7">
        <v>12</v>
      </c>
      <c r="J5">
        <v>15.3</v>
      </c>
      <c r="K5" t="s">
        <v>101</v>
      </c>
      <c r="L5" s="7"/>
      <c r="M5" s="14" t="str">
        <f>Table128[[#This Row],[Slaggmängd]]&amp;Table128[[#This Row],[Gjuttemperatur]]&amp;Table128[[#This Row],[Temperatur motgjutningsyta]]&amp;Table128[[#This Row],[Värmekabel]]&amp;Table128[[#This Row],[Antal värmekablar]]&amp;Table128[[#This Row],[Täckning '[mm']]]&amp;Table128[[#This Row],[Formisolering '[mm']]]&amp;Table128[[#This Row],[OK&lt;17 Timamr]]&amp;Table128[[#This Row],[Kommentar]]</f>
        <v>0,11520---Plywood 15, oisoleratOK17</v>
      </c>
    </row>
    <row r="6" spans="1:20" ht="15.75" thickBot="1" x14ac:dyDescent="0.3">
      <c r="A6" s="8">
        <v>0.1</v>
      </c>
      <c r="B6" s="112">
        <v>15</v>
      </c>
      <c r="C6" s="112">
        <v>20</v>
      </c>
      <c r="D6" s="112" t="s">
        <v>9</v>
      </c>
      <c r="E6" s="112" t="s">
        <v>9</v>
      </c>
      <c r="F6" s="112" t="s">
        <v>9</v>
      </c>
      <c r="G6" s="113" t="s">
        <v>123</v>
      </c>
      <c r="H6" s="8">
        <v>20</v>
      </c>
      <c r="I6" s="10">
        <v>20</v>
      </c>
      <c r="J6">
        <v>15.3</v>
      </c>
      <c r="K6" t="s">
        <v>101</v>
      </c>
      <c r="L6" s="10"/>
      <c r="M6" s="15" t="str">
        <f>Table128[[#This Row],[Slaggmängd]]&amp;Table128[[#This Row],[Gjuttemperatur]]&amp;Table128[[#This Row],[Temperatur motgjutningsyta]]&amp;Table128[[#This Row],[Värmekabel]]&amp;Table128[[#This Row],[Antal värmekablar]]&amp;Table128[[#This Row],[Täckning '[mm']]]&amp;Table128[[#This Row],[Formisolering '[mm']]]&amp;Table128[[#This Row],[OK&lt;17 Timamr]]&amp;Table128[[#This Row],[Kommentar]]</f>
        <v>0,11520---Plywood 15, oisoleratOK17</v>
      </c>
    </row>
    <row r="7" spans="1:20" x14ac:dyDescent="0.25">
      <c r="A7" s="6" t="s">
        <v>48</v>
      </c>
      <c r="B7" s="110">
        <v>15</v>
      </c>
      <c r="C7" s="110">
        <v>15</v>
      </c>
      <c r="D7" s="110" t="s">
        <v>9</v>
      </c>
      <c r="E7" s="110" t="s">
        <v>9</v>
      </c>
      <c r="F7" s="110" t="s">
        <v>9</v>
      </c>
      <c r="G7" s="110" t="s">
        <v>123</v>
      </c>
      <c r="H7" s="3">
        <v>15</v>
      </c>
      <c r="I7" s="5">
        <v>0</v>
      </c>
      <c r="J7" s="3">
        <v>15.7</v>
      </c>
      <c r="K7" s="4" t="s">
        <v>101</v>
      </c>
      <c r="L7" s="5"/>
      <c r="M7" s="13" t="str">
        <f>Table128[[#This Row],[Slaggmängd]]&amp;Table128[[#This Row],[Gjuttemperatur]]&amp;Table128[[#This Row],[Temperatur motgjutningsyta]]&amp;Table128[[#This Row],[Värmekabel]]&amp;Table128[[#This Row],[Antal värmekablar]]&amp;Table128[[#This Row],[Täckning '[mm']]]&amp;Table128[[#This Row],[Formisolering '[mm']]]&amp;Table128[[#This Row],[OK&lt;17 Timamr]]&amp;Table128[[#This Row],[Kommentar]]</f>
        <v>Bas+0%1515---Plywood 15, oisoleratOK17</v>
      </c>
    </row>
    <row r="8" spans="1:20" x14ac:dyDescent="0.25">
      <c r="A8" s="6" t="s">
        <v>48</v>
      </c>
      <c r="B8" s="110">
        <v>15</v>
      </c>
      <c r="C8" s="110">
        <v>15</v>
      </c>
      <c r="D8" s="110" t="s">
        <v>9</v>
      </c>
      <c r="E8" s="110" t="s">
        <v>9</v>
      </c>
      <c r="F8" s="110" t="s">
        <v>9</v>
      </c>
      <c r="G8" s="110" t="s">
        <v>123</v>
      </c>
      <c r="H8" s="6">
        <v>15</v>
      </c>
      <c r="I8" s="7">
        <v>2</v>
      </c>
      <c r="J8" s="6">
        <v>15.9</v>
      </c>
      <c r="K8" t="s">
        <v>101</v>
      </c>
      <c r="L8" s="7"/>
      <c r="M8" s="14" t="str">
        <f>Table128[[#This Row],[Slaggmängd]]&amp;Table128[[#This Row],[Gjuttemperatur]]&amp;Table128[[#This Row],[Temperatur motgjutningsyta]]&amp;Table128[[#This Row],[Värmekabel]]&amp;Table128[[#This Row],[Antal värmekablar]]&amp;Table128[[#This Row],[Täckning '[mm']]]&amp;Table128[[#This Row],[Formisolering '[mm']]]&amp;Table128[[#This Row],[OK&lt;17 Timamr]]&amp;Table128[[#This Row],[Kommentar]]</f>
        <v>Bas+0%1515---Plywood 15, oisoleratOK17</v>
      </c>
    </row>
    <row r="9" spans="1:20" x14ac:dyDescent="0.25">
      <c r="A9" s="6" t="s">
        <v>48</v>
      </c>
      <c r="B9" s="110">
        <v>15</v>
      </c>
      <c r="C9" s="110">
        <v>15</v>
      </c>
      <c r="D9" s="110" t="s">
        <v>9</v>
      </c>
      <c r="E9" s="110" t="s">
        <v>9</v>
      </c>
      <c r="F9" s="110" t="s">
        <v>9</v>
      </c>
      <c r="G9" s="110" t="s">
        <v>123</v>
      </c>
      <c r="H9" s="6">
        <v>15</v>
      </c>
      <c r="I9" s="7">
        <v>7</v>
      </c>
      <c r="J9" s="6">
        <v>16</v>
      </c>
      <c r="K9" t="s">
        <v>101</v>
      </c>
      <c r="L9" s="7"/>
      <c r="M9" s="14" t="str">
        <f>Table128[[#This Row],[Slaggmängd]]&amp;Table128[[#This Row],[Gjuttemperatur]]&amp;Table128[[#This Row],[Temperatur motgjutningsyta]]&amp;Table128[[#This Row],[Värmekabel]]&amp;Table128[[#This Row],[Antal värmekablar]]&amp;Table128[[#This Row],[Täckning '[mm']]]&amp;Table128[[#This Row],[Formisolering '[mm']]]&amp;Table128[[#This Row],[OK&lt;17 Timamr]]&amp;Table128[[#This Row],[Kommentar]]</f>
        <v>Bas+0%1515---Plywood 15, oisoleratOK17</v>
      </c>
    </row>
    <row r="10" spans="1:20" x14ac:dyDescent="0.25">
      <c r="A10" s="6" t="s">
        <v>48</v>
      </c>
      <c r="B10" s="110">
        <v>15</v>
      </c>
      <c r="C10" s="110">
        <v>15</v>
      </c>
      <c r="D10" s="110" t="s">
        <v>9</v>
      </c>
      <c r="E10" s="110" t="s">
        <v>9</v>
      </c>
      <c r="F10" s="110" t="s">
        <v>9</v>
      </c>
      <c r="G10" s="110" t="s">
        <v>123</v>
      </c>
      <c r="H10" s="6">
        <v>15</v>
      </c>
      <c r="I10" s="7">
        <v>12</v>
      </c>
      <c r="J10" s="6">
        <v>16.100000000000001</v>
      </c>
      <c r="K10" t="s">
        <v>101</v>
      </c>
      <c r="L10" s="7"/>
      <c r="M10" s="14" t="str">
        <f>Table128[[#This Row],[Slaggmängd]]&amp;Table128[[#This Row],[Gjuttemperatur]]&amp;Table128[[#This Row],[Temperatur motgjutningsyta]]&amp;Table128[[#This Row],[Värmekabel]]&amp;Table128[[#This Row],[Antal värmekablar]]&amp;Table128[[#This Row],[Täckning '[mm']]]&amp;Table128[[#This Row],[Formisolering '[mm']]]&amp;Table128[[#This Row],[OK&lt;17 Timamr]]&amp;Table128[[#This Row],[Kommentar]]</f>
        <v>Bas+0%1515---Plywood 15, oisoleratOK17</v>
      </c>
    </row>
    <row r="11" spans="1:20" ht="15.75" thickBot="1" x14ac:dyDescent="0.3">
      <c r="A11" s="6" t="s">
        <v>48</v>
      </c>
      <c r="B11" s="110">
        <v>15</v>
      </c>
      <c r="C11" s="110">
        <v>15</v>
      </c>
      <c r="D11" s="110" t="s">
        <v>9</v>
      </c>
      <c r="E11" s="110" t="s">
        <v>9</v>
      </c>
      <c r="F11" s="110" t="s">
        <v>9</v>
      </c>
      <c r="G11" s="110" t="s">
        <v>123</v>
      </c>
      <c r="H11" s="8">
        <v>15</v>
      </c>
      <c r="I11" s="10">
        <v>20</v>
      </c>
      <c r="J11" s="8">
        <v>16.100000000000001</v>
      </c>
      <c r="K11" s="9" t="s">
        <v>101</v>
      </c>
      <c r="L11" s="10"/>
      <c r="M11" s="15" t="str">
        <f>Table128[[#This Row],[Slaggmängd]]&amp;Table128[[#This Row],[Gjuttemperatur]]&amp;Table128[[#This Row],[Temperatur motgjutningsyta]]&amp;Table128[[#This Row],[Värmekabel]]&amp;Table128[[#This Row],[Antal värmekablar]]&amp;Table128[[#This Row],[Täckning '[mm']]]&amp;Table128[[#This Row],[Formisolering '[mm']]]&amp;Table128[[#This Row],[OK&lt;17 Timamr]]&amp;Table128[[#This Row],[Kommentar]]</f>
        <v>Bas+0%1515---Plywood 15, oisoleratOK17</v>
      </c>
    </row>
    <row r="12" spans="1:20" x14ac:dyDescent="0.25">
      <c r="A12" s="3" t="s">
        <v>9</v>
      </c>
      <c r="B12" s="107" t="s">
        <v>9</v>
      </c>
      <c r="C12" s="107" t="s">
        <v>9</v>
      </c>
      <c r="D12" s="107" t="s">
        <v>9</v>
      </c>
      <c r="E12" s="107" t="s">
        <v>9</v>
      </c>
      <c r="F12" s="107" t="s">
        <v>9</v>
      </c>
      <c r="G12" s="114" t="s">
        <v>9</v>
      </c>
      <c r="H12" s="3">
        <v>10</v>
      </c>
      <c r="I12" s="5">
        <v>0</v>
      </c>
      <c r="J12" s="3"/>
      <c r="K12" s="4"/>
      <c r="L12" s="5" t="s">
        <v>122</v>
      </c>
      <c r="M12" s="13" t="str">
        <f>Table128[[#This Row],[Slaggmängd]]&amp;Table128[[#This Row],[Gjuttemperatur]]&amp;Table128[[#This Row],[Temperatur motgjutningsyta]]&amp;Table128[[#This Row],[Värmekabel]]&amp;Table128[[#This Row],[Antal värmekablar]]&amp;Table128[[#This Row],[Täckning '[mm']]]&amp;Table128[[#This Row],[Formisolering '[mm']]]&amp;Table128[[#This Row],[OK&lt;17 Timamr]]&amp;Table128[[#This Row],[Kommentar]]</f>
        <v>-------Når ej 6 MPa</v>
      </c>
    </row>
    <row r="13" spans="1:20" x14ac:dyDescent="0.25">
      <c r="A13" s="6" t="s">
        <v>9</v>
      </c>
      <c r="B13" s="110" t="s">
        <v>9</v>
      </c>
      <c r="C13" s="110" t="s">
        <v>9</v>
      </c>
      <c r="D13" s="110" t="s">
        <v>9</v>
      </c>
      <c r="E13" s="110" t="s">
        <v>9</v>
      </c>
      <c r="F13" s="110" t="s">
        <v>9</v>
      </c>
      <c r="G13" s="111" t="s">
        <v>9</v>
      </c>
      <c r="H13" s="6">
        <v>10</v>
      </c>
      <c r="I13" s="7">
        <v>2</v>
      </c>
      <c r="J13" s="6"/>
      <c r="L13" s="7" t="s">
        <v>122</v>
      </c>
      <c r="M13" s="14" t="str">
        <f>Table128[[#This Row],[Slaggmängd]]&amp;Table128[[#This Row],[Gjuttemperatur]]&amp;Table128[[#This Row],[Temperatur motgjutningsyta]]&amp;Table128[[#This Row],[Värmekabel]]&amp;Table128[[#This Row],[Antal värmekablar]]&amp;Table128[[#This Row],[Täckning '[mm']]]&amp;Table128[[#This Row],[Formisolering '[mm']]]&amp;Table128[[#This Row],[OK&lt;17 Timamr]]&amp;Table128[[#This Row],[Kommentar]]</f>
        <v>-------Når ej 6 MPa</v>
      </c>
    </row>
    <row r="14" spans="1:20" x14ac:dyDescent="0.25">
      <c r="A14" s="6" t="s">
        <v>9</v>
      </c>
      <c r="B14" s="110" t="s">
        <v>9</v>
      </c>
      <c r="C14" s="110" t="s">
        <v>9</v>
      </c>
      <c r="D14" s="110" t="s">
        <v>9</v>
      </c>
      <c r="E14" s="110" t="s">
        <v>9</v>
      </c>
      <c r="F14" s="110" t="s">
        <v>9</v>
      </c>
      <c r="G14" s="111" t="s">
        <v>9</v>
      </c>
      <c r="H14" s="6">
        <v>10</v>
      </c>
      <c r="I14" s="7">
        <v>7</v>
      </c>
      <c r="J14" s="6"/>
      <c r="L14" s="7" t="s">
        <v>122</v>
      </c>
      <c r="M14" s="14" t="str">
        <f>Table128[[#This Row],[Slaggmängd]]&amp;Table128[[#This Row],[Gjuttemperatur]]&amp;Table128[[#This Row],[Temperatur motgjutningsyta]]&amp;Table128[[#This Row],[Värmekabel]]&amp;Table128[[#This Row],[Antal värmekablar]]&amp;Table128[[#This Row],[Täckning '[mm']]]&amp;Table128[[#This Row],[Formisolering '[mm']]]&amp;Table128[[#This Row],[OK&lt;17 Timamr]]&amp;Table128[[#This Row],[Kommentar]]</f>
        <v>-------Når ej 6 MPa</v>
      </c>
    </row>
    <row r="15" spans="1:20" x14ac:dyDescent="0.25">
      <c r="A15" s="6" t="s">
        <v>9</v>
      </c>
      <c r="B15" s="110" t="s">
        <v>9</v>
      </c>
      <c r="C15" s="110" t="s">
        <v>9</v>
      </c>
      <c r="D15" s="110" t="s">
        <v>9</v>
      </c>
      <c r="E15" s="110" t="s">
        <v>9</v>
      </c>
      <c r="F15" s="110" t="s">
        <v>9</v>
      </c>
      <c r="G15" s="111" t="s">
        <v>9</v>
      </c>
      <c r="H15" s="6">
        <v>10</v>
      </c>
      <c r="I15" s="7">
        <v>12</v>
      </c>
      <c r="J15" s="6"/>
      <c r="L15" s="7" t="s">
        <v>122</v>
      </c>
      <c r="M15" s="14" t="str">
        <f>Table128[[#This Row],[Slaggmängd]]&amp;Table128[[#This Row],[Gjuttemperatur]]&amp;Table128[[#This Row],[Temperatur motgjutningsyta]]&amp;Table128[[#This Row],[Värmekabel]]&amp;Table128[[#This Row],[Antal värmekablar]]&amp;Table128[[#This Row],[Täckning '[mm']]]&amp;Table128[[#This Row],[Formisolering '[mm']]]&amp;Table128[[#This Row],[OK&lt;17 Timamr]]&amp;Table128[[#This Row],[Kommentar]]</f>
        <v>-------Når ej 6 MPa</v>
      </c>
    </row>
    <row r="16" spans="1:20" ht="15.75" thickBot="1" x14ac:dyDescent="0.3">
      <c r="A16" s="8" t="s">
        <v>9</v>
      </c>
      <c r="B16" s="112" t="s">
        <v>9</v>
      </c>
      <c r="C16" s="112" t="s">
        <v>9</v>
      </c>
      <c r="D16" s="112" t="s">
        <v>9</v>
      </c>
      <c r="E16" s="112" t="s">
        <v>9</v>
      </c>
      <c r="F16" s="112" t="s">
        <v>9</v>
      </c>
      <c r="G16" s="113" t="s">
        <v>9</v>
      </c>
      <c r="H16" s="8">
        <v>10</v>
      </c>
      <c r="I16" s="10">
        <v>20</v>
      </c>
      <c r="J16" s="8"/>
      <c r="K16" s="9"/>
      <c r="L16" s="10" t="s">
        <v>122</v>
      </c>
      <c r="M16" s="15" t="str">
        <f>Table128[[#This Row],[Slaggmängd]]&amp;Table128[[#This Row],[Gjuttemperatur]]&amp;Table128[[#This Row],[Temperatur motgjutningsyta]]&amp;Table128[[#This Row],[Värmekabel]]&amp;Table128[[#This Row],[Antal värmekablar]]&amp;Table128[[#This Row],[Täckning '[mm']]]&amp;Table128[[#This Row],[Formisolering '[mm']]]&amp;Table128[[#This Row],[OK&lt;17 Timamr]]&amp;Table128[[#This Row],[Kommentar]]</f>
        <v>-------Når ej 6 MPa</v>
      </c>
    </row>
    <row r="17" spans="1:13" x14ac:dyDescent="0.25">
      <c r="A17" s="6">
        <v>0.2</v>
      </c>
      <c r="B17" s="110">
        <v>20</v>
      </c>
      <c r="C17" s="110">
        <v>5</v>
      </c>
      <c r="D17" s="110">
        <v>40</v>
      </c>
      <c r="E17" s="110">
        <v>2</v>
      </c>
      <c r="F17" s="110" t="s">
        <v>9</v>
      </c>
      <c r="G17" s="110" t="s">
        <v>127</v>
      </c>
      <c r="H17" s="3">
        <v>5</v>
      </c>
      <c r="I17" s="5">
        <v>0</v>
      </c>
      <c r="J17" s="4">
        <v>17</v>
      </c>
      <c r="K17" s="4" t="s">
        <v>101</v>
      </c>
      <c r="L17" s="5"/>
      <c r="M17" s="13" t="str">
        <f>Table128[[#This Row],[Slaggmängd]]&amp;Table128[[#This Row],[Gjuttemperatur]]&amp;Table128[[#This Row],[Temperatur motgjutningsyta]]&amp;Table128[[#This Row],[Värmekabel]]&amp;Table128[[#This Row],[Antal värmekablar]]&amp;Table128[[#This Row],[Täckning '[mm']]]&amp;Table128[[#This Row],[Formisolering '[mm']]]&amp;Table128[[#This Row],[OK&lt;17 Timamr]]&amp;Table128[[#This Row],[Kommentar]]</f>
        <v>0,2205402-Plywood 12-19 cellplast 100OK17</v>
      </c>
    </row>
    <row r="18" spans="1:13" x14ac:dyDescent="0.25">
      <c r="A18" s="6">
        <v>0.2</v>
      </c>
      <c r="B18" s="110">
        <v>20</v>
      </c>
      <c r="C18" s="110">
        <v>5</v>
      </c>
      <c r="D18" s="110">
        <v>40</v>
      </c>
      <c r="E18" s="110">
        <v>3</v>
      </c>
      <c r="F18" s="110">
        <v>10</v>
      </c>
      <c r="G18" s="110" t="s">
        <v>128</v>
      </c>
      <c r="H18" s="6">
        <v>5</v>
      </c>
      <c r="I18" s="7">
        <v>2</v>
      </c>
      <c r="J18">
        <v>17</v>
      </c>
      <c r="K18" t="s">
        <v>101</v>
      </c>
      <c r="L18" s="7"/>
      <c r="M18" s="14" t="str">
        <f>Table128[[#This Row],[Slaggmängd]]&amp;Table128[[#This Row],[Gjuttemperatur]]&amp;Table128[[#This Row],[Temperatur motgjutningsyta]]&amp;Table128[[#This Row],[Värmekabel]]&amp;Table128[[#This Row],[Antal värmekablar]]&amp;Table128[[#This Row],[Täckning '[mm']]]&amp;Table128[[#This Row],[Formisolering '[mm']]]&amp;Table128[[#This Row],[OK&lt;17 Timamr]]&amp;Table128[[#This Row],[Kommentar]]</f>
        <v>0,220540310Plywood 12-19 cellplast 120OK17</v>
      </c>
    </row>
    <row r="19" spans="1:13" x14ac:dyDescent="0.25">
      <c r="A19" s="6">
        <v>0.1</v>
      </c>
      <c r="B19" s="110">
        <v>20</v>
      </c>
      <c r="C19" s="110">
        <v>5</v>
      </c>
      <c r="D19" s="110">
        <v>40</v>
      </c>
      <c r="E19" s="110">
        <v>1</v>
      </c>
      <c r="F19" s="110">
        <v>10</v>
      </c>
      <c r="G19" s="110" t="s">
        <v>125</v>
      </c>
      <c r="H19" s="6">
        <v>5</v>
      </c>
      <c r="I19" s="7">
        <v>7</v>
      </c>
      <c r="J19">
        <v>16.899999999999999</v>
      </c>
      <c r="K19" t="s">
        <v>101</v>
      </c>
      <c r="L19" s="7"/>
      <c r="M19" s="14" t="str">
        <f>Table128[[#This Row],[Slaggmängd]]&amp;Table128[[#This Row],[Gjuttemperatur]]&amp;Table128[[#This Row],[Temperatur motgjutningsyta]]&amp;Table128[[#This Row],[Värmekabel]]&amp;Table128[[#This Row],[Antal värmekablar]]&amp;Table128[[#This Row],[Täckning '[mm']]]&amp;Table128[[#This Row],[Formisolering '[mm']]]&amp;Table128[[#This Row],[OK&lt;17 Timamr]]&amp;Table128[[#This Row],[Kommentar]]</f>
        <v>0,120540110Plywood 12-19  cellplast 50OK17</v>
      </c>
    </row>
    <row r="20" spans="1:13" x14ac:dyDescent="0.25">
      <c r="A20" s="6">
        <v>0.1</v>
      </c>
      <c r="B20" s="110">
        <v>20</v>
      </c>
      <c r="C20" s="110">
        <v>5</v>
      </c>
      <c r="D20" s="110">
        <v>40</v>
      </c>
      <c r="E20" s="110">
        <v>1</v>
      </c>
      <c r="F20" s="110">
        <v>10</v>
      </c>
      <c r="G20" s="110" t="s">
        <v>126</v>
      </c>
      <c r="H20" s="6">
        <v>5</v>
      </c>
      <c r="I20" s="7">
        <v>12</v>
      </c>
      <c r="J20">
        <v>16.899999999999999</v>
      </c>
      <c r="K20" t="s">
        <v>101</v>
      </c>
      <c r="L20" s="7"/>
      <c r="M20" s="14" t="str">
        <f>Table128[[#This Row],[Slaggmängd]]&amp;Table128[[#This Row],[Gjuttemperatur]]&amp;Table128[[#This Row],[Temperatur motgjutningsyta]]&amp;Table128[[#This Row],[Värmekabel]]&amp;Table128[[#This Row],[Antal värmekablar]]&amp;Table128[[#This Row],[Täckning '[mm']]]&amp;Table128[[#This Row],[Formisolering '[mm']]]&amp;Table128[[#This Row],[OK&lt;17 Timamr]]&amp;Table128[[#This Row],[Kommentar]]</f>
        <v>0,120540110Plywood 12-19 cellplast 70OK17</v>
      </c>
    </row>
    <row r="21" spans="1:13" ht="15.75" thickBot="1" x14ac:dyDescent="0.3">
      <c r="A21" s="6">
        <v>0.1</v>
      </c>
      <c r="B21" s="110">
        <v>20</v>
      </c>
      <c r="C21" s="110">
        <v>5</v>
      </c>
      <c r="D21" s="110">
        <v>40</v>
      </c>
      <c r="E21" s="110">
        <v>1</v>
      </c>
      <c r="F21" s="110">
        <v>10</v>
      </c>
      <c r="G21" s="110" t="s">
        <v>127</v>
      </c>
      <c r="H21" s="8">
        <v>5</v>
      </c>
      <c r="I21" s="10">
        <v>20</v>
      </c>
      <c r="J21" s="9">
        <v>17</v>
      </c>
      <c r="K21" s="9" t="s">
        <v>101</v>
      </c>
      <c r="L21" s="10"/>
      <c r="M21" s="15" t="str">
        <f>Table128[[#This Row],[Slaggmängd]]&amp;Table128[[#This Row],[Gjuttemperatur]]&amp;Table128[[#This Row],[Temperatur motgjutningsyta]]&amp;Table128[[#This Row],[Värmekabel]]&amp;Table128[[#This Row],[Antal värmekablar]]&amp;Table128[[#This Row],[Täckning '[mm']]]&amp;Table128[[#This Row],[Formisolering '[mm']]]&amp;Table128[[#This Row],[OK&lt;17 Timamr]]&amp;Table128[[#This Row],[Kommentar]]</f>
        <v>0,120540110Plywood 12-19 cellplast 100OK17</v>
      </c>
    </row>
    <row r="22" spans="1:13" x14ac:dyDescent="0.25">
      <c r="A22" s="3">
        <v>0.2</v>
      </c>
      <c r="B22" s="107">
        <v>20</v>
      </c>
      <c r="C22" s="107">
        <v>5</v>
      </c>
      <c r="D22" s="107">
        <v>40</v>
      </c>
      <c r="E22" s="107">
        <v>3</v>
      </c>
      <c r="F22" s="107">
        <v>10</v>
      </c>
      <c r="G22" s="114" t="s">
        <v>127</v>
      </c>
      <c r="H22" s="3">
        <v>0</v>
      </c>
      <c r="I22" s="5">
        <v>0</v>
      </c>
      <c r="J22" s="4">
        <v>16.899999999999999</v>
      </c>
      <c r="K22" s="4" t="s">
        <v>101</v>
      </c>
      <c r="L22" s="5"/>
      <c r="M22" s="13" t="str">
        <f>Table128[[#This Row],[Slaggmängd]]&amp;Table128[[#This Row],[Gjuttemperatur]]&amp;Table128[[#This Row],[Temperatur motgjutningsyta]]&amp;Table128[[#This Row],[Värmekabel]]&amp;Table128[[#This Row],[Antal värmekablar]]&amp;Table128[[#This Row],[Täckning '[mm']]]&amp;Table128[[#This Row],[Formisolering '[mm']]]&amp;Table128[[#This Row],[OK&lt;17 Timamr]]&amp;Table128[[#This Row],[Kommentar]]</f>
        <v>0,220540310Plywood 12-19 cellplast 100OK17</v>
      </c>
    </row>
    <row r="23" spans="1:13" x14ac:dyDescent="0.25">
      <c r="A23" s="6">
        <v>0.1</v>
      </c>
      <c r="B23" s="110">
        <v>20</v>
      </c>
      <c r="C23" s="110">
        <v>5</v>
      </c>
      <c r="D23" s="110">
        <v>40</v>
      </c>
      <c r="E23" s="110">
        <v>1</v>
      </c>
      <c r="F23" s="110">
        <v>10</v>
      </c>
      <c r="G23" s="111" t="s">
        <v>127</v>
      </c>
      <c r="H23" s="6">
        <v>0</v>
      </c>
      <c r="I23" s="7">
        <v>2</v>
      </c>
      <c r="J23">
        <v>16.8</v>
      </c>
      <c r="K23" t="s">
        <v>101</v>
      </c>
      <c r="L23" s="7"/>
      <c r="M23" s="14" t="str">
        <f>Table128[[#This Row],[Slaggmängd]]&amp;Table128[[#This Row],[Gjuttemperatur]]&amp;Table128[[#This Row],[Temperatur motgjutningsyta]]&amp;Table128[[#This Row],[Värmekabel]]&amp;Table128[[#This Row],[Antal värmekablar]]&amp;Table128[[#This Row],[Täckning '[mm']]]&amp;Table128[[#This Row],[Formisolering '[mm']]]&amp;Table128[[#This Row],[OK&lt;17 Timamr]]&amp;Table128[[#This Row],[Kommentar]]</f>
        <v>0,120540110Plywood 12-19 cellplast 100OK17</v>
      </c>
    </row>
    <row r="24" spans="1:13" x14ac:dyDescent="0.25">
      <c r="A24" s="6">
        <v>0.1</v>
      </c>
      <c r="B24" s="110">
        <v>20</v>
      </c>
      <c r="C24" s="110">
        <v>5</v>
      </c>
      <c r="D24" s="110">
        <v>40</v>
      </c>
      <c r="E24" s="110">
        <v>2</v>
      </c>
      <c r="F24" s="110">
        <v>10</v>
      </c>
      <c r="G24" s="111" t="s">
        <v>125</v>
      </c>
      <c r="H24" s="6">
        <v>0</v>
      </c>
      <c r="I24" s="7">
        <v>7</v>
      </c>
      <c r="J24">
        <v>16.8</v>
      </c>
      <c r="K24" t="s">
        <v>101</v>
      </c>
      <c r="L24" s="7"/>
      <c r="M24" s="14" t="str">
        <f>Table128[[#This Row],[Slaggmängd]]&amp;Table128[[#This Row],[Gjuttemperatur]]&amp;Table128[[#This Row],[Temperatur motgjutningsyta]]&amp;Table128[[#This Row],[Värmekabel]]&amp;Table128[[#This Row],[Antal värmekablar]]&amp;Table128[[#This Row],[Täckning '[mm']]]&amp;Table128[[#This Row],[Formisolering '[mm']]]&amp;Table128[[#This Row],[OK&lt;17 Timamr]]&amp;Table128[[#This Row],[Kommentar]]</f>
        <v>0,120540210Plywood 12-19  cellplast 50OK17</v>
      </c>
    </row>
    <row r="25" spans="1:13" x14ac:dyDescent="0.25">
      <c r="A25" s="6">
        <v>0.1</v>
      </c>
      <c r="B25" s="110">
        <v>20</v>
      </c>
      <c r="C25" s="110">
        <v>5</v>
      </c>
      <c r="D25" s="110">
        <v>40</v>
      </c>
      <c r="E25" s="110">
        <v>2</v>
      </c>
      <c r="F25" s="110">
        <v>10</v>
      </c>
      <c r="G25" s="111" t="s">
        <v>127</v>
      </c>
      <c r="H25" s="6">
        <v>0</v>
      </c>
      <c r="I25" s="7">
        <v>12</v>
      </c>
      <c r="J25">
        <v>16.600000000000001</v>
      </c>
      <c r="K25" t="s">
        <v>101</v>
      </c>
      <c r="L25" s="7"/>
      <c r="M25" s="14" t="str">
        <f>Table128[[#This Row],[Slaggmängd]]&amp;Table128[[#This Row],[Gjuttemperatur]]&amp;Table128[[#This Row],[Temperatur motgjutningsyta]]&amp;Table128[[#This Row],[Värmekabel]]&amp;Table128[[#This Row],[Antal värmekablar]]&amp;Table128[[#This Row],[Täckning '[mm']]]&amp;Table128[[#This Row],[Formisolering '[mm']]]&amp;Table128[[#This Row],[OK&lt;17 Timamr]]&amp;Table128[[#This Row],[Kommentar]]</f>
        <v>0,120540210Plywood 12-19 cellplast 100OK17</v>
      </c>
    </row>
    <row r="26" spans="1:13" ht="15.75" thickBot="1" x14ac:dyDescent="0.3">
      <c r="A26" s="8">
        <v>0.1</v>
      </c>
      <c r="B26" s="112">
        <v>20</v>
      </c>
      <c r="C26" s="112">
        <v>5</v>
      </c>
      <c r="D26" s="112">
        <v>40</v>
      </c>
      <c r="E26" s="112">
        <v>2</v>
      </c>
      <c r="F26" s="112">
        <v>10</v>
      </c>
      <c r="G26" s="113" t="s">
        <v>128</v>
      </c>
      <c r="H26" s="8">
        <v>0</v>
      </c>
      <c r="I26" s="10">
        <v>20</v>
      </c>
      <c r="J26" s="9">
        <v>17</v>
      </c>
      <c r="K26" s="9" t="s">
        <v>101</v>
      </c>
      <c r="L26" s="10"/>
      <c r="M26" s="15" t="str">
        <f>Table128[[#This Row],[Slaggmängd]]&amp;Table128[[#This Row],[Gjuttemperatur]]&amp;Table128[[#This Row],[Temperatur motgjutningsyta]]&amp;Table128[[#This Row],[Värmekabel]]&amp;Table128[[#This Row],[Antal värmekablar]]&amp;Table128[[#This Row],[Täckning '[mm']]]&amp;Table128[[#This Row],[Formisolering '[mm']]]&amp;Table128[[#This Row],[OK&lt;17 Timamr]]&amp;Table128[[#This Row],[Kommentar]]</f>
        <v>0,120540210Plywood 12-19 cellplast 120OK17</v>
      </c>
    </row>
    <row r="27" spans="1:13" x14ac:dyDescent="0.25">
      <c r="A27" s="3">
        <v>0.1</v>
      </c>
      <c r="B27" s="107">
        <v>20</v>
      </c>
      <c r="C27" s="107">
        <v>5</v>
      </c>
      <c r="D27" s="107">
        <v>40</v>
      </c>
      <c r="E27" s="107">
        <v>1</v>
      </c>
      <c r="F27" s="107">
        <v>10</v>
      </c>
      <c r="G27" s="114" t="s">
        <v>127</v>
      </c>
      <c r="H27" s="3">
        <v>-5</v>
      </c>
      <c r="I27" s="5">
        <v>0</v>
      </c>
      <c r="J27" s="4">
        <v>16.7</v>
      </c>
      <c r="K27" s="4" t="s">
        <v>101</v>
      </c>
      <c r="L27" s="5"/>
      <c r="M27" s="13" t="str">
        <f>Table128[[#This Row],[Slaggmängd]]&amp;Table128[[#This Row],[Gjuttemperatur]]&amp;Table128[[#This Row],[Temperatur motgjutningsyta]]&amp;Table128[[#This Row],[Värmekabel]]&amp;Table128[[#This Row],[Antal värmekablar]]&amp;Table128[[#This Row],[Täckning '[mm']]]&amp;Table128[[#This Row],[Formisolering '[mm']]]&amp;Table128[[#This Row],[OK&lt;17 Timamr]]&amp;Table128[[#This Row],[Kommentar]]</f>
        <v>0,120540110Plywood 12-19 cellplast 100OK17</v>
      </c>
    </row>
    <row r="28" spans="1:13" x14ac:dyDescent="0.25">
      <c r="A28" s="6">
        <v>0.1</v>
      </c>
      <c r="B28" s="110">
        <v>20</v>
      </c>
      <c r="C28" s="110">
        <v>5</v>
      </c>
      <c r="D28" s="110">
        <v>40</v>
      </c>
      <c r="E28" s="110">
        <v>2</v>
      </c>
      <c r="F28" s="110">
        <v>10</v>
      </c>
      <c r="G28" s="111" t="s">
        <v>125</v>
      </c>
      <c r="H28" s="6">
        <v>-5</v>
      </c>
      <c r="I28" s="7">
        <v>2</v>
      </c>
      <c r="J28">
        <v>16.8</v>
      </c>
      <c r="K28" t="s">
        <v>101</v>
      </c>
      <c r="L28" s="7"/>
      <c r="M28" s="14" t="str">
        <f>Table128[[#This Row],[Slaggmängd]]&amp;Table128[[#This Row],[Gjuttemperatur]]&amp;Table128[[#This Row],[Temperatur motgjutningsyta]]&amp;Table128[[#This Row],[Värmekabel]]&amp;Table128[[#This Row],[Antal värmekablar]]&amp;Table128[[#This Row],[Täckning '[mm']]]&amp;Table128[[#This Row],[Formisolering '[mm']]]&amp;Table128[[#This Row],[OK&lt;17 Timamr]]&amp;Table128[[#This Row],[Kommentar]]</f>
        <v>0,120540210Plywood 12-19  cellplast 50OK17</v>
      </c>
    </row>
    <row r="29" spans="1:13" x14ac:dyDescent="0.25">
      <c r="A29" s="6" t="s">
        <v>48</v>
      </c>
      <c r="B29" s="110">
        <v>20</v>
      </c>
      <c r="C29" s="110">
        <v>5</v>
      </c>
      <c r="D29" s="110">
        <v>40</v>
      </c>
      <c r="E29" s="110">
        <v>1</v>
      </c>
      <c r="F29" s="110">
        <v>10</v>
      </c>
      <c r="G29" s="111" t="s">
        <v>127</v>
      </c>
      <c r="H29" s="6">
        <v>-5</v>
      </c>
      <c r="I29" s="7">
        <v>7</v>
      </c>
      <c r="J29">
        <v>16.7</v>
      </c>
      <c r="K29" t="s">
        <v>101</v>
      </c>
      <c r="L29" s="7"/>
      <c r="M29" s="14" t="str">
        <f>Table128[[#This Row],[Slaggmängd]]&amp;Table128[[#This Row],[Gjuttemperatur]]&amp;Table128[[#This Row],[Temperatur motgjutningsyta]]&amp;Table128[[#This Row],[Värmekabel]]&amp;Table128[[#This Row],[Antal värmekablar]]&amp;Table128[[#This Row],[Täckning '[mm']]]&amp;Table128[[#This Row],[Formisolering '[mm']]]&amp;Table128[[#This Row],[OK&lt;17 Timamr]]&amp;Table128[[#This Row],[Kommentar]]</f>
        <v>Bas+0%20540110Plywood 12-19 cellplast 100OK17</v>
      </c>
    </row>
    <row r="30" spans="1:13" x14ac:dyDescent="0.25">
      <c r="A30" s="6" t="s">
        <v>48</v>
      </c>
      <c r="B30" s="110">
        <v>20</v>
      </c>
      <c r="C30" s="110">
        <v>5</v>
      </c>
      <c r="D30" s="110">
        <v>40</v>
      </c>
      <c r="E30" s="110">
        <v>2</v>
      </c>
      <c r="F30" s="110">
        <v>10</v>
      </c>
      <c r="G30" s="111" t="s">
        <v>125</v>
      </c>
      <c r="H30" s="6">
        <v>-5</v>
      </c>
      <c r="I30" s="7">
        <v>12</v>
      </c>
      <c r="J30">
        <v>16.8</v>
      </c>
      <c r="K30" t="s">
        <v>101</v>
      </c>
      <c r="L30" s="7"/>
      <c r="M30" s="14" t="str">
        <f>Table128[[#This Row],[Slaggmängd]]&amp;Table128[[#This Row],[Gjuttemperatur]]&amp;Table128[[#This Row],[Temperatur motgjutningsyta]]&amp;Table128[[#This Row],[Värmekabel]]&amp;Table128[[#This Row],[Antal värmekablar]]&amp;Table128[[#This Row],[Täckning '[mm']]]&amp;Table128[[#This Row],[Formisolering '[mm']]]&amp;Table128[[#This Row],[OK&lt;17 Timamr]]&amp;Table128[[#This Row],[Kommentar]]</f>
        <v>Bas+0%20540210Plywood 12-19  cellplast 50OK17</v>
      </c>
    </row>
    <row r="31" spans="1:13" ht="15.75" thickBot="1" x14ac:dyDescent="0.3">
      <c r="A31" s="8" t="s">
        <v>9</v>
      </c>
      <c r="B31" s="112" t="s">
        <v>9</v>
      </c>
      <c r="C31" s="112" t="s">
        <v>9</v>
      </c>
      <c r="D31" s="112" t="s">
        <v>9</v>
      </c>
      <c r="E31" s="112" t="s">
        <v>9</v>
      </c>
      <c r="F31" s="112" t="s">
        <v>9</v>
      </c>
      <c r="G31" s="113" t="s">
        <v>9</v>
      </c>
      <c r="H31" s="8">
        <v>-5</v>
      </c>
      <c r="I31" s="10">
        <v>20</v>
      </c>
      <c r="J31" s="9"/>
      <c r="K31" s="9"/>
      <c r="L31" s="10" t="s">
        <v>100</v>
      </c>
      <c r="M31" s="15" t="str">
        <f>Table128[[#This Row],[Slaggmängd]]&amp;Table128[[#This Row],[Gjuttemperatur]]&amp;Table128[[#This Row],[Temperatur motgjutningsyta]]&amp;Table128[[#This Row],[Värmekabel]]&amp;Table128[[#This Row],[Antal värmekablar]]&amp;Table128[[#This Row],[Täckning '[mm']]]&amp;Table128[[#This Row],[Formisolering '[mm']]]&amp;Table128[[#This Row],[OK&lt;17 Timamr]]&amp;Table128[[#This Row],[Kommentar]]</f>
        <v>-------Fryser innan täck</v>
      </c>
    </row>
    <row r="32" spans="1:13" x14ac:dyDescent="0.25">
      <c r="A32" s="3">
        <v>0.1</v>
      </c>
      <c r="B32" s="107">
        <v>20</v>
      </c>
      <c r="C32" s="107">
        <v>5</v>
      </c>
      <c r="D32" s="107">
        <v>40</v>
      </c>
      <c r="E32" s="107">
        <v>2</v>
      </c>
      <c r="F32" s="107">
        <v>10</v>
      </c>
      <c r="G32" s="114" t="s">
        <v>125</v>
      </c>
      <c r="H32" s="3">
        <v>-10</v>
      </c>
      <c r="I32" s="5">
        <v>0</v>
      </c>
      <c r="J32" s="4">
        <v>16.399999999999999</v>
      </c>
      <c r="K32" s="4" t="s">
        <v>101</v>
      </c>
      <c r="L32" s="5"/>
      <c r="M32" s="13" t="str">
        <f>Table128[[#This Row],[Slaggmängd]]&amp;Table128[[#This Row],[Gjuttemperatur]]&amp;Table128[[#This Row],[Temperatur motgjutningsyta]]&amp;Table128[[#This Row],[Värmekabel]]&amp;Table128[[#This Row],[Antal värmekablar]]&amp;Table128[[#This Row],[Täckning '[mm']]]&amp;Table128[[#This Row],[Formisolering '[mm']]]&amp;Table128[[#This Row],[OK&lt;17 Timamr]]&amp;Table128[[#This Row],[Kommentar]]</f>
        <v>0,120540210Plywood 12-19  cellplast 50OK17</v>
      </c>
    </row>
    <row r="33" spans="1:13" x14ac:dyDescent="0.25">
      <c r="A33" s="6">
        <v>0.1</v>
      </c>
      <c r="B33" s="110">
        <v>20</v>
      </c>
      <c r="C33" s="110">
        <v>5</v>
      </c>
      <c r="D33" s="110">
        <v>40</v>
      </c>
      <c r="E33" s="110">
        <v>3</v>
      </c>
      <c r="F33" s="110">
        <v>10</v>
      </c>
      <c r="G33" s="111" t="s">
        <v>127</v>
      </c>
      <c r="H33" s="6">
        <v>-10</v>
      </c>
      <c r="I33" s="7">
        <v>2</v>
      </c>
      <c r="J33">
        <v>16.8</v>
      </c>
      <c r="K33" t="s">
        <v>101</v>
      </c>
      <c r="L33" s="7"/>
      <c r="M33" s="14" t="str">
        <f>Table128[[#This Row],[Slaggmängd]]&amp;Table128[[#This Row],[Gjuttemperatur]]&amp;Table128[[#This Row],[Temperatur motgjutningsyta]]&amp;Table128[[#This Row],[Värmekabel]]&amp;Table128[[#This Row],[Antal värmekablar]]&amp;Table128[[#This Row],[Täckning '[mm']]]&amp;Table128[[#This Row],[Formisolering '[mm']]]&amp;Table128[[#This Row],[OK&lt;17 Timamr]]&amp;Table128[[#This Row],[Kommentar]]</f>
        <v>0,120540310Plywood 12-19 cellplast 100OK17</v>
      </c>
    </row>
    <row r="34" spans="1:13" x14ac:dyDescent="0.25">
      <c r="A34" s="6" t="s">
        <v>48</v>
      </c>
      <c r="B34" s="110">
        <v>20</v>
      </c>
      <c r="C34" s="110">
        <v>5</v>
      </c>
      <c r="D34" s="110">
        <v>40</v>
      </c>
      <c r="E34" s="110">
        <v>2</v>
      </c>
      <c r="F34" s="110">
        <v>10</v>
      </c>
      <c r="G34" s="111" t="s">
        <v>126</v>
      </c>
      <c r="H34" s="6">
        <v>-10</v>
      </c>
      <c r="I34" s="7">
        <v>7</v>
      </c>
      <c r="J34">
        <v>17</v>
      </c>
      <c r="K34" t="s">
        <v>101</v>
      </c>
      <c r="L34" s="7"/>
      <c r="M34" s="14" t="str">
        <f>Table128[[#This Row],[Slaggmängd]]&amp;Table128[[#This Row],[Gjuttemperatur]]&amp;Table128[[#This Row],[Temperatur motgjutningsyta]]&amp;Table128[[#This Row],[Värmekabel]]&amp;Table128[[#This Row],[Antal värmekablar]]&amp;Table128[[#This Row],[Täckning '[mm']]]&amp;Table128[[#This Row],[Formisolering '[mm']]]&amp;Table128[[#This Row],[OK&lt;17 Timamr]]&amp;Table128[[#This Row],[Kommentar]]</f>
        <v>Bas+0%20540210Plywood 12-19 cellplast 70OK17</v>
      </c>
    </row>
    <row r="35" spans="1:13" x14ac:dyDescent="0.25">
      <c r="A35" s="6" t="s">
        <v>9</v>
      </c>
      <c r="B35" s="110" t="s">
        <v>9</v>
      </c>
      <c r="C35" s="110" t="s">
        <v>9</v>
      </c>
      <c r="D35" s="110" t="s">
        <v>9</v>
      </c>
      <c r="E35" s="110" t="s">
        <v>9</v>
      </c>
      <c r="F35" s="110" t="s">
        <v>9</v>
      </c>
      <c r="G35" s="111" t="s">
        <v>9</v>
      </c>
      <c r="H35" s="6">
        <v>-10</v>
      </c>
      <c r="I35" s="7">
        <v>12</v>
      </c>
      <c r="L35" s="7" t="s">
        <v>100</v>
      </c>
      <c r="M35" s="14" t="str">
        <f>Table128[[#This Row],[Slaggmängd]]&amp;Table128[[#This Row],[Gjuttemperatur]]&amp;Table128[[#This Row],[Temperatur motgjutningsyta]]&amp;Table128[[#This Row],[Värmekabel]]&amp;Table128[[#This Row],[Antal värmekablar]]&amp;Table128[[#This Row],[Täckning '[mm']]]&amp;Table128[[#This Row],[Formisolering '[mm']]]&amp;Table128[[#This Row],[OK&lt;17 Timamr]]&amp;Table128[[#This Row],[Kommentar]]</f>
        <v>-------Fryser innan täck</v>
      </c>
    </row>
    <row r="36" spans="1:13" ht="15.75" thickBot="1" x14ac:dyDescent="0.3">
      <c r="A36" s="8" t="s">
        <v>9</v>
      </c>
      <c r="B36" s="112" t="s">
        <v>9</v>
      </c>
      <c r="C36" s="112" t="s">
        <v>9</v>
      </c>
      <c r="D36" s="112" t="s">
        <v>9</v>
      </c>
      <c r="E36" s="112" t="s">
        <v>9</v>
      </c>
      <c r="F36" s="112" t="s">
        <v>9</v>
      </c>
      <c r="G36" s="113" t="s">
        <v>9</v>
      </c>
      <c r="H36" s="8">
        <v>-10</v>
      </c>
      <c r="I36" s="10">
        <v>20</v>
      </c>
      <c r="J36" s="9"/>
      <c r="K36" s="9"/>
      <c r="L36" s="10" t="s">
        <v>100</v>
      </c>
      <c r="M36" s="15" t="str">
        <f>Table128[[#This Row],[Slaggmängd]]&amp;Table128[[#This Row],[Gjuttemperatur]]&amp;Table128[[#This Row],[Temperatur motgjutningsyta]]&amp;Table128[[#This Row],[Värmekabel]]&amp;Table128[[#This Row],[Antal värmekablar]]&amp;Table128[[#This Row],[Täckning '[mm']]]&amp;Table128[[#This Row],[Formisolering '[mm']]]&amp;Table128[[#This Row],[OK&lt;17 Timamr]]&amp;Table128[[#This Row],[Kommentar]]</f>
        <v>-------Fryser innan täck</v>
      </c>
    </row>
    <row r="37" spans="1:13" x14ac:dyDescent="0.25">
      <c r="A37" s="6" t="s">
        <v>48</v>
      </c>
      <c r="B37" s="110">
        <v>15</v>
      </c>
      <c r="C37" s="110">
        <v>5</v>
      </c>
      <c r="D37" s="110">
        <v>40</v>
      </c>
      <c r="E37" s="110">
        <v>3</v>
      </c>
      <c r="F37" s="110">
        <v>50</v>
      </c>
      <c r="G37" s="110" t="s">
        <v>126</v>
      </c>
      <c r="H37" s="3">
        <v>-15</v>
      </c>
      <c r="I37" s="5">
        <v>0</v>
      </c>
      <c r="J37" s="4">
        <v>17</v>
      </c>
      <c r="K37" s="4" t="s">
        <v>101</v>
      </c>
      <c r="L37" s="5"/>
      <c r="M37" s="13" t="str">
        <f>Table128[[#This Row],[Slaggmängd]]&amp;Table128[[#This Row],[Gjuttemperatur]]&amp;Table128[[#This Row],[Temperatur motgjutningsyta]]&amp;Table128[[#This Row],[Värmekabel]]&amp;Table128[[#This Row],[Antal värmekablar]]&amp;Table128[[#This Row],[Täckning '[mm']]]&amp;Table128[[#This Row],[Formisolering '[mm']]]&amp;Table128[[#This Row],[OK&lt;17 Timamr]]&amp;Table128[[#This Row],[Kommentar]]</f>
        <v>Bas+0%15540350Plywood 12-19 cellplast 70OK17</v>
      </c>
    </row>
    <row r="38" spans="1:13" x14ac:dyDescent="0.25">
      <c r="A38" s="6" t="s">
        <v>9</v>
      </c>
      <c r="B38" s="110" t="s">
        <v>9</v>
      </c>
      <c r="C38" s="110" t="s">
        <v>9</v>
      </c>
      <c r="D38" s="110" t="s">
        <v>9</v>
      </c>
      <c r="E38" s="110" t="s">
        <v>9</v>
      </c>
      <c r="F38" s="110" t="s">
        <v>9</v>
      </c>
      <c r="G38" s="110" t="s">
        <v>9</v>
      </c>
      <c r="H38" s="6">
        <v>-15</v>
      </c>
      <c r="I38" s="7">
        <v>2</v>
      </c>
      <c r="L38" s="7" t="s">
        <v>122</v>
      </c>
      <c r="M38" s="14" t="str">
        <f>Table128[[#This Row],[Slaggmängd]]&amp;Table128[[#This Row],[Gjuttemperatur]]&amp;Table128[[#This Row],[Temperatur motgjutningsyta]]&amp;Table128[[#This Row],[Värmekabel]]&amp;Table128[[#This Row],[Antal värmekablar]]&amp;Table128[[#This Row],[Täckning '[mm']]]&amp;Table128[[#This Row],[Formisolering '[mm']]]&amp;Table128[[#This Row],[OK&lt;17 Timamr]]&amp;Table128[[#This Row],[Kommentar]]</f>
        <v>-------Når ej 6 MPa</v>
      </c>
    </row>
    <row r="39" spans="1:13" x14ac:dyDescent="0.25">
      <c r="A39" s="6" t="s">
        <v>9</v>
      </c>
      <c r="B39" s="110" t="s">
        <v>9</v>
      </c>
      <c r="C39" s="110" t="s">
        <v>9</v>
      </c>
      <c r="D39" s="110" t="s">
        <v>9</v>
      </c>
      <c r="E39" s="110" t="s">
        <v>9</v>
      </c>
      <c r="F39" s="110" t="s">
        <v>9</v>
      </c>
      <c r="G39" s="110" t="s">
        <v>9</v>
      </c>
      <c r="H39" s="6">
        <v>-15</v>
      </c>
      <c r="I39" s="7">
        <v>7</v>
      </c>
      <c r="L39" s="7" t="s">
        <v>100</v>
      </c>
      <c r="M39" s="14" t="str">
        <f>Table128[[#This Row],[Slaggmängd]]&amp;Table128[[#This Row],[Gjuttemperatur]]&amp;Table128[[#This Row],[Temperatur motgjutningsyta]]&amp;Table128[[#This Row],[Värmekabel]]&amp;Table128[[#This Row],[Antal värmekablar]]&amp;Table128[[#This Row],[Täckning '[mm']]]&amp;Table128[[#This Row],[Formisolering '[mm']]]&amp;Table128[[#This Row],[OK&lt;17 Timamr]]&amp;Table128[[#This Row],[Kommentar]]</f>
        <v>-------Fryser innan täck</v>
      </c>
    </row>
    <row r="40" spans="1:13" x14ac:dyDescent="0.25">
      <c r="A40" s="6" t="s">
        <v>9</v>
      </c>
      <c r="B40" s="110" t="s">
        <v>9</v>
      </c>
      <c r="C40" s="110" t="s">
        <v>9</v>
      </c>
      <c r="D40" s="110" t="s">
        <v>9</v>
      </c>
      <c r="E40" s="110" t="s">
        <v>9</v>
      </c>
      <c r="F40" s="110" t="s">
        <v>9</v>
      </c>
      <c r="G40" s="110" t="s">
        <v>9</v>
      </c>
      <c r="H40" s="6">
        <v>-15</v>
      </c>
      <c r="I40" s="7">
        <v>12</v>
      </c>
      <c r="L40" s="7" t="s">
        <v>100</v>
      </c>
      <c r="M40" s="14" t="str">
        <f>Table128[[#This Row],[Slaggmängd]]&amp;Table128[[#This Row],[Gjuttemperatur]]&amp;Table128[[#This Row],[Temperatur motgjutningsyta]]&amp;Table128[[#This Row],[Värmekabel]]&amp;Table128[[#This Row],[Antal värmekablar]]&amp;Table128[[#This Row],[Täckning '[mm']]]&amp;Table128[[#This Row],[Formisolering '[mm']]]&amp;Table128[[#This Row],[OK&lt;17 Timamr]]&amp;Table128[[#This Row],[Kommentar]]</f>
        <v>-------Fryser innan täck</v>
      </c>
    </row>
    <row r="41" spans="1:13" ht="15.75" thickBot="1" x14ac:dyDescent="0.3">
      <c r="A41" s="6" t="s">
        <v>9</v>
      </c>
      <c r="B41" s="110" t="s">
        <v>9</v>
      </c>
      <c r="C41" s="110" t="s">
        <v>9</v>
      </c>
      <c r="D41" s="110" t="s">
        <v>9</v>
      </c>
      <c r="E41" s="110" t="s">
        <v>9</v>
      </c>
      <c r="F41" s="110" t="s">
        <v>9</v>
      </c>
      <c r="G41" s="110" t="s">
        <v>9</v>
      </c>
      <c r="H41" s="8">
        <v>-15</v>
      </c>
      <c r="I41" s="10">
        <v>20</v>
      </c>
      <c r="J41" s="9"/>
      <c r="K41" s="9"/>
      <c r="L41" s="10" t="s">
        <v>100</v>
      </c>
      <c r="M41" s="15" t="str">
        <f>Table128[[#This Row],[Slaggmängd]]&amp;Table128[[#This Row],[Gjuttemperatur]]&amp;Table128[[#This Row],[Temperatur motgjutningsyta]]&amp;Table128[[#This Row],[Värmekabel]]&amp;Table128[[#This Row],[Antal värmekablar]]&amp;Table128[[#This Row],[Täckning '[mm']]]&amp;Table128[[#This Row],[Formisolering '[mm']]]&amp;Table128[[#This Row],[OK&lt;17 Timamr]]&amp;Table128[[#This Row],[Kommentar]]</f>
        <v>-------Fryser innan täck</v>
      </c>
    </row>
    <row r="42" spans="1:13" x14ac:dyDescent="0.25">
      <c r="A42" s="3" t="s">
        <v>9</v>
      </c>
      <c r="B42" s="107" t="s">
        <v>9</v>
      </c>
      <c r="C42" s="107" t="s">
        <v>9</v>
      </c>
      <c r="D42" s="107" t="s">
        <v>9</v>
      </c>
      <c r="E42" s="107" t="s">
        <v>9</v>
      </c>
      <c r="F42" s="107" t="s">
        <v>9</v>
      </c>
      <c r="G42" s="114" t="s">
        <v>9</v>
      </c>
      <c r="H42" s="6">
        <v>-20</v>
      </c>
      <c r="I42" s="7">
        <v>0</v>
      </c>
      <c r="L42" s="7" t="s">
        <v>122</v>
      </c>
      <c r="M42" s="14" t="str">
        <f>Table128[[#This Row],[Slaggmängd]]&amp;Table128[[#This Row],[Gjuttemperatur]]&amp;Table128[[#This Row],[Temperatur motgjutningsyta]]&amp;Table128[[#This Row],[Värmekabel]]&amp;Table128[[#This Row],[Antal värmekablar]]&amp;Table128[[#This Row],[Täckning '[mm']]]&amp;Table128[[#This Row],[Formisolering '[mm']]]&amp;Table128[[#This Row],[OK&lt;17 Timamr]]&amp;Table128[[#This Row],[Kommentar]]</f>
        <v>-------Når ej 6 MPa</v>
      </c>
    </row>
    <row r="43" spans="1:13" x14ac:dyDescent="0.25">
      <c r="A43" s="6" t="s">
        <v>9</v>
      </c>
      <c r="B43" s="110" t="s">
        <v>9</v>
      </c>
      <c r="C43" s="110" t="s">
        <v>9</v>
      </c>
      <c r="D43" s="110" t="s">
        <v>9</v>
      </c>
      <c r="E43" s="110" t="s">
        <v>9</v>
      </c>
      <c r="F43" s="110" t="s">
        <v>9</v>
      </c>
      <c r="G43" s="111" t="s">
        <v>9</v>
      </c>
      <c r="H43" s="6">
        <v>-20</v>
      </c>
      <c r="I43" s="7">
        <v>2</v>
      </c>
      <c r="L43" s="7" t="s">
        <v>100</v>
      </c>
      <c r="M43" s="14" t="str">
        <f>Table128[[#This Row],[Slaggmängd]]&amp;Table128[[#This Row],[Gjuttemperatur]]&amp;Table128[[#This Row],[Temperatur motgjutningsyta]]&amp;Table128[[#This Row],[Värmekabel]]&amp;Table128[[#This Row],[Antal värmekablar]]&amp;Table128[[#This Row],[Täckning '[mm']]]&amp;Table128[[#This Row],[Formisolering '[mm']]]&amp;Table128[[#This Row],[OK&lt;17 Timamr]]&amp;Table128[[#This Row],[Kommentar]]</f>
        <v>-------Fryser innan täck</v>
      </c>
    </row>
    <row r="44" spans="1:13" x14ac:dyDescent="0.25">
      <c r="A44" s="6" t="s">
        <v>9</v>
      </c>
      <c r="B44" s="110" t="s">
        <v>9</v>
      </c>
      <c r="C44" s="110" t="s">
        <v>9</v>
      </c>
      <c r="D44" s="110" t="s">
        <v>9</v>
      </c>
      <c r="E44" s="110" t="s">
        <v>9</v>
      </c>
      <c r="F44" s="110" t="s">
        <v>9</v>
      </c>
      <c r="G44" s="111" t="s">
        <v>9</v>
      </c>
      <c r="H44" s="6">
        <v>-20</v>
      </c>
      <c r="I44" s="7">
        <v>7</v>
      </c>
      <c r="L44" s="7" t="s">
        <v>100</v>
      </c>
      <c r="M44" s="14" t="str">
        <f>Table128[[#This Row],[Slaggmängd]]&amp;Table128[[#This Row],[Gjuttemperatur]]&amp;Table128[[#This Row],[Temperatur motgjutningsyta]]&amp;Table128[[#This Row],[Värmekabel]]&amp;Table128[[#This Row],[Antal värmekablar]]&amp;Table128[[#This Row],[Täckning '[mm']]]&amp;Table128[[#This Row],[Formisolering '[mm']]]&amp;Table128[[#This Row],[OK&lt;17 Timamr]]&amp;Table128[[#This Row],[Kommentar]]</f>
        <v>-------Fryser innan täck</v>
      </c>
    </row>
    <row r="45" spans="1:13" x14ac:dyDescent="0.25">
      <c r="A45" s="6" t="s">
        <v>9</v>
      </c>
      <c r="B45" s="110" t="s">
        <v>9</v>
      </c>
      <c r="C45" s="110" t="s">
        <v>9</v>
      </c>
      <c r="D45" s="110" t="s">
        <v>9</v>
      </c>
      <c r="E45" s="110" t="s">
        <v>9</v>
      </c>
      <c r="F45" s="110" t="s">
        <v>9</v>
      </c>
      <c r="G45" s="111" t="s">
        <v>9</v>
      </c>
      <c r="H45" s="6">
        <v>-20</v>
      </c>
      <c r="I45" s="7">
        <v>12</v>
      </c>
      <c r="L45" s="7" t="s">
        <v>100</v>
      </c>
      <c r="M45" s="14" t="str">
        <f>Table128[[#This Row],[Slaggmängd]]&amp;Table128[[#This Row],[Gjuttemperatur]]&amp;Table128[[#This Row],[Temperatur motgjutningsyta]]&amp;Table128[[#This Row],[Värmekabel]]&amp;Table128[[#This Row],[Antal värmekablar]]&amp;Table128[[#This Row],[Täckning '[mm']]]&amp;Table128[[#This Row],[Formisolering '[mm']]]&amp;Table128[[#This Row],[OK&lt;17 Timamr]]&amp;Table128[[#This Row],[Kommentar]]</f>
        <v>-------Fryser innan täck</v>
      </c>
    </row>
    <row r="46" spans="1:13" ht="15.75" thickBot="1" x14ac:dyDescent="0.3">
      <c r="A46" s="8" t="s">
        <v>9</v>
      </c>
      <c r="B46" s="112" t="s">
        <v>9</v>
      </c>
      <c r="C46" s="112" t="s">
        <v>9</v>
      </c>
      <c r="D46" s="112" t="s">
        <v>9</v>
      </c>
      <c r="E46" s="112" t="s">
        <v>9</v>
      </c>
      <c r="F46" s="112" t="s">
        <v>9</v>
      </c>
      <c r="G46" s="113" t="s">
        <v>9</v>
      </c>
      <c r="H46" s="8">
        <v>-20</v>
      </c>
      <c r="I46" s="10">
        <v>20</v>
      </c>
      <c r="J46" s="9"/>
      <c r="K46" s="9"/>
      <c r="L46" s="10" t="s">
        <v>100</v>
      </c>
      <c r="M46" s="15" t="str">
        <f>Table128[[#This Row],[Slaggmängd]]&amp;Table128[[#This Row],[Gjuttemperatur]]&amp;Table128[[#This Row],[Temperatur motgjutningsyta]]&amp;Table128[[#This Row],[Värmekabel]]&amp;Table128[[#This Row],[Antal värmekablar]]&amp;Table128[[#This Row],[Täckning '[mm']]]&amp;Table128[[#This Row],[Formisolering '[mm']]]&amp;Table128[[#This Row],[OK&lt;17 Timamr]]&amp;Table128[[#This Row],[Kommentar]]</f>
        <v>-------Fryser innan täck</v>
      </c>
    </row>
  </sheetData>
  <phoneticPr fontId="3" type="noConversion"/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CE4B1A47-4DA0-48A4-9B77-0F338846172F}">
          <x14:formula1>
            <xm:f>Förutsättningar!$H$2:$H$3</xm:f>
          </x14:formula1>
          <xm:sqref>L2:L46</xm:sqref>
        </x14:dataValidation>
        <x14:dataValidation type="list" allowBlank="1" showInputMessage="1" showErrorMessage="1" xr:uid="{9A660BCF-82B8-439C-950F-958588ED66F3}">
          <x14:formula1>
            <xm:f>Förutsättningar!$I$2</xm:f>
          </x14:formula1>
          <xm:sqref>K2:K46</xm:sqref>
        </x14:dataValidation>
        <x14:dataValidation type="list" allowBlank="1" showInputMessage="1" showErrorMessage="1" xr:uid="{1DB9F62A-78C7-4589-9CDA-31EC08BC63DB}">
          <x14:formula1>
            <xm:f>Förutsättningar!$G$2:$G$8</xm:f>
          </x14:formula1>
          <xm:sqref>G2:G46</xm:sqref>
        </x14:dataValidation>
        <x14:dataValidation type="list" allowBlank="1" showInputMessage="1" showErrorMessage="1" xr:uid="{E236E7B4-1B6D-44F3-A5CA-2471BB740DEE}">
          <x14:formula1>
            <xm:f>Förutsättningar!$E$2:$E$5</xm:f>
          </x14:formula1>
          <xm:sqref>E2:E46</xm:sqref>
        </x14:dataValidation>
        <x14:dataValidation type="list" allowBlank="1" showInputMessage="1" showErrorMessage="1" xr:uid="{CF81A848-B702-4436-B21A-CD4CD62612AA}">
          <x14:formula1>
            <xm:f>Förutsättningar!$C$2:$C$6</xm:f>
          </x14:formula1>
          <xm:sqref>C2:C46</xm:sqref>
        </x14:dataValidation>
        <x14:dataValidation type="list" allowBlank="1" showInputMessage="1" showErrorMessage="1" xr:uid="{C6C1C8C1-0DFE-4CE1-BD1A-C7164EBC29D4}">
          <x14:formula1>
            <xm:f>Förutsättningar!$B$2:$B$6</xm:f>
          </x14:formula1>
          <xm:sqref>B2:B46</xm:sqref>
        </x14:dataValidation>
        <x14:dataValidation type="list" allowBlank="1" showInputMessage="1" showErrorMessage="1" xr:uid="{E3939DE7-A408-48B9-899B-83829AF1105F}">
          <x14:formula1>
            <xm:f>Förutsättningar!$A$2:$A$7</xm:f>
          </x14:formula1>
          <xm:sqref>A2:A46</xm:sqref>
        </x14:dataValidation>
        <x14:dataValidation type="list" allowBlank="1" showInputMessage="1" showErrorMessage="1" xr:uid="{4A9B1027-894D-4C7D-A35D-F26736406875}">
          <x14:formula1>
            <xm:f>Förutsättningar!$F$2:$F$7</xm:f>
          </x14:formula1>
          <xm:sqref>F2:F46</xm:sqref>
        </x14:dataValidation>
        <x14:dataValidation type="list" allowBlank="1" showInputMessage="1" showErrorMessage="1" xr:uid="{4BED7827-F336-4284-B4B3-6089D797041E}">
          <x14:formula1>
            <xm:f>Förutsättningar!$D$2:$D$3</xm:f>
          </x14:formula1>
          <xm:sqref>D2:D46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AC7B5-65B0-44E3-8254-A89EFDA326AC}">
  <sheetPr codeName="Sheet8">
    <pageSetUpPr autoPageBreaks="0"/>
  </sheetPr>
  <dimension ref="A1:T46"/>
  <sheetViews>
    <sheetView zoomScaleNormal="100" workbookViewId="0">
      <selection activeCell="K38" sqref="K38"/>
    </sheetView>
  </sheetViews>
  <sheetFormatPr defaultRowHeight="15" x14ac:dyDescent="0.25"/>
  <cols>
    <col min="1" max="1" width="14" style="77" bestFit="1" customWidth="1"/>
    <col min="2" max="2" width="17.42578125" style="2" bestFit="1" customWidth="1"/>
    <col min="3" max="3" width="18" style="2" bestFit="1" customWidth="1"/>
    <col min="4" max="4" width="13.85546875" style="2" bestFit="1" customWidth="1"/>
    <col min="5" max="5" width="19.5703125" style="2" bestFit="1" customWidth="1"/>
    <col min="6" max="6" width="16.5703125" bestFit="1" customWidth="1"/>
    <col min="7" max="7" width="25.5703125" bestFit="1" customWidth="1"/>
    <col min="8" max="8" width="13.7109375" bestFit="1" customWidth="1"/>
    <col min="9" max="9" width="7.28515625" bestFit="1" customWidth="1"/>
    <col min="10" max="10" width="24.140625" bestFit="1" customWidth="1"/>
    <col min="11" max="11" width="16.140625" bestFit="1" customWidth="1"/>
    <col min="12" max="12" width="13" bestFit="1" customWidth="1"/>
    <col min="13" max="13" width="41.7109375" bestFit="1" customWidth="1"/>
    <col min="14" max="17" width="11.28515625" customWidth="1"/>
    <col min="18" max="18" width="12.28515625" customWidth="1"/>
  </cols>
  <sheetData>
    <row r="1" spans="1:20" ht="30.75" thickBot="1" x14ac:dyDescent="0.3">
      <c r="A1" s="105" t="s">
        <v>106</v>
      </c>
      <c r="B1" s="80" t="s">
        <v>0</v>
      </c>
      <c r="C1" s="80" t="s">
        <v>1</v>
      </c>
      <c r="D1" s="80" t="s">
        <v>96</v>
      </c>
      <c r="E1" s="80" t="s">
        <v>97</v>
      </c>
      <c r="F1" s="80" t="s">
        <v>3</v>
      </c>
      <c r="G1" s="80" t="s">
        <v>98</v>
      </c>
      <c r="H1" s="11" t="s">
        <v>4</v>
      </c>
      <c r="I1" s="11" t="s">
        <v>5</v>
      </c>
      <c r="J1" s="106" t="s">
        <v>94</v>
      </c>
      <c r="K1" s="11" t="s">
        <v>95</v>
      </c>
      <c r="L1" s="11" t="s">
        <v>6</v>
      </c>
      <c r="M1" s="12" t="s">
        <v>7</v>
      </c>
      <c r="N1" s="1"/>
      <c r="O1" s="1"/>
      <c r="P1" s="1"/>
      <c r="Q1" s="1"/>
      <c r="R1" s="1"/>
      <c r="S1" s="1"/>
      <c r="T1" s="1"/>
    </row>
    <row r="2" spans="1:20" x14ac:dyDescent="0.25">
      <c r="A2" s="3">
        <v>0.2</v>
      </c>
      <c r="B2" s="107">
        <v>15</v>
      </c>
      <c r="C2" s="107">
        <v>20</v>
      </c>
      <c r="D2" s="108" t="s">
        <v>9</v>
      </c>
      <c r="E2" s="108" t="s">
        <v>9</v>
      </c>
      <c r="F2" s="107" t="s">
        <v>9</v>
      </c>
      <c r="G2" s="109" t="s">
        <v>123</v>
      </c>
      <c r="H2" s="3">
        <v>20</v>
      </c>
      <c r="I2" s="5">
        <v>0</v>
      </c>
      <c r="J2">
        <v>16.899999999999999</v>
      </c>
      <c r="K2" s="4" t="s">
        <v>101</v>
      </c>
      <c r="L2" s="5"/>
      <c r="M2" s="13" t="str">
        <f>Table132[[#This Row],[Slaggmängd]]&amp;Table132[[#This Row],[Gjuttemperatur]]&amp;Table132[[#This Row],[Temperatur motgjutningsyta]]&amp;Table132[[#This Row],[Värmekabel]]&amp;Table132[[#This Row],[Antal värmekablar]]&amp;Table132[[#This Row],[Täckning '[mm']]]&amp;Table132[[#This Row],[Formisolering '[mm']]]&amp;Table132[[#This Row],[OK&lt;17 Timamr]]&amp;Table132[[#This Row],[Kommentar]]</f>
        <v>0,21520---Plywood 15, oisoleratOK17</v>
      </c>
      <c r="O2" s="1"/>
    </row>
    <row r="3" spans="1:20" x14ac:dyDescent="0.25">
      <c r="A3" s="6">
        <v>0.2</v>
      </c>
      <c r="B3" s="110">
        <v>15</v>
      </c>
      <c r="C3" s="110">
        <v>20</v>
      </c>
      <c r="D3" s="110" t="s">
        <v>9</v>
      </c>
      <c r="E3" s="110" t="s">
        <v>9</v>
      </c>
      <c r="F3" s="110" t="s">
        <v>9</v>
      </c>
      <c r="G3" s="111" t="s">
        <v>123</v>
      </c>
      <c r="H3" s="6">
        <v>20</v>
      </c>
      <c r="I3" s="7">
        <v>2</v>
      </c>
      <c r="J3">
        <v>17</v>
      </c>
      <c r="K3" t="s">
        <v>101</v>
      </c>
      <c r="L3" s="7"/>
      <c r="M3" s="14" t="str">
        <f>Table132[[#This Row],[Slaggmängd]]&amp;Table132[[#This Row],[Gjuttemperatur]]&amp;Table132[[#This Row],[Temperatur motgjutningsyta]]&amp;Table132[[#This Row],[Värmekabel]]&amp;Table132[[#This Row],[Antal värmekablar]]&amp;Table132[[#This Row],[Täckning '[mm']]]&amp;Table132[[#This Row],[Formisolering '[mm']]]&amp;Table132[[#This Row],[OK&lt;17 Timamr]]&amp;Table132[[#This Row],[Kommentar]]</f>
        <v>0,21520---Plywood 15, oisoleratOK17</v>
      </c>
    </row>
    <row r="4" spans="1:20" x14ac:dyDescent="0.25">
      <c r="A4" s="6">
        <v>0.2</v>
      </c>
      <c r="B4" s="110">
        <v>15</v>
      </c>
      <c r="C4" s="110">
        <v>20</v>
      </c>
      <c r="D4" s="110" t="s">
        <v>9</v>
      </c>
      <c r="E4" s="110" t="s">
        <v>9</v>
      </c>
      <c r="F4" s="110" t="s">
        <v>9</v>
      </c>
      <c r="G4" s="111" t="s">
        <v>123</v>
      </c>
      <c r="H4" s="6">
        <v>20</v>
      </c>
      <c r="I4" s="7">
        <v>7</v>
      </c>
      <c r="J4">
        <v>17</v>
      </c>
      <c r="K4" t="s">
        <v>101</v>
      </c>
      <c r="L4" s="7"/>
      <c r="M4" s="14" t="str">
        <f>Table132[[#This Row],[Slaggmängd]]&amp;Table132[[#This Row],[Gjuttemperatur]]&amp;Table132[[#This Row],[Temperatur motgjutningsyta]]&amp;Table132[[#This Row],[Värmekabel]]&amp;Table132[[#This Row],[Antal värmekablar]]&amp;Table132[[#This Row],[Täckning '[mm']]]&amp;Table132[[#This Row],[Formisolering '[mm']]]&amp;Table132[[#This Row],[OK&lt;17 Timamr]]&amp;Table132[[#This Row],[Kommentar]]</f>
        <v>0,21520---Plywood 15, oisoleratOK17</v>
      </c>
    </row>
    <row r="5" spans="1:20" x14ac:dyDescent="0.25">
      <c r="A5" s="6">
        <v>0.2</v>
      </c>
      <c r="B5" s="110">
        <v>15</v>
      </c>
      <c r="C5" s="110">
        <v>20</v>
      </c>
      <c r="D5" s="110" t="s">
        <v>9</v>
      </c>
      <c r="E5" s="110" t="s">
        <v>9</v>
      </c>
      <c r="F5" s="110" t="s">
        <v>9</v>
      </c>
      <c r="G5" s="111" t="s">
        <v>123</v>
      </c>
      <c r="H5" s="6">
        <v>20</v>
      </c>
      <c r="I5" s="7">
        <v>12</v>
      </c>
      <c r="J5">
        <v>17</v>
      </c>
      <c r="K5" t="s">
        <v>101</v>
      </c>
      <c r="L5" s="7"/>
      <c r="M5" s="14" t="str">
        <f>Table132[[#This Row],[Slaggmängd]]&amp;Table132[[#This Row],[Gjuttemperatur]]&amp;Table132[[#This Row],[Temperatur motgjutningsyta]]&amp;Table132[[#This Row],[Värmekabel]]&amp;Table132[[#This Row],[Antal värmekablar]]&amp;Table132[[#This Row],[Täckning '[mm']]]&amp;Table132[[#This Row],[Formisolering '[mm']]]&amp;Table132[[#This Row],[OK&lt;17 Timamr]]&amp;Table132[[#This Row],[Kommentar]]</f>
        <v>0,21520---Plywood 15, oisoleratOK17</v>
      </c>
    </row>
    <row r="6" spans="1:20" ht="15.75" thickBot="1" x14ac:dyDescent="0.3">
      <c r="A6" s="8">
        <v>0.2</v>
      </c>
      <c r="B6" s="112">
        <v>15</v>
      </c>
      <c r="C6" s="112">
        <v>20</v>
      </c>
      <c r="D6" s="112" t="s">
        <v>9</v>
      </c>
      <c r="E6" s="112" t="s">
        <v>9</v>
      </c>
      <c r="F6" s="112" t="s">
        <v>9</v>
      </c>
      <c r="G6" s="113" t="s">
        <v>123</v>
      </c>
      <c r="H6" s="8">
        <v>20</v>
      </c>
      <c r="I6" s="10">
        <v>20</v>
      </c>
      <c r="J6">
        <v>17</v>
      </c>
      <c r="K6" t="s">
        <v>101</v>
      </c>
      <c r="L6" s="10"/>
      <c r="M6" s="15" t="str">
        <f>Table132[[#This Row],[Slaggmängd]]&amp;Table132[[#This Row],[Gjuttemperatur]]&amp;Table132[[#This Row],[Temperatur motgjutningsyta]]&amp;Table132[[#This Row],[Värmekabel]]&amp;Table132[[#This Row],[Antal värmekablar]]&amp;Table132[[#This Row],[Täckning '[mm']]]&amp;Table132[[#This Row],[Formisolering '[mm']]]&amp;Table132[[#This Row],[OK&lt;17 Timamr]]&amp;Table132[[#This Row],[Kommentar]]</f>
        <v>0,21520---Plywood 15, oisoleratOK17</v>
      </c>
    </row>
    <row r="7" spans="1:20" x14ac:dyDescent="0.25">
      <c r="A7" s="6">
        <v>0.1</v>
      </c>
      <c r="B7" s="110">
        <v>15</v>
      </c>
      <c r="C7" s="110">
        <v>15</v>
      </c>
      <c r="D7" s="110" t="s">
        <v>9</v>
      </c>
      <c r="E7" s="110" t="s">
        <v>9</v>
      </c>
      <c r="F7" s="110" t="s">
        <v>9</v>
      </c>
      <c r="G7" s="110" t="s">
        <v>123</v>
      </c>
      <c r="H7" s="3">
        <v>15</v>
      </c>
      <c r="I7" s="5">
        <v>0</v>
      </c>
      <c r="J7" s="3">
        <v>16.399999999999999</v>
      </c>
      <c r="K7" s="4" t="s">
        <v>101</v>
      </c>
      <c r="L7" s="5"/>
      <c r="M7" s="13" t="str">
        <f>Table132[[#This Row],[Slaggmängd]]&amp;Table132[[#This Row],[Gjuttemperatur]]&amp;Table132[[#This Row],[Temperatur motgjutningsyta]]&amp;Table132[[#This Row],[Värmekabel]]&amp;Table132[[#This Row],[Antal värmekablar]]&amp;Table132[[#This Row],[Täckning '[mm']]]&amp;Table132[[#This Row],[Formisolering '[mm']]]&amp;Table132[[#This Row],[OK&lt;17 Timamr]]&amp;Table132[[#This Row],[Kommentar]]</f>
        <v>0,11515---Plywood 15, oisoleratOK17</v>
      </c>
    </row>
    <row r="8" spans="1:20" x14ac:dyDescent="0.25">
      <c r="A8" s="6">
        <v>0.1</v>
      </c>
      <c r="B8" s="110">
        <v>15</v>
      </c>
      <c r="C8" s="110">
        <v>15</v>
      </c>
      <c r="D8" s="110" t="s">
        <v>9</v>
      </c>
      <c r="E8" s="110" t="s">
        <v>9</v>
      </c>
      <c r="F8" s="110" t="s">
        <v>9</v>
      </c>
      <c r="G8" s="110" t="s">
        <v>123</v>
      </c>
      <c r="H8" s="6">
        <v>15</v>
      </c>
      <c r="I8" s="7">
        <v>2</v>
      </c>
      <c r="J8" s="6">
        <v>16.600000000000001</v>
      </c>
      <c r="K8" t="s">
        <v>101</v>
      </c>
      <c r="L8" s="7"/>
      <c r="M8" s="14" t="str">
        <f>Table132[[#This Row],[Slaggmängd]]&amp;Table132[[#This Row],[Gjuttemperatur]]&amp;Table132[[#This Row],[Temperatur motgjutningsyta]]&amp;Table132[[#This Row],[Värmekabel]]&amp;Table132[[#This Row],[Antal värmekablar]]&amp;Table132[[#This Row],[Täckning '[mm']]]&amp;Table132[[#This Row],[Formisolering '[mm']]]&amp;Table132[[#This Row],[OK&lt;17 Timamr]]&amp;Table132[[#This Row],[Kommentar]]</f>
        <v>0,11515---Plywood 15, oisoleratOK17</v>
      </c>
    </row>
    <row r="9" spans="1:20" x14ac:dyDescent="0.25">
      <c r="A9" s="6">
        <v>0.1</v>
      </c>
      <c r="B9" s="110">
        <v>15</v>
      </c>
      <c r="C9" s="110">
        <v>15</v>
      </c>
      <c r="D9" s="110" t="s">
        <v>9</v>
      </c>
      <c r="E9" s="110" t="s">
        <v>9</v>
      </c>
      <c r="F9" s="110" t="s">
        <v>9</v>
      </c>
      <c r="G9" s="110" t="s">
        <v>123</v>
      </c>
      <c r="H9" s="6">
        <v>15</v>
      </c>
      <c r="I9" s="7">
        <v>7</v>
      </c>
      <c r="J9" s="6">
        <v>16.8</v>
      </c>
      <c r="K9" t="s">
        <v>101</v>
      </c>
      <c r="L9" s="7"/>
      <c r="M9" s="14" t="str">
        <f>Table132[[#This Row],[Slaggmängd]]&amp;Table132[[#This Row],[Gjuttemperatur]]&amp;Table132[[#This Row],[Temperatur motgjutningsyta]]&amp;Table132[[#This Row],[Värmekabel]]&amp;Table132[[#This Row],[Antal värmekablar]]&amp;Table132[[#This Row],[Täckning '[mm']]]&amp;Table132[[#This Row],[Formisolering '[mm']]]&amp;Table132[[#This Row],[OK&lt;17 Timamr]]&amp;Table132[[#This Row],[Kommentar]]</f>
        <v>0,11515---Plywood 15, oisoleratOK17</v>
      </c>
    </row>
    <row r="10" spans="1:20" x14ac:dyDescent="0.25">
      <c r="A10" s="6">
        <v>0.1</v>
      </c>
      <c r="B10" s="110">
        <v>15</v>
      </c>
      <c r="C10" s="110">
        <v>15</v>
      </c>
      <c r="D10" s="110" t="s">
        <v>9</v>
      </c>
      <c r="E10" s="110" t="s">
        <v>9</v>
      </c>
      <c r="F10" s="110" t="s">
        <v>10</v>
      </c>
      <c r="G10" s="110" t="s">
        <v>123</v>
      </c>
      <c r="H10" s="6">
        <v>15</v>
      </c>
      <c r="I10" s="7">
        <v>12</v>
      </c>
      <c r="J10" s="6">
        <v>16.899999999999999</v>
      </c>
      <c r="K10" t="s">
        <v>101</v>
      </c>
      <c r="L10" s="7"/>
      <c r="M10" s="14" t="str">
        <f>Table132[[#This Row],[Slaggmängd]]&amp;Table132[[#This Row],[Gjuttemperatur]]&amp;Table132[[#This Row],[Temperatur motgjutningsyta]]&amp;Table132[[#This Row],[Värmekabel]]&amp;Table132[[#This Row],[Antal värmekablar]]&amp;Table132[[#This Row],[Täckning '[mm']]]&amp;Table132[[#This Row],[Formisolering '[mm']]]&amp;Table132[[#This Row],[OK&lt;17 Timamr]]&amp;Table132[[#This Row],[Kommentar]]</f>
        <v>0,11515--PresenningPlywood 15, oisoleratOK17</v>
      </c>
    </row>
    <row r="11" spans="1:20" ht="15.75" thickBot="1" x14ac:dyDescent="0.3">
      <c r="A11" s="6">
        <v>0.1</v>
      </c>
      <c r="B11" s="110">
        <v>15</v>
      </c>
      <c r="C11" s="110">
        <v>15</v>
      </c>
      <c r="D11" s="110" t="s">
        <v>9</v>
      </c>
      <c r="E11" s="110" t="s">
        <v>9</v>
      </c>
      <c r="F11" s="110" t="s">
        <v>10</v>
      </c>
      <c r="G11" s="110" t="s">
        <v>123</v>
      </c>
      <c r="H11" s="8">
        <v>15</v>
      </c>
      <c r="I11" s="10">
        <v>20</v>
      </c>
      <c r="J11" s="8">
        <v>17</v>
      </c>
      <c r="K11" s="9" t="s">
        <v>101</v>
      </c>
      <c r="L11" s="10"/>
      <c r="M11" s="15" t="str">
        <f>Table132[[#This Row],[Slaggmängd]]&amp;Table132[[#This Row],[Gjuttemperatur]]&amp;Table132[[#This Row],[Temperatur motgjutningsyta]]&amp;Table132[[#This Row],[Värmekabel]]&amp;Table132[[#This Row],[Antal värmekablar]]&amp;Table132[[#This Row],[Täckning '[mm']]]&amp;Table132[[#This Row],[Formisolering '[mm']]]&amp;Table132[[#This Row],[OK&lt;17 Timamr]]&amp;Table132[[#This Row],[Kommentar]]</f>
        <v>0,11515--PresenningPlywood 15, oisoleratOK17</v>
      </c>
    </row>
    <row r="12" spans="1:20" x14ac:dyDescent="0.25">
      <c r="A12" s="3" t="s">
        <v>9</v>
      </c>
      <c r="B12" s="107" t="s">
        <v>9</v>
      </c>
      <c r="C12" s="107" t="s">
        <v>9</v>
      </c>
      <c r="D12" s="107" t="s">
        <v>9</v>
      </c>
      <c r="E12" s="107" t="s">
        <v>9</v>
      </c>
      <c r="F12" s="107" t="s">
        <v>9</v>
      </c>
      <c r="G12" s="114" t="s">
        <v>9</v>
      </c>
      <c r="H12" s="3">
        <v>10</v>
      </c>
      <c r="I12" s="5">
        <v>0</v>
      </c>
      <c r="J12" s="3"/>
      <c r="K12" s="4"/>
      <c r="L12" s="5" t="s">
        <v>122</v>
      </c>
      <c r="M12" s="13" t="str">
        <f>Table132[[#This Row],[Slaggmängd]]&amp;Table132[[#This Row],[Gjuttemperatur]]&amp;Table132[[#This Row],[Temperatur motgjutningsyta]]&amp;Table132[[#This Row],[Värmekabel]]&amp;Table132[[#This Row],[Antal värmekablar]]&amp;Table132[[#This Row],[Täckning '[mm']]]&amp;Table132[[#This Row],[Formisolering '[mm']]]&amp;Table132[[#This Row],[OK&lt;17 Timamr]]&amp;Table132[[#This Row],[Kommentar]]</f>
        <v>-------Når ej 6 MPa</v>
      </c>
    </row>
    <row r="13" spans="1:20" x14ac:dyDescent="0.25">
      <c r="A13" s="6" t="s">
        <v>9</v>
      </c>
      <c r="B13" s="110" t="s">
        <v>9</v>
      </c>
      <c r="C13" s="110" t="s">
        <v>9</v>
      </c>
      <c r="D13" s="110" t="s">
        <v>9</v>
      </c>
      <c r="E13" s="110" t="s">
        <v>9</v>
      </c>
      <c r="F13" s="110" t="s">
        <v>9</v>
      </c>
      <c r="G13" s="111" t="s">
        <v>9</v>
      </c>
      <c r="H13" s="6">
        <v>10</v>
      </c>
      <c r="I13" s="7">
        <v>2</v>
      </c>
      <c r="J13" s="6"/>
      <c r="L13" s="7" t="s">
        <v>122</v>
      </c>
      <c r="M13" s="14" t="str">
        <f>Table132[[#This Row],[Slaggmängd]]&amp;Table132[[#This Row],[Gjuttemperatur]]&amp;Table132[[#This Row],[Temperatur motgjutningsyta]]&amp;Table132[[#This Row],[Värmekabel]]&amp;Table132[[#This Row],[Antal värmekablar]]&amp;Table132[[#This Row],[Täckning '[mm']]]&amp;Table132[[#This Row],[Formisolering '[mm']]]&amp;Table132[[#This Row],[OK&lt;17 Timamr]]&amp;Table132[[#This Row],[Kommentar]]</f>
        <v>-------Når ej 6 MPa</v>
      </c>
    </row>
    <row r="14" spans="1:20" x14ac:dyDescent="0.25">
      <c r="A14" s="6" t="s">
        <v>9</v>
      </c>
      <c r="B14" s="110" t="s">
        <v>9</v>
      </c>
      <c r="C14" s="110" t="s">
        <v>9</v>
      </c>
      <c r="D14" s="110" t="s">
        <v>9</v>
      </c>
      <c r="E14" s="110" t="s">
        <v>9</v>
      </c>
      <c r="F14" s="110" t="s">
        <v>9</v>
      </c>
      <c r="G14" s="111" t="s">
        <v>9</v>
      </c>
      <c r="H14" s="6">
        <v>10</v>
      </c>
      <c r="I14" s="7">
        <v>7</v>
      </c>
      <c r="J14" s="6"/>
      <c r="L14" s="7" t="s">
        <v>122</v>
      </c>
      <c r="M14" s="14" t="str">
        <f>Table132[[#This Row],[Slaggmängd]]&amp;Table132[[#This Row],[Gjuttemperatur]]&amp;Table132[[#This Row],[Temperatur motgjutningsyta]]&amp;Table132[[#This Row],[Värmekabel]]&amp;Table132[[#This Row],[Antal värmekablar]]&amp;Table132[[#This Row],[Täckning '[mm']]]&amp;Table132[[#This Row],[Formisolering '[mm']]]&amp;Table132[[#This Row],[OK&lt;17 Timamr]]&amp;Table132[[#This Row],[Kommentar]]</f>
        <v>-------Når ej 6 MPa</v>
      </c>
    </row>
    <row r="15" spans="1:20" x14ac:dyDescent="0.25">
      <c r="A15" s="6" t="s">
        <v>9</v>
      </c>
      <c r="B15" s="110" t="s">
        <v>9</v>
      </c>
      <c r="C15" s="110" t="s">
        <v>9</v>
      </c>
      <c r="D15" s="110" t="s">
        <v>9</v>
      </c>
      <c r="E15" s="110" t="s">
        <v>9</v>
      </c>
      <c r="F15" s="110" t="s">
        <v>9</v>
      </c>
      <c r="G15" s="111" t="s">
        <v>9</v>
      </c>
      <c r="H15" s="6">
        <v>10</v>
      </c>
      <c r="I15" s="7">
        <v>12</v>
      </c>
      <c r="J15" s="6"/>
      <c r="L15" s="7" t="s">
        <v>122</v>
      </c>
      <c r="M15" s="14" t="str">
        <f>Table132[[#This Row],[Slaggmängd]]&amp;Table132[[#This Row],[Gjuttemperatur]]&amp;Table132[[#This Row],[Temperatur motgjutningsyta]]&amp;Table132[[#This Row],[Värmekabel]]&amp;Table132[[#This Row],[Antal värmekablar]]&amp;Table132[[#This Row],[Täckning '[mm']]]&amp;Table132[[#This Row],[Formisolering '[mm']]]&amp;Table132[[#This Row],[OK&lt;17 Timamr]]&amp;Table132[[#This Row],[Kommentar]]</f>
        <v>-------Når ej 6 MPa</v>
      </c>
    </row>
    <row r="16" spans="1:20" ht="15.75" thickBot="1" x14ac:dyDescent="0.3">
      <c r="A16" s="8" t="s">
        <v>9</v>
      </c>
      <c r="B16" s="112" t="s">
        <v>9</v>
      </c>
      <c r="C16" s="112" t="s">
        <v>9</v>
      </c>
      <c r="D16" s="112" t="s">
        <v>9</v>
      </c>
      <c r="E16" s="112" t="s">
        <v>9</v>
      </c>
      <c r="F16" s="112" t="s">
        <v>9</v>
      </c>
      <c r="G16" s="113" t="s">
        <v>9</v>
      </c>
      <c r="H16" s="8">
        <v>10</v>
      </c>
      <c r="I16" s="10">
        <v>20</v>
      </c>
      <c r="J16" s="8"/>
      <c r="K16" s="9"/>
      <c r="L16" s="10" t="s">
        <v>122</v>
      </c>
      <c r="M16" s="15" t="str">
        <f>Table132[[#This Row],[Slaggmängd]]&amp;Table132[[#This Row],[Gjuttemperatur]]&amp;Table132[[#This Row],[Temperatur motgjutningsyta]]&amp;Table132[[#This Row],[Värmekabel]]&amp;Table132[[#This Row],[Antal värmekablar]]&amp;Table132[[#This Row],[Täckning '[mm']]]&amp;Table132[[#This Row],[Formisolering '[mm']]]&amp;Table132[[#This Row],[OK&lt;17 Timamr]]&amp;Table132[[#This Row],[Kommentar]]</f>
        <v>-------Når ej 6 MPa</v>
      </c>
    </row>
    <row r="17" spans="1:13" x14ac:dyDescent="0.25">
      <c r="A17" s="6">
        <v>0.2</v>
      </c>
      <c r="B17" s="110">
        <v>20</v>
      </c>
      <c r="C17" s="110">
        <v>5</v>
      </c>
      <c r="D17" s="110">
        <v>40</v>
      </c>
      <c r="E17" s="110">
        <v>2</v>
      </c>
      <c r="F17" s="110" t="s">
        <v>10</v>
      </c>
      <c r="G17" s="110" t="s">
        <v>124</v>
      </c>
      <c r="H17" s="3">
        <v>5</v>
      </c>
      <c r="I17" s="5">
        <v>0</v>
      </c>
      <c r="J17" s="4">
        <v>16.7</v>
      </c>
      <c r="K17" s="4" t="s">
        <v>101</v>
      </c>
      <c r="L17" s="5"/>
      <c r="M17" s="13" t="str">
        <f>Table132[[#This Row],[Slaggmängd]]&amp;Table132[[#This Row],[Gjuttemperatur]]&amp;Table132[[#This Row],[Temperatur motgjutningsyta]]&amp;Table132[[#This Row],[Värmekabel]]&amp;Table132[[#This Row],[Antal värmekablar]]&amp;Table132[[#This Row],[Täckning '[mm']]]&amp;Table132[[#This Row],[Formisolering '[mm']]]&amp;Table132[[#This Row],[OK&lt;17 Timamr]]&amp;Table132[[#This Row],[Kommentar]]</f>
        <v>0,2205402PresenningPlywood 15 cellplast 30OK17</v>
      </c>
    </row>
    <row r="18" spans="1:13" x14ac:dyDescent="0.25">
      <c r="A18" s="6">
        <v>0.2</v>
      </c>
      <c r="B18" s="110">
        <v>20</v>
      </c>
      <c r="C18" s="110">
        <v>5</v>
      </c>
      <c r="D18" s="110">
        <v>40</v>
      </c>
      <c r="E18" s="110">
        <v>2</v>
      </c>
      <c r="F18" s="110">
        <v>10</v>
      </c>
      <c r="G18" s="110" t="s">
        <v>125</v>
      </c>
      <c r="H18" s="6">
        <v>5</v>
      </c>
      <c r="I18" s="7">
        <v>2</v>
      </c>
      <c r="J18">
        <v>16.7</v>
      </c>
      <c r="K18" t="s">
        <v>101</v>
      </c>
      <c r="L18" s="7"/>
      <c r="M18" s="14" t="str">
        <f>Table132[[#This Row],[Slaggmängd]]&amp;Table132[[#This Row],[Gjuttemperatur]]&amp;Table132[[#This Row],[Temperatur motgjutningsyta]]&amp;Table132[[#This Row],[Värmekabel]]&amp;Table132[[#This Row],[Antal värmekablar]]&amp;Table132[[#This Row],[Täckning '[mm']]]&amp;Table132[[#This Row],[Formisolering '[mm']]]&amp;Table132[[#This Row],[OK&lt;17 Timamr]]&amp;Table132[[#This Row],[Kommentar]]</f>
        <v>0,220540210Plywood 12-19  cellplast 50OK17</v>
      </c>
    </row>
    <row r="19" spans="1:13" x14ac:dyDescent="0.25">
      <c r="A19" s="6">
        <v>0.2</v>
      </c>
      <c r="B19" s="110">
        <v>20</v>
      </c>
      <c r="C19" s="110">
        <v>5</v>
      </c>
      <c r="D19" s="110">
        <v>40</v>
      </c>
      <c r="E19" s="110">
        <v>2</v>
      </c>
      <c r="F19" s="110">
        <v>10</v>
      </c>
      <c r="G19" s="110" t="s">
        <v>127</v>
      </c>
      <c r="H19" s="6">
        <v>5</v>
      </c>
      <c r="I19" s="7">
        <v>7</v>
      </c>
      <c r="J19">
        <v>17</v>
      </c>
      <c r="K19" t="s">
        <v>101</v>
      </c>
      <c r="L19" s="7"/>
      <c r="M19" s="14" t="str">
        <f>Table132[[#This Row],[Slaggmängd]]&amp;Table132[[#This Row],[Gjuttemperatur]]&amp;Table132[[#This Row],[Temperatur motgjutningsyta]]&amp;Table132[[#This Row],[Värmekabel]]&amp;Table132[[#This Row],[Antal värmekablar]]&amp;Table132[[#This Row],[Täckning '[mm']]]&amp;Table132[[#This Row],[Formisolering '[mm']]]&amp;Table132[[#This Row],[OK&lt;17 Timamr]]&amp;Table132[[#This Row],[Kommentar]]</f>
        <v>0,220540210Plywood 12-19 cellplast 100OK17</v>
      </c>
    </row>
    <row r="20" spans="1:13" x14ac:dyDescent="0.25">
      <c r="A20" s="6">
        <v>0.1</v>
      </c>
      <c r="B20" s="110">
        <v>20</v>
      </c>
      <c r="C20" s="110">
        <v>5</v>
      </c>
      <c r="D20" s="110">
        <v>40</v>
      </c>
      <c r="E20" s="110">
        <v>1</v>
      </c>
      <c r="F20" s="110">
        <v>10</v>
      </c>
      <c r="G20" s="110" t="s">
        <v>124</v>
      </c>
      <c r="H20" s="6">
        <v>5</v>
      </c>
      <c r="I20" s="7">
        <v>12</v>
      </c>
      <c r="J20">
        <v>16.5</v>
      </c>
      <c r="K20" t="s">
        <v>101</v>
      </c>
      <c r="L20" s="7"/>
      <c r="M20" s="14" t="str">
        <f>Table132[[#This Row],[Slaggmängd]]&amp;Table132[[#This Row],[Gjuttemperatur]]&amp;Table132[[#This Row],[Temperatur motgjutningsyta]]&amp;Table132[[#This Row],[Värmekabel]]&amp;Table132[[#This Row],[Antal värmekablar]]&amp;Table132[[#This Row],[Täckning '[mm']]]&amp;Table132[[#This Row],[Formisolering '[mm']]]&amp;Table132[[#This Row],[OK&lt;17 Timamr]]&amp;Table132[[#This Row],[Kommentar]]</f>
        <v>0,120540110Plywood 15 cellplast 30OK17</v>
      </c>
    </row>
    <row r="21" spans="1:13" ht="15.75" thickBot="1" x14ac:dyDescent="0.3">
      <c r="A21" s="6">
        <v>0.1</v>
      </c>
      <c r="B21" s="110">
        <v>20</v>
      </c>
      <c r="C21" s="110">
        <v>5</v>
      </c>
      <c r="D21" s="110">
        <v>40</v>
      </c>
      <c r="E21" s="110">
        <v>1</v>
      </c>
      <c r="F21" s="110">
        <v>10</v>
      </c>
      <c r="G21" s="110" t="s">
        <v>124</v>
      </c>
      <c r="H21" s="8">
        <v>5</v>
      </c>
      <c r="I21" s="10">
        <v>20</v>
      </c>
      <c r="J21" s="9">
        <v>16.7</v>
      </c>
      <c r="K21" s="9" t="s">
        <v>101</v>
      </c>
      <c r="L21" s="10"/>
      <c r="M21" s="15" t="str">
        <f>Table132[[#This Row],[Slaggmängd]]&amp;Table132[[#This Row],[Gjuttemperatur]]&amp;Table132[[#This Row],[Temperatur motgjutningsyta]]&amp;Table132[[#This Row],[Värmekabel]]&amp;Table132[[#This Row],[Antal värmekablar]]&amp;Table132[[#This Row],[Täckning '[mm']]]&amp;Table132[[#This Row],[Formisolering '[mm']]]&amp;Table132[[#This Row],[OK&lt;17 Timamr]]&amp;Table132[[#This Row],[Kommentar]]</f>
        <v>0,120540110Plywood 15 cellplast 30OK17</v>
      </c>
    </row>
    <row r="22" spans="1:13" x14ac:dyDescent="0.25">
      <c r="A22" s="3">
        <v>0.2</v>
      </c>
      <c r="B22" s="107">
        <v>20</v>
      </c>
      <c r="C22" s="107">
        <v>5</v>
      </c>
      <c r="D22" s="107">
        <v>40</v>
      </c>
      <c r="E22" s="107">
        <v>2</v>
      </c>
      <c r="F22" s="107">
        <v>10</v>
      </c>
      <c r="G22" s="114" t="s">
        <v>126</v>
      </c>
      <c r="H22" s="3">
        <v>0</v>
      </c>
      <c r="I22" s="5">
        <v>0</v>
      </c>
      <c r="J22" s="4">
        <v>16.600000000000001</v>
      </c>
      <c r="K22" s="4" t="s">
        <v>101</v>
      </c>
      <c r="L22" s="5"/>
      <c r="M22" s="13" t="str">
        <f>Table132[[#This Row],[Slaggmängd]]&amp;Table132[[#This Row],[Gjuttemperatur]]&amp;Table132[[#This Row],[Temperatur motgjutningsyta]]&amp;Table132[[#This Row],[Värmekabel]]&amp;Table132[[#This Row],[Antal värmekablar]]&amp;Table132[[#This Row],[Täckning '[mm']]]&amp;Table132[[#This Row],[Formisolering '[mm']]]&amp;Table132[[#This Row],[OK&lt;17 Timamr]]&amp;Table132[[#This Row],[Kommentar]]</f>
        <v>0,220540210Plywood 12-19 cellplast 70OK17</v>
      </c>
    </row>
    <row r="23" spans="1:13" x14ac:dyDescent="0.25">
      <c r="A23" s="6">
        <v>0.2</v>
      </c>
      <c r="B23" s="110">
        <v>20</v>
      </c>
      <c r="C23" s="110">
        <v>5</v>
      </c>
      <c r="D23" s="110">
        <v>40</v>
      </c>
      <c r="E23" s="110">
        <v>3</v>
      </c>
      <c r="F23" s="110">
        <v>10</v>
      </c>
      <c r="G23" s="111" t="s">
        <v>126</v>
      </c>
      <c r="H23" s="6">
        <v>0</v>
      </c>
      <c r="I23" s="7">
        <v>2</v>
      </c>
      <c r="J23">
        <v>17</v>
      </c>
      <c r="K23" t="s">
        <v>101</v>
      </c>
      <c r="L23" s="7"/>
      <c r="M23" s="14" t="str">
        <f>Table132[[#This Row],[Slaggmängd]]&amp;Table132[[#This Row],[Gjuttemperatur]]&amp;Table132[[#This Row],[Temperatur motgjutningsyta]]&amp;Table132[[#This Row],[Värmekabel]]&amp;Table132[[#This Row],[Antal värmekablar]]&amp;Table132[[#This Row],[Täckning '[mm']]]&amp;Table132[[#This Row],[Formisolering '[mm']]]&amp;Table132[[#This Row],[OK&lt;17 Timamr]]&amp;Table132[[#This Row],[Kommentar]]</f>
        <v>0,220540310Plywood 12-19 cellplast 70OK17</v>
      </c>
    </row>
    <row r="24" spans="1:13" x14ac:dyDescent="0.25">
      <c r="A24" s="6">
        <v>0.1</v>
      </c>
      <c r="B24" s="110">
        <v>20</v>
      </c>
      <c r="C24" s="110">
        <v>5</v>
      </c>
      <c r="D24" s="110">
        <v>40</v>
      </c>
      <c r="E24" s="110">
        <v>1</v>
      </c>
      <c r="F24" s="110">
        <v>10</v>
      </c>
      <c r="G24" s="111" t="s">
        <v>126</v>
      </c>
      <c r="H24" s="6">
        <v>0</v>
      </c>
      <c r="I24" s="7">
        <v>7</v>
      </c>
      <c r="J24">
        <v>16.7</v>
      </c>
      <c r="K24" t="s">
        <v>101</v>
      </c>
      <c r="L24" s="7"/>
      <c r="M24" s="14" t="str">
        <f>Table132[[#This Row],[Slaggmängd]]&amp;Table132[[#This Row],[Gjuttemperatur]]&amp;Table132[[#This Row],[Temperatur motgjutningsyta]]&amp;Table132[[#This Row],[Värmekabel]]&amp;Table132[[#This Row],[Antal värmekablar]]&amp;Table132[[#This Row],[Täckning '[mm']]]&amp;Table132[[#This Row],[Formisolering '[mm']]]&amp;Table132[[#This Row],[OK&lt;17 Timamr]]&amp;Table132[[#This Row],[Kommentar]]</f>
        <v>0,120540110Plywood 12-19 cellplast 70OK17</v>
      </c>
    </row>
    <row r="25" spans="1:13" x14ac:dyDescent="0.25">
      <c r="A25" s="6">
        <v>0.1</v>
      </c>
      <c r="B25" s="110">
        <v>20</v>
      </c>
      <c r="C25" s="110">
        <v>5</v>
      </c>
      <c r="D25" s="110">
        <v>40</v>
      </c>
      <c r="E25" s="110">
        <v>1</v>
      </c>
      <c r="F25" s="110">
        <v>10</v>
      </c>
      <c r="G25" s="111" t="s">
        <v>127</v>
      </c>
      <c r="H25" s="6">
        <v>0</v>
      </c>
      <c r="I25" s="7">
        <v>12</v>
      </c>
      <c r="J25">
        <v>17</v>
      </c>
      <c r="K25" t="s">
        <v>101</v>
      </c>
      <c r="L25" s="7"/>
      <c r="M25" s="14" t="str">
        <f>Table132[[#This Row],[Slaggmängd]]&amp;Table132[[#This Row],[Gjuttemperatur]]&amp;Table132[[#This Row],[Temperatur motgjutningsyta]]&amp;Table132[[#This Row],[Värmekabel]]&amp;Table132[[#This Row],[Antal värmekablar]]&amp;Table132[[#This Row],[Täckning '[mm']]]&amp;Table132[[#This Row],[Formisolering '[mm']]]&amp;Table132[[#This Row],[OK&lt;17 Timamr]]&amp;Table132[[#This Row],[Kommentar]]</f>
        <v>0,120540110Plywood 12-19 cellplast 100OK17</v>
      </c>
    </row>
    <row r="26" spans="1:13" ht="15.75" thickBot="1" x14ac:dyDescent="0.3">
      <c r="A26" s="8">
        <v>0.1</v>
      </c>
      <c r="B26" s="112">
        <v>20</v>
      </c>
      <c r="C26" s="112">
        <v>5</v>
      </c>
      <c r="D26" s="112">
        <v>40</v>
      </c>
      <c r="E26" s="112">
        <v>2</v>
      </c>
      <c r="F26" s="112">
        <v>10</v>
      </c>
      <c r="G26" s="113" t="s">
        <v>125</v>
      </c>
      <c r="H26" s="8">
        <v>0</v>
      </c>
      <c r="I26" s="10">
        <v>20</v>
      </c>
      <c r="J26" s="9">
        <v>16.600000000000001</v>
      </c>
      <c r="K26" s="9" t="s">
        <v>101</v>
      </c>
      <c r="L26" s="10"/>
      <c r="M26" s="15" t="str">
        <f>Table132[[#This Row],[Slaggmängd]]&amp;Table132[[#This Row],[Gjuttemperatur]]&amp;Table132[[#This Row],[Temperatur motgjutningsyta]]&amp;Table132[[#This Row],[Värmekabel]]&amp;Table132[[#This Row],[Antal värmekablar]]&amp;Table132[[#This Row],[Täckning '[mm']]]&amp;Table132[[#This Row],[Formisolering '[mm']]]&amp;Table132[[#This Row],[OK&lt;17 Timamr]]&amp;Table132[[#This Row],[Kommentar]]</f>
        <v>0,120540210Plywood 12-19  cellplast 50OK17</v>
      </c>
    </row>
    <row r="27" spans="1:13" x14ac:dyDescent="0.25">
      <c r="A27" s="3">
        <v>0.2</v>
      </c>
      <c r="B27" s="107">
        <v>20</v>
      </c>
      <c r="C27" s="107">
        <v>5</v>
      </c>
      <c r="D27" s="107">
        <v>40</v>
      </c>
      <c r="E27" s="107">
        <v>3</v>
      </c>
      <c r="F27" s="107">
        <v>10</v>
      </c>
      <c r="G27" s="114" t="s">
        <v>126</v>
      </c>
      <c r="H27" s="3">
        <v>-5</v>
      </c>
      <c r="I27" s="5">
        <v>0</v>
      </c>
      <c r="J27" s="4">
        <v>16.899999999999999</v>
      </c>
      <c r="K27" s="4" t="s">
        <v>101</v>
      </c>
      <c r="L27" s="5"/>
      <c r="M27" s="13" t="str">
        <f>Table132[[#This Row],[Slaggmängd]]&amp;Table132[[#This Row],[Gjuttemperatur]]&amp;Table132[[#This Row],[Temperatur motgjutningsyta]]&amp;Table132[[#This Row],[Värmekabel]]&amp;Table132[[#This Row],[Antal värmekablar]]&amp;Table132[[#This Row],[Täckning '[mm']]]&amp;Table132[[#This Row],[Formisolering '[mm']]]&amp;Table132[[#This Row],[OK&lt;17 Timamr]]&amp;Table132[[#This Row],[Kommentar]]</f>
        <v>0,220540310Plywood 12-19 cellplast 70OK17</v>
      </c>
    </row>
    <row r="28" spans="1:13" x14ac:dyDescent="0.25">
      <c r="A28" s="6">
        <v>0.1</v>
      </c>
      <c r="B28" s="110">
        <v>20</v>
      </c>
      <c r="C28" s="110">
        <v>5</v>
      </c>
      <c r="D28" s="110">
        <v>40</v>
      </c>
      <c r="E28" s="110">
        <v>1</v>
      </c>
      <c r="F28" s="110">
        <v>10</v>
      </c>
      <c r="G28" s="111" t="s">
        <v>127</v>
      </c>
      <c r="H28" s="6">
        <v>-5</v>
      </c>
      <c r="I28" s="7">
        <v>2</v>
      </c>
      <c r="J28">
        <v>16.600000000000001</v>
      </c>
      <c r="K28" t="s">
        <v>101</v>
      </c>
      <c r="L28" s="7"/>
      <c r="M28" s="14" t="str">
        <f>Table132[[#This Row],[Slaggmängd]]&amp;Table132[[#This Row],[Gjuttemperatur]]&amp;Table132[[#This Row],[Temperatur motgjutningsyta]]&amp;Table132[[#This Row],[Värmekabel]]&amp;Table132[[#This Row],[Antal värmekablar]]&amp;Table132[[#This Row],[Täckning '[mm']]]&amp;Table132[[#This Row],[Formisolering '[mm']]]&amp;Table132[[#This Row],[OK&lt;17 Timamr]]&amp;Table132[[#This Row],[Kommentar]]</f>
        <v>0,120540110Plywood 12-19 cellplast 100OK17</v>
      </c>
    </row>
    <row r="29" spans="1:13" x14ac:dyDescent="0.25">
      <c r="A29" s="6">
        <v>0.1</v>
      </c>
      <c r="B29" s="110">
        <v>20</v>
      </c>
      <c r="C29" s="110">
        <v>5</v>
      </c>
      <c r="D29" s="110">
        <v>40</v>
      </c>
      <c r="E29" s="110">
        <v>2</v>
      </c>
      <c r="F29" s="110">
        <v>10</v>
      </c>
      <c r="G29" s="111" t="s">
        <v>126</v>
      </c>
      <c r="H29" s="6">
        <v>-5</v>
      </c>
      <c r="I29" s="7">
        <v>7</v>
      </c>
      <c r="J29">
        <v>16.8</v>
      </c>
      <c r="K29" t="s">
        <v>101</v>
      </c>
      <c r="L29" s="7"/>
      <c r="M29" s="14" t="str">
        <f>Table132[[#This Row],[Slaggmängd]]&amp;Table132[[#This Row],[Gjuttemperatur]]&amp;Table132[[#This Row],[Temperatur motgjutningsyta]]&amp;Table132[[#This Row],[Värmekabel]]&amp;Table132[[#This Row],[Antal värmekablar]]&amp;Table132[[#This Row],[Täckning '[mm']]]&amp;Table132[[#This Row],[Formisolering '[mm']]]&amp;Table132[[#This Row],[OK&lt;17 Timamr]]&amp;Table132[[#This Row],[Kommentar]]</f>
        <v>0,120540210Plywood 12-19 cellplast 70OK17</v>
      </c>
    </row>
    <row r="30" spans="1:13" x14ac:dyDescent="0.25">
      <c r="A30" s="6">
        <v>0.1</v>
      </c>
      <c r="B30" s="110">
        <v>20</v>
      </c>
      <c r="C30" s="110">
        <v>5</v>
      </c>
      <c r="D30" s="110">
        <v>40</v>
      </c>
      <c r="E30" s="110">
        <v>2</v>
      </c>
      <c r="F30" s="110">
        <v>10</v>
      </c>
      <c r="G30" s="111" t="s">
        <v>128</v>
      </c>
      <c r="H30" s="6">
        <v>-5</v>
      </c>
      <c r="I30" s="7">
        <v>12</v>
      </c>
      <c r="J30">
        <v>17</v>
      </c>
      <c r="K30" t="s">
        <v>101</v>
      </c>
      <c r="L30" s="7"/>
      <c r="M30" s="14" t="str">
        <f>Table132[[#This Row],[Slaggmängd]]&amp;Table132[[#This Row],[Gjuttemperatur]]&amp;Table132[[#This Row],[Temperatur motgjutningsyta]]&amp;Table132[[#This Row],[Värmekabel]]&amp;Table132[[#This Row],[Antal värmekablar]]&amp;Table132[[#This Row],[Täckning '[mm']]]&amp;Table132[[#This Row],[Formisolering '[mm']]]&amp;Table132[[#This Row],[OK&lt;17 Timamr]]&amp;Table132[[#This Row],[Kommentar]]</f>
        <v>0,120540210Plywood 12-19 cellplast 120OK17</v>
      </c>
    </row>
    <row r="31" spans="1:13" ht="15.75" thickBot="1" x14ac:dyDescent="0.3">
      <c r="A31" s="8" t="s">
        <v>9</v>
      </c>
      <c r="B31" s="112" t="s">
        <v>9</v>
      </c>
      <c r="C31" s="112" t="s">
        <v>9</v>
      </c>
      <c r="D31" s="112" t="s">
        <v>9</v>
      </c>
      <c r="E31" s="112" t="s">
        <v>9</v>
      </c>
      <c r="F31" s="112" t="s">
        <v>9</v>
      </c>
      <c r="G31" s="113" t="s">
        <v>9</v>
      </c>
      <c r="H31" s="8">
        <v>-5</v>
      </c>
      <c r="I31" s="10">
        <v>20</v>
      </c>
      <c r="J31" s="9"/>
      <c r="K31" s="9"/>
      <c r="L31" s="10" t="s">
        <v>100</v>
      </c>
      <c r="M31" s="15" t="str">
        <f>Table132[[#This Row],[Slaggmängd]]&amp;Table132[[#This Row],[Gjuttemperatur]]&amp;Table132[[#This Row],[Temperatur motgjutningsyta]]&amp;Table132[[#This Row],[Värmekabel]]&amp;Table132[[#This Row],[Antal värmekablar]]&amp;Table132[[#This Row],[Täckning '[mm']]]&amp;Table132[[#This Row],[Formisolering '[mm']]]&amp;Table132[[#This Row],[OK&lt;17 Timamr]]&amp;Table132[[#This Row],[Kommentar]]</f>
        <v>-------Fryser innan täck</v>
      </c>
    </row>
    <row r="32" spans="1:13" x14ac:dyDescent="0.25">
      <c r="A32" s="3">
        <v>0.2</v>
      </c>
      <c r="B32" s="107">
        <v>20</v>
      </c>
      <c r="C32" s="107">
        <v>5</v>
      </c>
      <c r="D32" s="107">
        <v>40</v>
      </c>
      <c r="E32" s="107">
        <v>3</v>
      </c>
      <c r="F32" s="107">
        <v>10</v>
      </c>
      <c r="G32" s="114" t="s">
        <v>127</v>
      </c>
      <c r="H32" s="3">
        <v>-10</v>
      </c>
      <c r="I32" s="5">
        <v>0</v>
      </c>
      <c r="J32" s="4">
        <v>17</v>
      </c>
      <c r="K32" s="4" t="s">
        <v>101</v>
      </c>
      <c r="L32" s="5"/>
      <c r="M32" s="13" t="str">
        <f>Table132[[#This Row],[Slaggmängd]]&amp;Table132[[#This Row],[Gjuttemperatur]]&amp;Table132[[#This Row],[Temperatur motgjutningsyta]]&amp;Table132[[#This Row],[Värmekabel]]&amp;Table132[[#This Row],[Antal värmekablar]]&amp;Table132[[#This Row],[Täckning '[mm']]]&amp;Table132[[#This Row],[Formisolering '[mm']]]&amp;Table132[[#This Row],[OK&lt;17 Timamr]]&amp;Table132[[#This Row],[Kommentar]]</f>
        <v>0,220540310Plywood 12-19 cellplast 100OK17</v>
      </c>
    </row>
    <row r="33" spans="1:13" x14ac:dyDescent="0.25">
      <c r="A33" s="6">
        <v>0.1</v>
      </c>
      <c r="B33" s="110">
        <v>20</v>
      </c>
      <c r="C33" s="110">
        <v>5</v>
      </c>
      <c r="D33" s="110">
        <v>40</v>
      </c>
      <c r="E33" s="110">
        <v>2</v>
      </c>
      <c r="F33" s="110">
        <v>10</v>
      </c>
      <c r="G33" s="111" t="s">
        <v>126</v>
      </c>
      <c r="H33" s="6">
        <v>-10</v>
      </c>
      <c r="I33" s="7">
        <v>2</v>
      </c>
      <c r="J33">
        <v>16.7</v>
      </c>
      <c r="K33" t="s">
        <v>101</v>
      </c>
      <c r="L33" s="7"/>
      <c r="M33" s="14" t="str">
        <f>Table132[[#This Row],[Slaggmängd]]&amp;Table132[[#This Row],[Gjuttemperatur]]&amp;Table132[[#This Row],[Temperatur motgjutningsyta]]&amp;Table132[[#This Row],[Värmekabel]]&amp;Table132[[#This Row],[Antal värmekablar]]&amp;Table132[[#This Row],[Täckning '[mm']]]&amp;Table132[[#This Row],[Formisolering '[mm']]]&amp;Table132[[#This Row],[OK&lt;17 Timamr]]&amp;Table132[[#This Row],[Kommentar]]</f>
        <v>0,120540210Plywood 12-19 cellplast 70OK17</v>
      </c>
    </row>
    <row r="34" spans="1:13" x14ac:dyDescent="0.25">
      <c r="A34" s="6" t="s">
        <v>48</v>
      </c>
      <c r="B34" s="110">
        <v>20</v>
      </c>
      <c r="C34" s="110">
        <v>5</v>
      </c>
      <c r="D34" s="110">
        <v>40</v>
      </c>
      <c r="E34" s="110">
        <v>2</v>
      </c>
      <c r="F34" s="110">
        <v>10</v>
      </c>
      <c r="G34" s="111" t="s">
        <v>126</v>
      </c>
      <c r="H34" s="6">
        <v>-10</v>
      </c>
      <c r="I34" s="7">
        <v>7</v>
      </c>
      <c r="J34">
        <v>16.7</v>
      </c>
      <c r="K34" t="s">
        <v>101</v>
      </c>
      <c r="L34" s="7"/>
      <c r="M34" s="14" t="str">
        <f>Table132[[#This Row],[Slaggmängd]]&amp;Table132[[#This Row],[Gjuttemperatur]]&amp;Table132[[#This Row],[Temperatur motgjutningsyta]]&amp;Table132[[#This Row],[Värmekabel]]&amp;Table132[[#This Row],[Antal värmekablar]]&amp;Table132[[#This Row],[Täckning '[mm']]]&amp;Table132[[#This Row],[Formisolering '[mm']]]&amp;Table132[[#This Row],[OK&lt;17 Timamr]]&amp;Table132[[#This Row],[Kommentar]]</f>
        <v>Bas+0%20540210Plywood 12-19 cellplast 70OK17</v>
      </c>
    </row>
    <row r="35" spans="1:13" x14ac:dyDescent="0.25">
      <c r="A35" s="6" t="s">
        <v>9</v>
      </c>
      <c r="B35" s="110" t="s">
        <v>9</v>
      </c>
      <c r="C35" s="110" t="s">
        <v>9</v>
      </c>
      <c r="D35" s="110" t="s">
        <v>9</v>
      </c>
      <c r="E35" s="110" t="s">
        <v>9</v>
      </c>
      <c r="F35" s="110" t="s">
        <v>9</v>
      </c>
      <c r="G35" s="111" t="s">
        <v>9</v>
      </c>
      <c r="H35" s="6">
        <v>-10</v>
      </c>
      <c r="I35" s="7">
        <v>12</v>
      </c>
      <c r="L35" s="7" t="s">
        <v>100</v>
      </c>
      <c r="M35" s="14" t="str">
        <f>Table132[[#This Row],[Slaggmängd]]&amp;Table132[[#This Row],[Gjuttemperatur]]&amp;Table132[[#This Row],[Temperatur motgjutningsyta]]&amp;Table132[[#This Row],[Värmekabel]]&amp;Table132[[#This Row],[Antal värmekablar]]&amp;Table132[[#This Row],[Täckning '[mm']]]&amp;Table132[[#This Row],[Formisolering '[mm']]]&amp;Table132[[#This Row],[OK&lt;17 Timamr]]&amp;Table132[[#This Row],[Kommentar]]</f>
        <v>-------Fryser innan täck</v>
      </c>
    </row>
    <row r="36" spans="1:13" ht="15.75" thickBot="1" x14ac:dyDescent="0.3">
      <c r="A36" s="8" t="s">
        <v>9</v>
      </c>
      <c r="B36" s="112" t="s">
        <v>9</v>
      </c>
      <c r="C36" s="112" t="s">
        <v>9</v>
      </c>
      <c r="D36" s="112" t="s">
        <v>9</v>
      </c>
      <c r="E36" s="112" t="s">
        <v>9</v>
      </c>
      <c r="F36" s="112" t="s">
        <v>9</v>
      </c>
      <c r="G36" s="113" t="s">
        <v>9</v>
      </c>
      <c r="H36" s="8">
        <v>-10</v>
      </c>
      <c r="I36" s="10">
        <v>20</v>
      </c>
      <c r="J36" s="9"/>
      <c r="K36" s="9"/>
      <c r="L36" s="10" t="s">
        <v>100</v>
      </c>
      <c r="M36" s="15" t="str">
        <f>Table132[[#This Row],[Slaggmängd]]&amp;Table132[[#This Row],[Gjuttemperatur]]&amp;Table132[[#This Row],[Temperatur motgjutningsyta]]&amp;Table132[[#This Row],[Värmekabel]]&amp;Table132[[#This Row],[Antal värmekablar]]&amp;Table132[[#This Row],[Täckning '[mm']]]&amp;Table132[[#This Row],[Formisolering '[mm']]]&amp;Table132[[#This Row],[OK&lt;17 Timamr]]&amp;Table132[[#This Row],[Kommentar]]</f>
        <v>-------Fryser innan täck</v>
      </c>
    </row>
    <row r="37" spans="1:13" x14ac:dyDescent="0.25">
      <c r="A37" s="6" t="s">
        <v>48</v>
      </c>
      <c r="B37" s="110">
        <v>15</v>
      </c>
      <c r="C37" s="110">
        <v>5</v>
      </c>
      <c r="D37" s="110">
        <v>40</v>
      </c>
      <c r="E37" s="110">
        <v>2</v>
      </c>
      <c r="F37" s="110">
        <v>20</v>
      </c>
      <c r="G37" s="110" t="s">
        <v>127</v>
      </c>
      <c r="H37" s="3">
        <v>-15</v>
      </c>
      <c r="I37" s="5">
        <v>0</v>
      </c>
      <c r="J37" s="4">
        <v>16.7</v>
      </c>
      <c r="K37" s="4" t="s">
        <v>101</v>
      </c>
      <c r="L37" s="5"/>
      <c r="M37" s="13" t="str">
        <f>Table132[[#This Row],[Slaggmängd]]&amp;Table132[[#This Row],[Gjuttemperatur]]&amp;Table132[[#This Row],[Temperatur motgjutningsyta]]&amp;Table132[[#This Row],[Värmekabel]]&amp;Table132[[#This Row],[Antal värmekablar]]&amp;Table132[[#This Row],[Täckning '[mm']]]&amp;Table132[[#This Row],[Formisolering '[mm']]]&amp;Table132[[#This Row],[OK&lt;17 Timamr]]&amp;Table132[[#This Row],[Kommentar]]</f>
        <v>Bas+0%15540220Plywood 12-19 cellplast 100OK17</v>
      </c>
    </row>
    <row r="38" spans="1:13" x14ac:dyDescent="0.25">
      <c r="A38" s="6" t="s">
        <v>9</v>
      </c>
      <c r="B38" s="110" t="s">
        <v>9</v>
      </c>
      <c r="C38" s="110" t="s">
        <v>9</v>
      </c>
      <c r="D38" s="110" t="s">
        <v>9</v>
      </c>
      <c r="E38" s="110" t="s">
        <v>9</v>
      </c>
      <c r="F38" s="110" t="s">
        <v>9</v>
      </c>
      <c r="G38" s="110" t="s">
        <v>9</v>
      </c>
      <c r="H38" s="6">
        <v>-15</v>
      </c>
      <c r="I38" s="7">
        <v>2</v>
      </c>
      <c r="L38" s="7" t="s">
        <v>122</v>
      </c>
      <c r="M38" s="14" t="str">
        <f>Table132[[#This Row],[Slaggmängd]]&amp;Table132[[#This Row],[Gjuttemperatur]]&amp;Table132[[#This Row],[Temperatur motgjutningsyta]]&amp;Table132[[#This Row],[Värmekabel]]&amp;Table132[[#This Row],[Antal värmekablar]]&amp;Table132[[#This Row],[Täckning '[mm']]]&amp;Table132[[#This Row],[Formisolering '[mm']]]&amp;Table132[[#This Row],[OK&lt;17 Timamr]]&amp;Table132[[#This Row],[Kommentar]]</f>
        <v>-------Når ej 6 MPa</v>
      </c>
    </row>
    <row r="39" spans="1:13" x14ac:dyDescent="0.25">
      <c r="A39" s="6" t="s">
        <v>9</v>
      </c>
      <c r="B39" s="110" t="s">
        <v>9</v>
      </c>
      <c r="C39" s="110" t="s">
        <v>9</v>
      </c>
      <c r="D39" s="110" t="s">
        <v>9</v>
      </c>
      <c r="E39" s="110" t="s">
        <v>9</v>
      </c>
      <c r="F39" s="110" t="s">
        <v>9</v>
      </c>
      <c r="G39" s="110" t="s">
        <v>9</v>
      </c>
      <c r="H39" s="6">
        <v>-15</v>
      </c>
      <c r="I39" s="7">
        <v>7</v>
      </c>
      <c r="L39" s="7" t="s">
        <v>100</v>
      </c>
      <c r="M39" s="14" t="str">
        <f>Table132[[#This Row],[Slaggmängd]]&amp;Table132[[#This Row],[Gjuttemperatur]]&amp;Table132[[#This Row],[Temperatur motgjutningsyta]]&amp;Table132[[#This Row],[Värmekabel]]&amp;Table132[[#This Row],[Antal värmekablar]]&amp;Table132[[#This Row],[Täckning '[mm']]]&amp;Table132[[#This Row],[Formisolering '[mm']]]&amp;Table132[[#This Row],[OK&lt;17 Timamr]]&amp;Table132[[#This Row],[Kommentar]]</f>
        <v>-------Fryser innan täck</v>
      </c>
    </row>
    <row r="40" spans="1:13" x14ac:dyDescent="0.25">
      <c r="A40" s="6" t="s">
        <v>9</v>
      </c>
      <c r="B40" s="110" t="s">
        <v>9</v>
      </c>
      <c r="C40" s="110" t="s">
        <v>9</v>
      </c>
      <c r="D40" s="110" t="s">
        <v>9</v>
      </c>
      <c r="E40" s="110" t="s">
        <v>9</v>
      </c>
      <c r="F40" s="110" t="s">
        <v>9</v>
      </c>
      <c r="G40" s="110" t="s">
        <v>9</v>
      </c>
      <c r="H40" s="6">
        <v>-15</v>
      </c>
      <c r="I40" s="7">
        <v>12</v>
      </c>
      <c r="L40" s="7" t="s">
        <v>100</v>
      </c>
      <c r="M40" s="14" t="str">
        <f>Table132[[#This Row],[Slaggmängd]]&amp;Table132[[#This Row],[Gjuttemperatur]]&amp;Table132[[#This Row],[Temperatur motgjutningsyta]]&amp;Table132[[#This Row],[Värmekabel]]&amp;Table132[[#This Row],[Antal värmekablar]]&amp;Table132[[#This Row],[Täckning '[mm']]]&amp;Table132[[#This Row],[Formisolering '[mm']]]&amp;Table132[[#This Row],[OK&lt;17 Timamr]]&amp;Table132[[#This Row],[Kommentar]]</f>
        <v>-------Fryser innan täck</v>
      </c>
    </row>
    <row r="41" spans="1:13" ht="15.75" thickBot="1" x14ac:dyDescent="0.3">
      <c r="A41" s="6" t="s">
        <v>9</v>
      </c>
      <c r="B41" s="110" t="s">
        <v>9</v>
      </c>
      <c r="C41" s="110" t="s">
        <v>9</v>
      </c>
      <c r="D41" s="110" t="s">
        <v>9</v>
      </c>
      <c r="E41" s="110" t="s">
        <v>9</v>
      </c>
      <c r="F41" s="110" t="s">
        <v>9</v>
      </c>
      <c r="G41" s="110" t="s">
        <v>9</v>
      </c>
      <c r="H41" s="8">
        <v>-15</v>
      </c>
      <c r="I41" s="10">
        <v>20</v>
      </c>
      <c r="J41" s="9"/>
      <c r="K41" s="9"/>
      <c r="L41" s="10" t="s">
        <v>100</v>
      </c>
      <c r="M41" s="15" t="str">
        <f>Table132[[#This Row],[Slaggmängd]]&amp;Table132[[#This Row],[Gjuttemperatur]]&amp;Table132[[#This Row],[Temperatur motgjutningsyta]]&amp;Table132[[#This Row],[Värmekabel]]&amp;Table132[[#This Row],[Antal värmekablar]]&amp;Table132[[#This Row],[Täckning '[mm']]]&amp;Table132[[#This Row],[Formisolering '[mm']]]&amp;Table132[[#This Row],[OK&lt;17 Timamr]]&amp;Table132[[#This Row],[Kommentar]]</f>
        <v>-------Fryser innan täck</v>
      </c>
    </row>
    <row r="42" spans="1:13" x14ac:dyDescent="0.25">
      <c r="A42" s="3" t="s">
        <v>9</v>
      </c>
      <c r="B42" s="107" t="s">
        <v>9</v>
      </c>
      <c r="C42" s="107" t="s">
        <v>9</v>
      </c>
      <c r="D42" s="107" t="s">
        <v>9</v>
      </c>
      <c r="E42" s="107" t="s">
        <v>9</v>
      </c>
      <c r="F42" s="107" t="s">
        <v>9</v>
      </c>
      <c r="G42" s="114" t="s">
        <v>9</v>
      </c>
      <c r="H42" s="6">
        <v>-20</v>
      </c>
      <c r="I42" s="7">
        <v>0</v>
      </c>
      <c r="L42" s="7" t="s">
        <v>122</v>
      </c>
      <c r="M42" s="14" t="str">
        <f>Table132[[#This Row],[Slaggmängd]]&amp;Table132[[#This Row],[Gjuttemperatur]]&amp;Table132[[#This Row],[Temperatur motgjutningsyta]]&amp;Table132[[#This Row],[Värmekabel]]&amp;Table132[[#This Row],[Antal värmekablar]]&amp;Table132[[#This Row],[Täckning '[mm']]]&amp;Table132[[#This Row],[Formisolering '[mm']]]&amp;Table132[[#This Row],[OK&lt;17 Timamr]]&amp;Table132[[#This Row],[Kommentar]]</f>
        <v>-------Når ej 6 MPa</v>
      </c>
    </row>
    <row r="43" spans="1:13" x14ac:dyDescent="0.25">
      <c r="A43" s="6" t="s">
        <v>9</v>
      </c>
      <c r="B43" s="110" t="s">
        <v>9</v>
      </c>
      <c r="C43" s="110" t="s">
        <v>9</v>
      </c>
      <c r="D43" s="110" t="s">
        <v>9</v>
      </c>
      <c r="E43" s="110" t="s">
        <v>9</v>
      </c>
      <c r="F43" s="110" t="s">
        <v>9</v>
      </c>
      <c r="G43" s="111" t="s">
        <v>9</v>
      </c>
      <c r="H43" s="6">
        <v>-20</v>
      </c>
      <c r="I43" s="7">
        <v>2</v>
      </c>
      <c r="L43" s="7" t="s">
        <v>100</v>
      </c>
      <c r="M43" s="14" t="str">
        <f>Table132[[#This Row],[Slaggmängd]]&amp;Table132[[#This Row],[Gjuttemperatur]]&amp;Table132[[#This Row],[Temperatur motgjutningsyta]]&amp;Table132[[#This Row],[Värmekabel]]&amp;Table132[[#This Row],[Antal värmekablar]]&amp;Table132[[#This Row],[Täckning '[mm']]]&amp;Table132[[#This Row],[Formisolering '[mm']]]&amp;Table132[[#This Row],[OK&lt;17 Timamr]]&amp;Table132[[#This Row],[Kommentar]]</f>
        <v>-------Fryser innan täck</v>
      </c>
    </row>
    <row r="44" spans="1:13" x14ac:dyDescent="0.25">
      <c r="A44" s="6" t="s">
        <v>9</v>
      </c>
      <c r="B44" s="110" t="s">
        <v>9</v>
      </c>
      <c r="C44" s="110" t="s">
        <v>9</v>
      </c>
      <c r="D44" s="110" t="s">
        <v>9</v>
      </c>
      <c r="E44" s="110" t="s">
        <v>9</v>
      </c>
      <c r="F44" s="110" t="s">
        <v>9</v>
      </c>
      <c r="G44" s="111" t="s">
        <v>9</v>
      </c>
      <c r="H44" s="6">
        <v>-20</v>
      </c>
      <c r="I44" s="7">
        <v>7</v>
      </c>
      <c r="L44" s="7" t="s">
        <v>100</v>
      </c>
      <c r="M44" s="14" t="str">
        <f>Table132[[#This Row],[Slaggmängd]]&amp;Table132[[#This Row],[Gjuttemperatur]]&amp;Table132[[#This Row],[Temperatur motgjutningsyta]]&amp;Table132[[#This Row],[Värmekabel]]&amp;Table132[[#This Row],[Antal värmekablar]]&amp;Table132[[#This Row],[Täckning '[mm']]]&amp;Table132[[#This Row],[Formisolering '[mm']]]&amp;Table132[[#This Row],[OK&lt;17 Timamr]]&amp;Table132[[#This Row],[Kommentar]]</f>
        <v>-------Fryser innan täck</v>
      </c>
    </row>
    <row r="45" spans="1:13" x14ac:dyDescent="0.25">
      <c r="A45" s="6" t="s">
        <v>9</v>
      </c>
      <c r="B45" s="110" t="s">
        <v>9</v>
      </c>
      <c r="C45" s="110" t="s">
        <v>9</v>
      </c>
      <c r="D45" s="110" t="s">
        <v>9</v>
      </c>
      <c r="E45" s="110" t="s">
        <v>9</v>
      </c>
      <c r="F45" s="110" t="s">
        <v>9</v>
      </c>
      <c r="G45" s="111" t="s">
        <v>9</v>
      </c>
      <c r="H45" s="6">
        <v>-20</v>
      </c>
      <c r="I45" s="7">
        <v>12</v>
      </c>
      <c r="L45" s="7" t="s">
        <v>100</v>
      </c>
      <c r="M45" s="14" t="str">
        <f>Table132[[#This Row],[Slaggmängd]]&amp;Table132[[#This Row],[Gjuttemperatur]]&amp;Table132[[#This Row],[Temperatur motgjutningsyta]]&amp;Table132[[#This Row],[Värmekabel]]&amp;Table132[[#This Row],[Antal värmekablar]]&amp;Table132[[#This Row],[Täckning '[mm']]]&amp;Table132[[#This Row],[Formisolering '[mm']]]&amp;Table132[[#This Row],[OK&lt;17 Timamr]]&amp;Table132[[#This Row],[Kommentar]]</f>
        <v>-------Fryser innan täck</v>
      </c>
    </row>
    <row r="46" spans="1:13" ht="15.75" thickBot="1" x14ac:dyDescent="0.3">
      <c r="A46" s="8" t="s">
        <v>9</v>
      </c>
      <c r="B46" s="112" t="s">
        <v>9</v>
      </c>
      <c r="C46" s="112" t="s">
        <v>9</v>
      </c>
      <c r="D46" s="112" t="s">
        <v>9</v>
      </c>
      <c r="E46" s="112" t="s">
        <v>9</v>
      </c>
      <c r="F46" s="112" t="s">
        <v>9</v>
      </c>
      <c r="G46" s="113" t="s">
        <v>9</v>
      </c>
      <c r="H46" s="8">
        <v>-20</v>
      </c>
      <c r="I46" s="10">
        <v>20</v>
      </c>
      <c r="J46" s="9"/>
      <c r="K46" s="9"/>
      <c r="L46" s="10" t="s">
        <v>100</v>
      </c>
      <c r="M46" s="15" t="str">
        <f>Table132[[#This Row],[Slaggmängd]]&amp;Table132[[#This Row],[Gjuttemperatur]]&amp;Table132[[#This Row],[Temperatur motgjutningsyta]]&amp;Table132[[#This Row],[Värmekabel]]&amp;Table132[[#This Row],[Antal värmekablar]]&amp;Table132[[#This Row],[Täckning '[mm']]]&amp;Table132[[#This Row],[Formisolering '[mm']]]&amp;Table132[[#This Row],[OK&lt;17 Timamr]]&amp;Table132[[#This Row],[Kommentar]]</f>
        <v>-------Fryser innan täck</v>
      </c>
    </row>
  </sheetData>
  <phoneticPr fontId="3" type="noConversion"/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66AF19D2-5AA9-432A-87F4-B28F4501A798}">
          <x14:formula1>
            <xm:f>Förutsättningar!$H$2:$H$3</xm:f>
          </x14:formula1>
          <xm:sqref>L2:L46</xm:sqref>
        </x14:dataValidation>
        <x14:dataValidation type="list" allowBlank="1" showInputMessage="1" showErrorMessage="1" xr:uid="{8E9AC4D4-4C10-46A3-8C49-087FCA2D2C22}">
          <x14:formula1>
            <xm:f>Förutsättningar!$I$2</xm:f>
          </x14:formula1>
          <xm:sqref>K2:K46</xm:sqref>
        </x14:dataValidation>
        <x14:dataValidation type="list" allowBlank="1" showInputMessage="1" showErrorMessage="1" xr:uid="{44A8E8E8-9007-400C-A32E-4580440318BA}">
          <x14:formula1>
            <xm:f>Förutsättningar!$G$2:$G$8</xm:f>
          </x14:formula1>
          <xm:sqref>G2:G46</xm:sqref>
        </x14:dataValidation>
        <x14:dataValidation type="list" allowBlank="1" showInputMessage="1" showErrorMessage="1" xr:uid="{C3ECA46E-9A93-4F63-8EA8-25A49A5AF088}">
          <x14:formula1>
            <xm:f>Förutsättningar!$E$2:$E$5</xm:f>
          </x14:formula1>
          <xm:sqref>E2:E46</xm:sqref>
        </x14:dataValidation>
        <x14:dataValidation type="list" allowBlank="1" showInputMessage="1" showErrorMessage="1" xr:uid="{432D99E5-B985-4223-8F82-846B83B99395}">
          <x14:formula1>
            <xm:f>Förutsättningar!$C$2:$C$6</xm:f>
          </x14:formula1>
          <xm:sqref>C2:C46</xm:sqref>
        </x14:dataValidation>
        <x14:dataValidation type="list" allowBlank="1" showInputMessage="1" showErrorMessage="1" xr:uid="{8F1799BE-569F-4A68-890F-96BDD32A5D40}">
          <x14:formula1>
            <xm:f>Förutsättningar!$B$2:$B$6</xm:f>
          </x14:formula1>
          <xm:sqref>B2:B46</xm:sqref>
        </x14:dataValidation>
        <x14:dataValidation type="list" allowBlank="1" showInputMessage="1" showErrorMessage="1" xr:uid="{5B65DBD4-E09C-4BE9-8BA9-C91D496BA030}">
          <x14:formula1>
            <xm:f>Förutsättningar!$A$2:$A$7</xm:f>
          </x14:formula1>
          <xm:sqref>A2:A46</xm:sqref>
        </x14:dataValidation>
        <x14:dataValidation type="list" allowBlank="1" showInputMessage="1" showErrorMessage="1" xr:uid="{41535602-0B53-45A6-AAD8-416D1C098645}">
          <x14:formula1>
            <xm:f>Förutsättningar!$F$2:$F$7</xm:f>
          </x14:formula1>
          <xm:sqref>F2:F46</xm:sqref>
        </x14:dataValidation>
        <x14:dataValidation type="list" allowBlank="1" showInputMessage="1" showErrorMessage="1" xr:uid="{AEF705E3-0AB0-40B4-9CFA-BB727E4E1658}">
          <x14:formula1>
            <xm:f>Förutsättningar!$D$2:$D$3</xm:f>
          </x14:formula1>
          <xm:sqref>D2:D46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2C31C-96CF-44F3-9F10-55747AED3E95}">
  <sheetPr codeName="Sheet7"/>
  <dimension ref="A1:T46"/>
  <sheetViews>
    <sheetView tabSelected="1" zoomScaleNormal="100" workbookViewId="0">
      <selection activeCell="K13" sqref="K13:K16"/>
    </sheetView>
  </sheetViews>
  <sheetFormatPr defaultRowHeight="15" x14ac:dyDescent="0.25"/>
  <cols>
    <col min="1" max="1" width="14" style="77" bestFit="1" customWidth="1"/>
    <col min="2" max="2" width="17.42578125" style="2" bestFit="1" customWidth="1"/>
    <col min="3" max="3" width="18" style="2" bestFit="1" customWidth="1"/>
    <col min="4" max="4" width="13.85546875" style="2" bestFit="1" customWidth="1"/>
    <col min="5" max="5" width="14.28515625" style="2" bestFit="1" customWidth="1"/>
    <col min="6" max="6" width="16.5703125" bestFit="1" customWidth="1"/>
    <col min="7" max="7" width="24.85546875" bestFit="1" customWidth="1"/>
    <col min="8" max="8" width="13.7109375" bestFit="1" customWidth="1"/>
    <col min="9" max="9" width="7.28515625" bestFit="1" customWidth="1"/>
    <col min="10" max="10" width="24.140625" bestFit="1" customWidth="1"/>
    <col min="11" max="11" width="16.140625" bestFit="1" customWidth="1"/>
    <col min="12" max="12" width="13" bestFit="1" customWidth="1"/>
    <col min="13" max="13" width="48.7109375" bestFit="1" customWidth="1"/>
    <col min="14" max="17" width="11.28515625" customWidth="1"/>
    <col min="18" max="18" width="12.28515625" customWidth="1"/>
  </cols>
  <sheetData>
    <row r="1" spans="1:20" ht="30.75" thickBot="1" x14ac:dyDescent="0.3">
      <c r="A1" s="105" t="s">
        <v>106</v>
      </c>
      <c r="B1" s="80" t="s">
        <v>0</v>
      </c>
      <c r="C1" s="80" t="s">
        <v>1</v>
      </c>
      <c r="D1" s="80" t="s">
        <v>96</v>
      </c>
      <c r="E1" s="80" t="s">
        <v>97</v>
      </c>
      <c r="F1" s="80" t="s">
        <v>3</v>
      </c>
      <c r="G1" s="80" t="s">
        <v>98</v>
      </c>
      <c r="H1" s="11" t="s">
        <v>4</v>
      </c>
      <c r="I1" s="11" t="s">
        <v>5</v>
      </c>
      <c r="J1" s="106" t="s">
        <v>94</v>
      </c>
      <c r="K1" s="11" t="s">
        <v>95</v>
      </c>
      <c r="L1" s="11" t="s">
        <v>6</v>
      </c>
      <c r="M1" s="12" t="s">
        <v>7</v>
      </c>
      <c r="N1" s="1"/>
      <c r="O1" s="1"/>
      <c r="P1" s="1"/>
      <c r="Q1" s="1"/>
      <c r="R1" s="1"/>
      <c r="S1" s="1"/>
      <c r="T1" s="1"/>
    </row>
    <row r="2" spans="1:20" x14ac:dyDescent="0.25">
      <c r="A2" s="3">
        <v>0.2</v>
      </c>
      <c r="B2" s="107">
        <v>15</v>
      </c>
      <c r="C2" s="107">
        <v>20</v>
      </c>
      <c r="D2" s="108" t="s">
        <v>9</v>
      </c>
      <c r="E2" s="108" t="s">
        <v>9</v>
      </c>
      <c r="F2" s="107" t="s">
        <v>9</v>
      </c>
      <c r="G2" s="109" t="s">
        <v>123</v>
      </c>
      <c r="H2" s="3">
        <v>20</v>
      </c>
      <c r="I2" s="5">
        <v>0</v>
      </c>
      <c r="J2">
        <v>15.6</v>
      </c>
      <c r="K2" s="4" t="s">
        <v>101</v>
      </c>
      <c r="L2" s="5"/>
      <c r="M2" s="13" t="str">
        <f>Table129[[#This Row],[Slaggmängd]]&amp;Table129[[#This Row],[Gjuttemperatur]]&amp;Table129[[#This Row],[Temperatur motgjutningsyta]]&amp;Table129[[#This Row],[Värmekabel]]&amp;Table129[[#This Row],[Antal värmekablar]]&amp;Table129[[#This Row],[Täckning '[mm']]]&amp;Table129[[#This Row],[Formisolering '[mm']]]&amp;Table129[[#This Row],[OK&lt;17 Timamr]]&amp;Table129[[#This Row],[Kommentar]]</f>
        <v>0,21520---Plywood 15, oisoleratOK17</v>
      </c>
      <c r="O2" s="1"/>
    </row>
    <row r="3" spans="1:20" x14ac:dyDescent="0.25">
      <c r="A3" s="6">
        <v>0.2</v>
      </c>
      <c r="B3" s="110">
        <v>15</v>
      </c>
      <c r="C3" s="110">
        <v>20</v>
      </c>
      <c r="D3" s="110" t="s">
        <v>9</v>
      </c>
      <c r="E3" s="110" t="s">
        <v>9</v>
      </c>
      <c r="F3" s="110" t="s">
        <v>9</v>
      </c>
      <c r="G3" s="111" t="s">
        <v>123</v>
      </c>
      <c r="H3" s="6">
        <v>20</v>
      </c>
      <c r="I3" s="7">
        <v>2</v>
      </c>
      <c r="J3">
        <v>15.6</v>
      </c>
      <c r="K3" t="s">
        <v>101</v>
      </c>
      <c r="L3" s="7"/>
      <c r="M3" s="14" t="str">
        <f>Table129[[#This Row],[Slaggmängd]]&amp;Table129[[#This Row],[Gjuttemperatur]]&amp;Table129[[#This Row],[Temperatur motgjutningsyta]]&amp;Table129[[#This Row],[Värmekabel]]&amp;Table129[[#This Row],[Antal värmekablar]]&amp;Table129[[#This Row],[Täckning '[mm']]]&amp;Table129[[#This Row],[Formisolering '[mm']]]&amp;Table129[[#This Row],[OK&lt;17 Timamr]]&amp;Table129[[#This Row],[Kommentar]]</f>
        <v>0,21520---Plywood 15, oisoleratOK17</v>
      </c>
    </row>
    <row r="4" spans="1:20" x14ac:dyDescent="0.25">
      <c r="A4" s="6">
        <v>0.2</v>
      </c>
      <c r="B4" s="110">
        <v>15</v>
      </c>
      <c r="C4" s="110">
        <v>20</v>
      </c>
      <c r="D4" s="110" t="s">
        <v>9</v>
      </c>
      <c r="E4" s="110" t="s">
        <v>9</v>
      </c>
      <c r="F4" s="110" t="s">
        <v>9</v>
      </c>
      <c r="G4" s="111" t="s">
        <v>123</v>
      </c>
      <c r="H4" s="6">
        <v>20</v>
      </c>
      <c r="I4" s="7">
        <v>7</v>
      </c>
      <c r="J4">
        <v>15.6</v>
      </c>
      <c r="K4" t="s">
        <v>101</v>
      </c>
      <c r="L4" s="7"/>
      <c r="M4" s="14" t="str">
        <f>Table129[[#This Row],[Slaggmängd]]&amp;Table129[[#This Row],[Gjuttemperatur]]&amp;Table129[[#This Row],[Temperatur motgjutningsyta]]&amp;Table129[[#This Row],[Värmekabel]]&amp;Table129[[#This Row],[Antal värmekablar]]&amp;Table129[[#This Row],[Täckning '[mm']]]&amp;Table129[[#This Row],[Formisolering '[mm']]]&amp;Table129[[#This Row],[OK&lt;17 Timamr]]&amp;Table129[[#This Row],[Kommentar]]</f>
        <v>0,21520---Plywood 15, oisoleratOK17</v>
      </c>
    </row>
    <row r="5" spans="1:20" x14ac:dyDescent="0.25">
      <c r="A5" s="6">
        <v>0.2</v>
      </c>
      <c r="B5" s="110">
        <v>15</v>
      </c>
      <c r="C5" s="110">
        <v>20</v>
      </c>
      <c r="D5" s="110" t="s">
        <v>9</v>
      </c>
      <c r="E5" s="110" t="s">
        <v>9</v>
      </c>
      <c r="F5" s="110" t="s">
        <v>9</v>
      </c>
      <c r="G5" s="111" t="s">
        <v>123</v>
      </c>
      <c r="H5" s="6">
        <v>20</v>
      </c>
      <c r="I5" s="7">
        <v>12</v>
      </c>
      <c r="J5">
        <v>15.6</v>
      </c>
      <c r="K5" t="s">
        <v>101</v>
      </c>
      <c r="L5" s="7"/>
      <c r="M5" s="14" t="str">
        <f>Table129[[#This Row],[Slaggmängd]]&amp;Table129[[#This Row],[Gjuttemperatur]]&amp;Table129[[#This Row],[Temperatur motgjutningsyta]]&amp;Table129[[#This Row],[Värmekabel]]&amp;Table129[[#This Row],[Antal värmekablar]]&amp;Table129[[#This Row],[Täckning '[mm']]]&amp;Table129[[#This Row],[Formisolering '[mm']]]&amp;Table129[[#This Row],[OK&lt;17 Timamr]]&amp;Table129[[#This Row],[Kommentar]]</f>
        <v>0,21520---Plywood 15, oisoleratOK17</v>
      </c>
    </row>
    <row r="6" spans="1:20" ht="15.75" thickBot="1" x14ac:dyDescent="0.3">
      <c r="A6" s="8">
        <v>0.2</v>
      </c>
      <c r="B6" s="112">
        <v>15</v>
      </c>
      <c r="C6" s="112">
        <v>20</v>
      </c>
      <c r="D6" s="112" t="s">
        <v>9</v>
      </c>
      <c r="E6" s="112" t="s">
        <v>9</v>
      </c>
      <c r="F6" s="112" t="s">
        <v>9</v>
      </c>
      <c r="G6" s="113" t="s">
        <v>123</v>
      </c>
      <c r="H6" s="8">
        <v>20</v>
      </c>
      <c r="I6" s="10">
        <v>20</v>
      </c>
      <c r="J6">
        <v>15.6</v>
      </c>
      <c r="K6" t="s">
        <v>101</v>
      </c>
      <c r="L6" s="10"/>
      <c r="M6" s="15" t="str">
        <f>Table129[[#This Row],[Slaggmängd]]&amp;Table129[[#This Row],[Gjuttemperatur]]&amp;Table129[[#This Row],[Temperatur motgjutningsyta]]&amp;Table129[[#This Row],[Värmekabel]]&amp;Table129[[#This Row],[Antal värmekablar]]&amp;Table129[[#This Row],[Täckning '[mm']]]&amp;Table129[[#This Row],[Formisolering '[mm']]]&amp;Table129[[#This Row],[OK&lt;17 Timamr]]&amp;Table129[[#This Row],[Kommentar]]</f>
        <v>0,21520---Plywood 15, oisoleratOK17</v>
      </c>
    </row>
    <row r="7" spans="1:20" x14ac:dyDescent="0.25">
      <c r="A7" s="6">
        <v>0.1</v>
      </c>
      <c r="B7" s="110">
        <v>15</v>
      </c>
      <c r="C7" s="110">
        <v>15</v>
      </c>
      <c r="D7" s="110" t="s">
        <v>9</v>
      </c>
      <c r="E7" s="110" t="s">
        <v>9</v>
      </c>
      <c r="F7" s="110" t="s">
        <v>9</v>
      </c>
      <c r="G7" s="110" t="s">
        <v>123</v>
      </c>
      <c r="H7" s="3">
        <v>15</v>
      </c>
      <c r="I7" s="5">
        <v>0</v>
      </c>
      <c r="J7" s="3">
        <v>15.2</v>
      </c>
      <c r="K7" s="4" t="s">
        <v>101</v>
      </c>
      <c r="L7" s="5"/>
      <c r="M7" s="13" t="str">
        <f>Table129[[#This Row],[Slaggmängd]]&amp;Table129[[#This Row],[Gjuttemperatur]]&amp;Table129[[#This Row],[Temperatur motgjutningsyta]]&amp;Table129[[#This Row],[Värmekabel]]&amp;Table129[[#This Row],[Antal värmekablar]]&amp;Table129[[#This Row],[Täckning '[mm']]]&amp;Table129[[#This Row],[Formisolering '[mm']]]&amp;Table129[[#This Row],[OK&lt;17 Timamr]]&amp;Table129[[#This Row],[Kommentar]]</f>
        <v>0,11515---Plywood 15, oisoleratOK17</v>
      </c>
    </row>
    <row r="8" spans="1:20" x14ac:dyDescent="0.25">
      <c r="A8" s="6">
        <v>0.1</v>
      </c>
      <c r="B8" s="110">
        <v>15</v>
      </c>
      <c r="C8" s="110">
        <v>15</v>
      </c>
      <c r="D8" s="110" t="s">
        <v>9</v>
      </c>
      <c r="E8" s="110" t="s">
        <v>9</v>
      </c>
      <c r="F8" s="110" t="s">
        <v>9</v>
      </c>
      <c r="G8" s="110" t="s">
        <v>123</v>
      </c>
      <c r="H8" s="6">
        <v>15</v>
      </c>
      <c r="I8" s="7">
        <v>2</v>
      </c>
      <c r="J8" s="6">
        <v>15.3</v>
      </c>
      <c r="K8" t="s">
        <v>101</v>
      </c>
      <c r="L8" s="7"/>
      <c r="M8" s="14" t="str">
        <f>Table129[[#This Row],[Slaggmängd]]&amp;Table129[[#This Row],[Gjuttemperatur]]&amp;Table129[[#This Row],[Temperatur motgjutningsyta]]&amp;Table129[[#This Row],[Värmekabel]]&amp;Table129[[#This Row],[Antal värmekablar]]&amp;Table129[[#This Row],[Täckning '[mm']]]&amp;Table129[[#This Row],[Formisolering '[mm']]]&amp;Table129[[#This Row],[OK&lt;17 Timamr]]&amp;Table129[[#This Row],[Kommentar]]</f>
        <v>0,11515---Plywood 15, oisoleratOK17</v>
      </c>
    </row>
    <row r="9" spans="1:20" x14ac:dyDescent="0.25">
      <c r="A9" s="6">
        <v>0.1</v>
      </c>
      <c r="B9" s="110">
        <v>15</v>
      </c>
      <c r="C9" s="110">
        <v>15</v>
      </c>
      <c r="D9" s="110" t="s">
        <v>9</v>
      </c>
      <c r="E9" s="110" t="s">
        <v>9</v>
      </c>
      <c r="F9" s="110" t="s">
        <v>9</v>
      </c>
      <c r="G9" s="110" t="s">
        <v>123</v>
      </c>
      <c r="H9" s="6">
        <v>15</v>
      </c>
      <c r="I9" s="7">
        <v>7</v>
      </c>
      <c r="J9" s="6">
        <v>15.5</v>
      </c>
      <c r="K9" t="s">
        <v>101</v>
      </c>
      <c r="L9" s="7"/>
      <c r="M9" s="14" t="str">
        <f>Table129[[#This Row],[Slaggmängd]]&amp;Table129[[#This Row],[Gjuttemperatur]]&amp;Table129[[#This Row],[Temperatur motgjutningsyta]]&amp;Table129[[#This Row],[Värmekabel]]&amp;Table129[[#This Row],[Antal värmekablar]]&amp;Table129[[#This Row],[Täckning '[mm']]]&amp;Table129[[#This Row],[Formisolering '[mm']]]&amp;Table129[[#This Row],[OK&lt;17 Timamr]]&amp;Table129[[#This Row],[Kommentar]]</f>
        <v>0,11515---Plywood 15, oisoleratOK17</v>
      </c>
    </row>
    <row r="10" spans="1:20" x14ac:dyDescent="0.25">
      <c r="A10" s="6">
        <v>0.1</v>
      </c>
      <c r="B10" s="110">
        <v>15</v>
      </c>
      <c r="C10" s="110">
        <v>15</v>
      </c>
      <c r="D10" s="110" t="s">
        <v>9</v>
      </c>
      <c r="E10" s="110" t="s">
        <v>9</v>
      </c>
      <c r="F10" s="110" t="s">
        <v>9</v>
      </c>
      <c r="G10" s="110" t="s">
        <v>123</v>
      </c>
      <c r="H10" s="6">
        <v>15</v>
      </c>
      <c r="I10" s="7">
        <v>12</v>
      </c>
      <c r="J10" s="6">
        <v>15.6</v>
      </c>
      <c r="K10" t="s">
        <v>101</v>
      </c>
      <c r="L10" s="7"/>
      <c r="M10" s="14" t="str">
        <f>Table129[[#This Row],[Slaggmängd]]&amp;Table129[[#This Row],[Gjuttemperatur]]&amp;Table129[[#This Row],[Temperatur motgjutningsyta]]&amp;Table129[[#This Row],[Värmekabel]]&amp;Table129[[#This Row],[Antal värmekablar]]&amp;Table129[[#This Row],[Täckning '[mm']]]&amp;Table129[[#This Row],[Formisolering '[mm']]]&amp;Table129[[#This Row],[OK&lt;17 Timamr]]&amp;Table129[[#This Row],[Kommentar]]</f>
        <v>0,11515---Plywood 15, oisoleratOK17</v>
      </c>
    </row>
    <row r="11" spans="1:20" ht="15.75" thickBot="1" x14ac:dyDescent="0.3">
      <c r="A11" s="6">
        <v>0.1</v>
      </c>
      <c r="B11" s="110">
        <v>15</v>
      </c>
      <c r="C11" s="110">
        <v>15</v>
      </c>
      <c r="D11" s="110" t="s">
        <v>9</v>
      </c>
      <c r="E11" s="110" t="s">
        <v>9</v>
      </c>
      <c r="F11" s="110" t="s">
        <v>9</v>
      </c>
      <c r="G11" s="110" t="s">
        <v>123</v>
      </c>
      <c r="H11" s="8">
        <v>15</v>
      </c>
      <c r="I11" s="10">
        <v>20</v>
      </c>
      <c r="J11" s="8">
        <v>16.600000000000001</v>
      </c>
      <c r="K11" s="9" t="s">
        <v>101</v>
      </c>
      <c r="L11" s="10"/>
      <c r="M11" s="15" t="str">
        <f>Table129[[#This Row],[Slaggmängd]]&amp;Table129[[#This Row],[Gjuttemperatur]]&amp;Table129[[#This Row],[Temperatur motgjutningsyta]]&amp;Table129[[#This Row],[Värmekabel]]&amp;Table129[[#This Row],[Antal värmekablar]]&amp;Table129[[#This Row],[Täckning '[mm']]]&amp;Table129[[#This Row],[Formisolering '[mm']]]&amp;Table129[[#This Row],[OK&lt;17 Timamr]]&amp;Table129[[#This Row],[Kommentar]]</f>
        <v>0,11515---Plywood 15, oisoleratOK17</v>
      </c>
    </row>
    <row r="12" spans="1:20" x14ac:dyDescent="0.25">
      <c r="A12" s="3" t="s">
        <v>48</v>
      </c>
      <c r="B12" s="107">
        <v>15</v>
      </c>
      <c r="C12" s="107">
        <v>10</v>
      </c>
      <c r="D12" s="107" t="s">
        <v>9</v>
      </c>
      <c r="E12" s="107" t="s">
        <v>9</v>
      </c>
      <c r="F12" s="107" t="s">
        <v>9</v>
      </c>
      <c r="G12" s="114" t="s">
        <v>123</v>
      </c>
      <c r="H12" s="3">
        <v>10</v>
      </c>
      <c r="I12" s="5">
        <v>0</v>
      </c>
      <c r="J12" s="3">
        <v>16.7</v>
      </c>
      <c r="K12" s="4" t="s">
        <v>101</v>
      </c>
      <c r="L12" s="5"/>
      <c r="M12" s="13" t="str">
        <f>Table129[[#This Row],[Slaggmängd]]&amp;Table129[[#This Row],[Gjuttemperatur]]&amp;Table129[[#This Row],[Temperatur motgjutningsyta]]&amp;Table129[[#This Row],[Värmekabel]]&amp;Table129[[#This Row],[Antal värmekablar]]&amp;Table129[[#This Row],[Täckning '[mm']]]&amp;Table129[[#This Row],[Formisolering '[mm']]]&amp;Table129[[#This Row],[OK&lt;17 Timamr]]&amp;Table129[[#This Row],[Kommentar]]</f>
        <v>Bas+0%1510---Plywood 15, oisoleratOK17</v>
      </c>
    </row>
    <row r="13" spans="1:20" x14ac:dyDescent="0.25">
      <c r="A13" s="6" t="s">
        <v>9</v>
      </c>
      <c r="B13" s="110" t="s">
        <v>9</v>
      </c>
      <c r="C13" s="110" t="s">
        <v>9</v>
      </c>
      <c r="D13" s="110" t="s">
        <v>9</v>
      </c>
      <c r="E13" s="110" t="s">
        <v>9</v>
      </c>
      <c r="F13" s="110" t="s">
        <v>9</v>
      </c>
      <c r="G13" s="111" t="s">
        <v>9</v>
      </c>
      <c r="H13" s="6">
        <v>10</v>
      </c>
      <c r="I13" s="7">
        <v>2</v>
      </c>
      <c r="J13" s="6"/>
      <c r="L13" s="7" t="s">
        <v>122</v>
      </c>
      <c r="M13" s="14" t="str">
        <f>Table129[[#This Row],[Slaggmängd]]&amp;Table129[[#This Row],[Gjuttemperatur]]&amp;Table129[[#This Row],[Temperatur motgjutningsyta]]&amp;Table129[[#This Row],[Värmekabel]]&amp;Table129[[#This Row],[Antal värmekablar]]&amp;Table129[[#This Row],[Täckning '[mm']]]&amp;Table129[[#This Row],[Formisolering '[mm']]]&amp;Table129[[#This Row],[OK&lt;17 Timamr]]&amp;Table129[[#This Row],[Kommentar]]</f>
        <v>-------Når ej 6 MPa</v>
      </c>
    </row>
    <row r="14" spans="1:20" x14ac:dyDescent="0.25">
      <c r="A14" s="6" t="s">
        <v>9</v>
      </c>
      <c r="B14" s="110" t="s">
        <v>9</v>
      </c>
      <c r="C14" s="110" t="s">
        <v>9</v>
      </c>
      <c r="D14" s="110" t="s">
        <v>9</v>
      </c>
      <c r="E14" s="110" t="s">
        <v>9</v>
      </c>
      <c r="F14" s="110" t="s">
        <v>9</v>
      </c>
      <c r="G14" s="111" t="s">
        <v>9</v>
      </c>
      <c r="H14" s="6">
        <v>10</v>
      </c>
      <c r="I14" s="7">
        <v>7</v>
      </c>
      <c r="J14" s="6"/>
      <c r="L14" s="7" t="s">
        <v>122</v>
      </c>
      <c r="M14" s="14" t="str">
        <f>Table129[[#This Row],[Slaggmängd]]&amp;Table129[[#This Row],[Gjuttemperatur]]&amp;Table129[[#This Row],[Temperatur motgjutningsyta]]&amp;Table129[[#This Row],[Värmekabel]]&amp;Table129[[#This Row],[Antal värmekablar]]&amp;Table129[[#This Row],[Täckning '[mm']]]&amp;Table129[[#This Row],[Formisolering '[mm']]]&amp;Table129[[#This Row],[OK&lt;17 Timamr]]&amp;Table129[[#This Row],[Kommentar]]</f>
        <v>-------Når ej 6 MPa</v>
      </c>
    </row>
    <row r="15" spans="1:20" x14ac:dyDescent="0.25">
      <c r="A15" s="6" t="s">
        <v>9</v>
      </c>
      <c r="B15" s="110" t="s">
        <v>9</v>
      </c>
      <c r="C15" s="110" t="s">
        <v>9</v>
      </c>
      <c r="D15" s="110" t="s">
        <v>9</v>
      </c>
      <c r="E15" s="110" t="s">
        <v>9</v>
      </c>
      <c r="F15" s="110" t="s">
        <v>9</v>
      </c>
      <c r="G15" s="111" t="s">
        <v>9</v>
      </c>
      <c r="H15" s="6">
        <v>10</v>
      </c>
      <c r="I15" s="7">
        <v>12</v>
      </c>
      <c r="J15" s="6"/>
      <c r="L15" s="7" t="s">
        <v>122</v>
      </c>
      <c r="M15" s="14" t="str">
        <f>Table129[[#This Row],[Slaggmängd]]&amp;Table129[[#This Row],[Gjuttemperatur]]&amp;Table129[[#This Row],[Temperatur motgjutningsyta]]&amp;Table129[[#This Row],[Värmekabel]]&amp;Table129[[#This Row],[Antal värmekablar]]&amp;Table129[[#This Row],[Täckning '[mm']]]&amp;Table129[[#This Row],[Formisolering '[mm']]]&amp;Table129[[#This Row],[OK&lt;17 Timamr]]&amp;Table129[[#This Row],[Kommentar]]</f>
        <v>-------Når ej 6 MPa</v>
      </c>
    </row>
    <row r="16" spans="1:20" ht="15.75" thickBot="1" x14ac:dyDescent="0.3">
      <c r="A16" s="8" t="s">
        <v>9</v>
      </c>
      <c r="B16" s="112" t="s">
        <v>9</v>
      </c>
      <c r="C16" s="112" t="s">
        <v>9</v>
      </c>
      <c r="D16" s="112" t="s">
        <v>9</v>
      </c>
      <c r="E16" s="112" t="s">
        <v>9</v>
      </c>
      <c r="F16" s="112" t="s">
        <v>9</v>
      </c>
      <c r="G16" s="113" t="s">
        <v>9</v>
      </c>
      <c r="H16" s="8">
        <v>10</v>
      </c>
      <c r="I16" s="10">
        <v>20</v>
      </c>
      <c r="J16" s="8"/>
      <c r="K16" s="9"/>
      <c r="L16" s="10" t="s">
        <v>122</v>
      </c>
      <c r="M16" s="15" t="str">
        <f>Table129[[#This Row],[Slaggmängd]]&amp;Table129[[#This Row],[Gjuttemperatur]]&amp;Table129[[#This Row],[Temperatur motgjutningsyta]]&amp;Table129[[#This Row],[Värmekabel]]&amp;Table129[[#This Row],[Antal värmekablar]]&amp;Table129[[#This Row],[Täckning '[mm']]]&amp;Table129[[#This Row],[Formisolering '[mm']]]&amp;Table129[[#This Row],[OK&lt;17 Timamr]]&amp;Table129[[#This Row],[Kommentar]]</f>
        <v>-------Når ej 6 MPa</v>
      </c>
    </row>
    <row r="17" spans="1:13" x14ac:dyDescent="0.25">
      <c r="A17" s="6">
        <v>0.2</v>
      </c>
      <c r="B17" s="110">
        <v>20</v>
      </c>
      <c r="C17" s="110">
        <v>5</v>
      </c>
      <c r="D17" s="110">
        <v>40</v>
      </c>
      <c r="E17" s="110">
        <v>1</v>
      </c>
      <c r="F17" s="110" t="s">
        <v>9</v>
      </c>
      <c r="G17" s="110" t="s">
        <v>124</v>
      </c>
      <c r="H17" s="3">
        <v>5</v>
      </c>
      <c r="I17" s="5">
        <v>0</v>
      </c>
      <c r="J17" s="4">
        <v>16.8</v>
      </c>
      <c r="K17" s="4" t="s">
        <v>101</v>
      </c>
      <c r="L17" s="5"/>
      <c r="M17" s="13" t="str">
        <f>Table129[[#This Row],[Slaggmängd]]&amp;Table129[[#This Row],[Gjuttemperatur]]&amp;Table129[[#This Row],[Temperatur motgjutningsyta]]&amp;Table129[[#This Row],[Värmekabel]]&amp;Table129[[#This Row],[Antal värmekablar]]&amp;Table129[[#This Row],[Täckning '[mm']]]&amp;Table129[[#This Row],[Formisolering '[mm']]]&amp;Table129[[#This Row],[OK&lt;17 Timamr]]&amp;Table129[[#This Row],[Kommentar]]</f>
        <v>0,2205401-Plywood 15 cellplast 30OK17</v>
      </c>
    </row>
    <row r="18" spans="1:13" x14ac:dyDescent="0.25">
      <c r="A18" s="6">
        <v>0.2</v>
      </c>
      <c r="B18" s="110">
        <v>20</v>
      </c>
      <c r="C18" s="110">
        <v>5</v>
      </c>
      <c r="D18" s="110">
        <v>40</v>
      </c>
      <c r="E18" s="110">
        <v>1</v>
      </c>
      <c r="F18" s="110">
        <v>10</v>
      </c>
      <c r="G18" s="110" t="s">
        <v>125</v>
      </c>
      <c r="H18" s="6">
        <v>5</v>
      </c>
      <c r="I18" s="7">
        <v>2</v>
      </c>
      <c r="J18">
        <v>16.600000000000001</v>
      </c>
      <c r="K18" t="s">
        <v>101</v>
      </c>
      <c r="L18" s="7"/>
      <c r="M18" s="14" t="str">
        <f>Table129[[#This Row],[Slaggmängd]]&amp;Table129[[#This Row],[Gjuttemperatur]]&amp;Table129[[#This Row],[Temperatur motgjutningsyta]]&amp;Table129[[#This Row],[Värmekabel]]&amp;Table129[[#This Row],[Antal värmekablar]]&amp;Table129[[#This Row],[Täckning '[mm']]]&amp;Table129[[#This Row],[Formisolering '[mm']]]&amp;Table129[[#This Row],[OK&lt;17 Timamr]]&amp;Table129[[#This Row],[Kommentar]]</f>
        <v>0,220540110Plywood 12-19  cellplast 50OK17</v>
      </c>
    </row>
    <row r="19" spans="1:13" x14ac:dyDescent="0.25">
      <c r="A19" s="6">
        <v>0.2</v>
      </c>
      <c r="B19" s="110">
        <v>20</v>
      </c>
      <c r="C19" s="110">
        <v>5</v>
      </c>
      <c r="D19" s="110">
        <v>40</v>
      </c>
      <c r="E19" s="110">
        <v>1</v>
      </c>
      <c r="F19" s="110">
        <v>10</v>
      </c>
      <c r="G19" s="110" t="s">
        <v>126</v>
      </c>
      <c r="H19" s="6">
        <v>5</v>
      </c>
      <c r="I19" s="7">
        <v>7</v>
      </c>
      <c r="J19">
        <v>16.8</v>
      </c>
      <c r="K19" t="s">
        <v>101</v>
      </c>
      <c r="L19" s="7"/>
      <c r="M19" s="14" t="str">
        <f>Table129[[#This Row],[Slaggmängd]]&amp;Table129[[#This Row],[Gjuttemperatur]]&amp;Table129[[#This Row],[Temperatur motgjutningsyta]]&amp;Table129[[#This Row],[Värmekabel]]&amp;Table129[[#This Row],[Antal värmekablar]]&amp;Table129[[#This Row],[Täckning '[mm']]]&amp;Table129[[#This Row],[Formisolering '[mm']]]&amp;Table129[[#This Row],[OK&lt;17 Timamr]]&amp;Table129[[#This Row],[Kommentar]]</f>
        <v>0,220540110Plywood 12-19 cellplast 70OK17</v>
      </c>
    </row>
    <row r="20" spans="1:13" x14ac:dyDescent="0.25">
      <c r="A20" s="6">
        <v>0.2</v>
      </c>
      <c r="B20" s="110">
        <v>20</v>
      </c>
      <c r="C20" s="110">
        <v>5</v>
      </c>
      <c r="D20" s="110">
        <v>40</v>
      </c>
      <c r="E20" s="110">
        <v>1</v>
      </c>
      <c r="F20" s="110">
        <v>10</v>
      </c>
      <c r="G20" s="110" t="s">
        <v>127</v>
      </c>
      <c r="H20" s="6">
        <v>5</v>
      </c>
      <c r="I20" s="7">
        <v>12</v>
      </c>
      <c r="J20">
        <v>17</v>
      </c>
      <c r="K20" t="s">
        <v>101</v>
      </c>
      <c r="L20" s="7"/>
      <c r="M20" s="14" t="str">
        <f>Table129[[#This Row],[Slaggmängd]]&amp;Table129[[#This Row],[Gjuttemperatur]]&amp;Table129[[#This Row],[Temperatur motgjutningsyta]]&amp;Table129[[#This Row],[Värmekabel]]&amp;Table129[[#This Row],[Antal värmekablar]]&amp;Table129[[#This Row],[Täckning '[mm']]]&amp;Table129[[#This Row],[Formisolering '[mm']]]&amp;Table129[[#This Row],[OK&lt;17 Timamr]]&amp;Table129[[#This Row],[Kommentar]]</f>
        <v>0,220540110Plywood 12-19 cellplast 100OK17</v>
      </c>
    </row>
    <row r="21" spans="1:13" ht="15.75" thickBot="1" x14ac:dyDescent="0.3">
      <c r="A21" s="6">
        <v>0.2</v>
      </c>
      <c r="B21" s="110">
        <v>20</v>
      </c>
      <c r="C21" s="110">
        <v>5</v>
      </c>
      <c r="D21" s="110">
        <v>40</v>
      </c>
      <c r="E21" s="110">
        <v>1</v>
      </c>
      <c r="F21" s="110">
        <v>10</v>
      </c>
      <c r="G21" s="110" t="s">
        <v>127</v>
      </c>
      <c r="H21" s="8">
        <v>5</v>
      </c>
      <c r="I21" s="10">
        <v>20</v>
      </c>
      <c r="J21" s="9">
        <v>17</v>
      </c>
      <c r="K21" s="9" t="s">
        <v>101</v>
      </c>
      <c r="L21" s="10"/>
      <c r="M21" s="15" t="str">
        <f>Table129[[#This Row],[Slaggmängd]]&amp;Table129[[#This Row],[Gjuttemperatur]]&amp;Table129[[#This Row],[Temperatur motgjutningsyta]]&amp;Table129[[#This Row],[Värmekabel]]&amp;Table129[[#This Row],[Antal värmekablar]]&amp;Table129[[#This Row],[Täckning '[mm']]]&amp;Table129[[#This Row],[Formisolering '[mm']]]&amp;Table129[[#This Row],[OK&lt;17 Timamr]]&amp;Table129[[#This Row],[Kommentar]]</f>
        <v>0,220540110Plywood 12-19 cellplast 100OK17</v>
      </c>
    </row>
    <row r="22" spans="1:13" x14ac:dyDescent="0.25">
      <c r="A22" s="3">
        <v>0.2</v>
      </c>
      <c r="B22" s="107">
        <v>20</v>
      </c>
      <c r="C22" s="107">
        <v>5</v>
      </c>
      <c r="D22" s="107">
        <v>40</v>
      </c>
      <c r="E22" s="107">
        <v>1</v>
      </c>
      <c r="F22" s="107" t="s">
        <v>10</v>
      </c>
      <c r="G22" s="114" t="s">
        <v>125</v>
      </c>
      <c r="H22" s="3">
        <v>0</v>
      </c>
      <c r="I22" s="5">
        <v>0</v>
      </c>
      <c r="J22" s="4">
        <v>17</v>
      </c>
      <c r="K22" s="4" t="s">
        <v>101</v>
      </c>
      <c r="L22" s="5"/>
      <c r="M22" s="13" t="str">
        <f>Table129[[#This Row],[Slaggmängd]]&amp;Table129[[#This Row],[Gjuttemperatur]]&amp;Table129[[#This Row],[Temperatur motgjutningsyta]]&amp;Table129[[#This Row],[Värmekabel]]&amp;Table129[[#This Row],[Antal värmekablar]]&amp;Table129[[#This Row],[Täckning '[mm']]]&amp;Table129[[#This Row],[Formisolering '[mm']]]&amp;Table129[[#This Row],[OK&lt;17 Timamr]]&amp;Table129[[#This Row],[Kommentar]]</f>
        <v>0,2205401PresenningPlywood 12-19  cellplast 50OK17</v>
      </c>
    </row>
    <row r="23" spans="1:13" x14ac:dyDescent="0.25">
      <c r="A23" s="6">
        <v>0.2</v>
      </c>
      <c r="B23" s="110">
        <v>20</v>
      </c>
      <c r="C23" s="110">
        <v>5</v>
      </c>
      <c r="D23" s="110">
        <v>40</v>
      </c>
      <c r="E23" s="110">
        <v>2</v>
      </c>
      <c r="F23" s="110">
        <v>10</v>
      </c>
      <c r="G23" s="111" t="s">
        <v>124</v>
      </c>
      <c r="H23" s="6">
        <v>0</v>
      </c>
      <c r="I23" s="7">
        <v>2</v>
      </c>
      <c r="J23">
        <v>16.8</v>
      </c>
      <c r="K23" t="s">
        <v>101</v>
      </c>
      <c r="L23" s="7"/>
      <c r="M23" s="14" t="str">
        <f>Table129[[#This Row],[Slaggmängd]]&amp;Table129[[#This Row],[Gjuttemperatur]]&amp;Table129[[#This Row],[Temperatur motgjutningsyta]]&amp;Table129[[#This Row],[Värmekabel]]&amp;Table129[[#This Row],[Antal värmekablar]]&amp;Table129[[#This Row],[Täckning '[mm']]]&amp;Table129[[#This Row],[Formisolering '[mm']]]&amp;Table129[[#This Row],[OK&lt;17 Timamr]]&amp;Table129[[#This Row],[Kommentar]]</f>
        <v>0,220540210Plywood 15 cellplast 30OK17</v>
      </c>
    </row>
    <row r="24" spans="1:13" x14ac:dyDescent="0.25">
      <c r="A24" s="6">
        <v>0.2</v>
      </c>
      <c r="B24" s="110">
        <v>20</v>
      </c>
      <c r="C24" s="110">
        <v>5</v>
      </c>
      <c r="D24" s="110">
        <v>40</v>
      </c>
      <c r="E24" s="110">
        <v>2</v>
      </c>
      <c r="F24" s="110">
        <v>10</v>
      </c>
      <c r="G24" s="111" t="s">
        <v>126</v>
      </c>
      <c r="H24" s="6">
        <v>0</v>
      </c>
      <c r="I24" s="7">
        <v>7</v>
      </c>
      <c r="J24">
        <v>17</v>
      </c>
      <c r="K24" t="s">
        <v>101</v>
      </c>
      <c r="L24" s="7"/>
      <c r="M24" s="14" t="str">
        <f>Table129[[#This Row],[Slaggmängd]]&amp;Table129[[#This Row],[Gjuttemperatur]]&amp;Table129[[#This Row],[Temperatur motgjutningsyta]]&amp;Table129[[#This Row],[Värmekabel]]&amp;Table129[[#This Row],[Antal värmekablar]]&amp;Table129[[#This Row],[Täckning '[mm']]]&amp;Table129[[#This Row],[Formisolering '[mm']]]&amp;Table129[[#This Row],[OK&lt;17 Timamr]]&amp;Table129[[#This Row],[Kommentar]]</f>
        <v>0,220540210Plywood 12-19 cellplast 70OK17</v>
      </c>
    </row>
    <row r="25" spans="1:13" x14ac:dyDescent="0.25">
      <c r="A25" s="6">
        <v>0.2</v>
      </c>
      <c r="B25" s="110">
        <v>20</v>
      </c>
      <c r="C25" s="110">
        <v>5</v>
      </c>
      <c r="D25" s="110">
        <v>40</v>
      </c>
      <c r="E25" s="110">
        <v>3</v>
      </c>
      <c r="F25" s="110">
        <v>10</v>
      </c>
      <c r="G25" s="111" t="s">
        <v>127</v>
      </c>
      <c r="H25" s="6">
        <v>0</v>
      </c>
      <c r="I25" s="7">
        <v>12</v>
      </c>
      <c r="J25">
        <v>16.8</v>
      </c>
      <c r="K25" t="s">
        <v>101</v>
      </c>
      <c r="L25" s="7"/>
      <c r="M25" s="14" t="str">
        <f>Table129[[#This Row],[Slaggmängd]]&amp;Table129[[#This Row],[Gjuttemperatur]]&amp;Table129[[#This Row],[Temperatur motgjutningsyta]]&amp;Table129[[#This Row],[Värmekabel]]&amp;Table129[[#This Row],[Antal värmekablar]]&amp;Table129[[#This Row],[Täckning '[mm']]]&amp;Table129[[#This Row],[Formisolering '[mm']]]&amp;Table129[[#This Row],[OK&lt;17 Timamr]]&amp;Table129[[#This Row],[Kommentar]]</f>
        <v>0,220540310Plywood 12-19 cellplast 100OK17</v>
      </c>
    </row>
    <row r="26" spans="1:13" ht="15.75" thickBot="1" x14ac:dyDescent="0.3">
      <c r="A26" s="8">
        <v>0.1</v>
      </c>
      <c r="B26" s="112">
        <v>20</v>
      </c>
      <c r="C26" s="112">
        <v>5</v>
      </c>
      <c r="D26" s="112">
        <v>40</v>
      </c>
      <c r="E26" s="112">
        <v>1</v>
      </c>
      <c r="F26" s="112">
        <v>10</v>
      </c>
      <c r="G26" s="113" t="s">
        <v>124</v>
      </c>
      <c r="H26" s="8">
        <v>0</v>
      </c>
      <c r="I26" s="10">
        <v>20</v>
      </c>
      <c r="J26" s="9">
        <v>16.899999999999999</v>
      </c>
      <c r="K26" s="9" t="s">
        <v>101</v>
      </c>
      <c r="L26" s="10"/>
      <c r="M26" s="15" t="str">
        <f>Table129[[#This Row],[Slaggmängd]]&amp;Table129[[#This Row],[Gjuttemperatur]]&amp;Table129[[#This Row],[Temperatur motgjutningsyta]]&amp;Table129[[#This Row],[Värmekabel]]&amp;Table129[[#This Row],[Antal värmekablar]]&amp;Table129[[#This Row],[Täckning '[mm']]]&amp;Table129[[#This Row],[Formisolering '[mm']]]&amp;Table129[[#This Row],[OK&lt;17 Timamr]]&amp;Table129[[#This Row],[Kommentar]]</f>
        <v>0,120540110Plywood 15 cellplast 30OK17</v>
      </c>
    </row>
    <row r="27" spans="1:13" x14ac:dyDescent="0.25">
      <c r="A27" s="3">
        <v>0.2</v>
      </c>
      <c r="B27" s="107">
        <v>20</v>
      </c>
      <c r="C27" s="107">
        <v>5</v>
      </c>
      <c r="D27" s="107">
        <v>40</v>
      </c>
      <c r="E27" s="107">
        <v>2</v>
      </c>
      <c r="F27" s="107">
        <v>10</v>
      </c>
      <c r="G27" s="114" t="s">
        <v>124</v>
      </c>
      <c r="H27" s="3">
        <v>-5</v>
      </c>
      <c r="I27" s="5">
        <v>0</v>
      </c>
      <c r="J27" s="4">
        <v>16.600000000000001</v>
      </c>
      <c r="K27" s="4" t="s">
        <v>101</v>
      </c>
      <c r="L27" s="5"/>
      <c r="M27" s="13" t="str">
        <f>Table129[[#This Row],[Slaggmängd]]&amp;Table129[[#This Row],[Gjuttemperatur]]&amp;Table129[[#This Row],[Temperatur motgjutningsyta]]&amp;Table129[[#This Row],[Värmekabel]]&amp;Table129[[#This Row],[Antal värmekablar]]&amp;Table129[[#This Row],[Täckning '[mm']]]&amp;Table129[[#This Row],[Formisolering '[mm']]]&amp;Table129[[#This Row],[OK&lt;17 Timamr]]&amp;Table129[[#This Row],[Kommentar]]</f>
        <v>0,220540210Plywood 15 cellplast 30OK17</v>
      </c>
    </row>
    <row r="28" spans="1:13" x14ac:dyDescent="0.25">
      <c r="A28" s="6">
        <v>0.2</v>
      </c>
      <c r="B28" s="110">
        <v>20</v>
      </c>
      <c r="C28" s="110">
        <v>5</v>
      </c>
      <c r="D28" s="110">
        <v>40</v>
      </c>
      <c r="E28" s="110">
        <v>2</v>
      </c>
      <c r="F28" s="110">
        <v>10</v>
      </c>
      <c r="G28" s="111" t="s">
        <v>126</v>
      </c>
      <c r="H28" s="6">
        <v>-5</v>
      </c>
      <c r="I28" s="7">
        <v>2</v>
      </c>
      <c r="J28">
        <v>16.899999999999999</v>
      </c>
      <c r="K28" t="s">
        <v>101</v>
      </c>
      <c r="L28" s="7"/>
      <c r="M28" s="14" t="str">
        <f>Table129[[#This Row],[Slaggmängd]]&amp;Table129[[#This Row],[Gjuttemperatur]]&amp;Table129[[#This Row],[Temperatur motgjutningsyta]]&amp;Table129[[#This Row],[Värmekabel]]&amp;Table129[[#This Row],[Antal värmekablar]]&amp;Table129[[#This Row],[Täckning '[mm']]]&amp;Table129[[#This Row],[Formisolering '[mm']]]&amp;Table129[[#This Row],[OK&lt;17 Timamr]]&amp;Table129[[#This Row],[Kommentar]]</f>
        <v>0,220540210Plywood 12-19 cellplast 70OK17</v>
      </c>
    </row>
    <row r="29" spans="1:13" x14ac:dyDescent="0.25">
      <c r="A29" s="6">
        <v>0.1</v>
      </c>
      <c r="B29" s="110">
        <v>20</v>
      </c>
      <c r="C29" s="110">
        <v>5</v>
      </c>
      <c r="D29" s="110">
        <v>40</v>
      </c>
      <c r="E29" s="110">
        <v>1</v>
      </c>
      <c r="F29" s="110">
        <v>10</v>
      </c>
      <c r="G29" s="111" t="s">
        <v>126</v>
      </c>
      <c r="H29" s="6">
        <v>-5</v>
      </c>
      <c r="I29" s="7">
        <v>7</v>
      </c>
      <c r="J29">
        <v>16.7</v>
      </c>
      <c r="K29" t="s">
        <v>101</v>
      </c>
      <c r="L29" s="7"/>
      <c r="M29" s="14" t="str">
        <f>Table129[[#This Row],[Slaggmängd]]&amp;Table129[[#This Row],[Gjuttemperatur]]&amp;Table129[[#This Row],[Temperatur motgjutningsyta]]&amp;Table129[[#This Row],[Värmekabel]]&amp;Table129[[#This Row],[Antal värmekablar]]&amp;Table129[[#This Row],[Täckning '[mm']]]&amp;Table129[[#This Row],[Formisolering '[mm']]]&amp;Table129[[#This Row],[OK&lt;17 Timamr]]&amp;Table129[[#This Row],[Kommentar]]</f>
        <v>0,120540110Plywood 12-19 cellplast 70OK17</v>
      </c>
    </row>
    <row r="30" spans="1:13" x14ac:dyDescent="0.25">
      <c r="A30" s="6">
        <v>0.1</v>
      </c>
      <c r="B30" s="110">
        <v>20</v>
      </c>
      <c r="C30" s="110">
        <v>5</v>
      </c>
      <c r="D30" s="110">
        <v>40</v>
      </c>
      <c r="E30" s="110">
        <v>1</v>
      </c>
      <c r="F30" s="110">
        <v>10</v>
      </c>
      <c r="G30" s="111" t="s">
        <v>127</v>
      </c>
      <c r="H30" s="6">
        <v>-5</v>
      </c>
      <c r="I30" s="7">
        <v>12</v>
      </c>
      <c r="J30">
        <v>17</v>
      </c>
      <c r="K30" t="s">
        <v>101</v>
      </c>
      <c r="L30" s="7"/>
      <c r="M30" s="14" t="str">
        <f>Table129[[#This Row],[Slaggmängd]]&amp;Table129[[#This Row],[Gjuttemperatur]]&amp;Table129[[#This Row],[Temperatur motgjutningsyta]]&amp;Table129[[#This Row],[Värmekabel]]&amp;Table129[[#This Row],[Antal värmekablar]]&amp;Table129[[#This Row],[Täckning '[mm']]]&amp;Table129[[#This Row],[Formisolering '[mm']]]&amp;Table129[[#This Row],[OK&lt;17 Timamr]]&amp;Table129[[#This Row],[Kommentar]]</f>
        <v>0,120540110Plywood 12-19 cellplast 100OK17</v>
      </c>
    </row>
    <row r="31" spans="1:13" ht="15.75" thickBot="1" x14ac:dyDescent="0.3">
      <c r="A31" s="8" t="s">
        <v>9</v>
      </c>
      <c r="B31" s="112" t="s">
        <v>9</v>
      </c>
      <c r="C31" s="112" t="s">
        <v>9</v>
      </c>
      <c r="D31" s="112" t="s">
        <v>9</v>
      </c>
      <c r="E31" s="112" t="s">
        <v>9</v>
      </c>
      <c r="F31" s="112" t="s">
        <v>9</v>
      </c>
      <c r="G31" s="113" t="s">
        <v>9</v>
      </c>
      <c r="H31" s="8">
        <v>-5</v>
      </c>
      <c r="I31" s="10">
        <v>20</v>
      </c>
      <c r="J31" s="9"/>
      <c r="K31" s="9"/>
      <c r="L31" s="10" t="s">
        <v>100</v>
      </c>
      <c r="M31" s="15" t="str">
        <f>Table129[[#This Row],[Slaggmängd]]&amp;Table129[[#This Row],[Gjuttemperatur]]&amp;Table129[[#This Row],[Temperatur motgjutningsyta]]&amp;Table129[[#This Row],[Värmekabel]]&amp;Table129[[#This Row],[Antal värmekablar]]&amp;Table129[[#This Row],[Täckning '[mm']]]&amp;Table129[[#This Row],[Formisolering '[mm']]]&amp;Table129[[#This Row],[OK&lt;17 Timamr]]&amp;Table129[[#This Row],[Kommentar]]</f>
        <v>-------Fryser innan täck</v>
      </c>
    </row>
    <row r="32" spans="1:13" x14ac:dyDescent="0.25">
      <c r="A32" s="3">
        <v>0.2</v>
      </c>
      <c r="B32" s="107">
        <v>20</v>
      </c>
      <c r="C32" s="107">
        <v>5</v>
      </c>
      <c r="D32" s="107">
        <v>40</v>
      </c>
      <c r="E32" s="107">
        <v>2</v>
      </c>
      <c r="F32" s="107">
        <v>10</v>
      </c>
      <c r="G32" s="114" t="s">
        <v>125</v>
      </c>
      <c r="H32" s="3">
        <v>-10</v>
      </c>
      <c r="I32" s="5">
        <v>0</v>
      </c>
      <c r="J32" s="4">
        <v>16.8</v>
      </c>
      <c r="K32" s="4" t="s">
        <v>101</v>
      </c>
      <c r="L32" s="5"/>
      <c r="M32" s="13" t="str">
        <f>Table129[[#This Row],[Slaggmängd]]&amp;Table129[[#This Row],[Gjuttemperatur]]&amp;Table129[[#This Row],[Temperatur motgjutningsyta]]&amp;Table129[[#This Row],[Värmekabel]]&amp;Table129[[#This Row],[Antal värmekablar]]&amp;Table129[[#This Row],[Täckning '[mm']]]&amp;Table129[[#This Row],[Formisolering '[mm']]]&amp;Table129[[#This Row],[OK&lt;17 Timamr]]&amp;Table129[[#This Row],[Kommentar]]</f>
        <v>0,220540210Plywood 12-19  cellplast 50OK17</v>
      </c>
    </row>
    <row r="33" spans="1:13" x14ac:dyDescent="0.25">
      <c r="A33" s="6">
        <v>0.1</v>
      </c>
      <c r="B33" s="110">
        <v>20</v>
      </c>
      <c r="C33" s="110">
        <v>5</v>
      </c>
      <c r="D33" s="110">
        <v>40</v>
      </c>
      <c r="E33" s="110">
        <v>1</v>
      </c>
      <c r="F33" s="110">
        <v>10</v>
      </c>
      <c r="G33" s="111" t="s">
        <v>126</v>
      </c>
      <c r="H33" s="6">
        <v>-10</v>
      </c>
      <c r="I33" s="7">
        <v>2</v>
      </c>
      <c r="J33">
        <v>16.8</v>
      </c>
      <c r="K33" t="s">
        <v>101</v>
      </c>
      <c r="L33" s="7"/>
      <c r="M33" s="14" t="str">
        <f>Table129[[#This Row],[Slaggmängd]]&amp;Table129[[#This Row],[Gjuttemperatur]]&amp;Table129[[#This Row],[Temperatur motgjutningsyta]]&amp;Table129[[#This Row],[Värmekabel]]&amp;Table129[[#This Row],[Antal värmekablar]]&amp;Table129[[#This Row],[Täckning '[mm']]]&amp;Table129[[#This Row],[Formisolering '[mm']]]&amp;Table129[[#This Row],[OK&lt;17 Timamr]]&amp;Table129[[#This Row],[Kommentar]]</f>
        <v>0,120540110Plywood 12-19 cellplast 70OK17</v>
      </c>
    </row>
    <row r="34" spans="1:13" x14ac:dyDescent="0.25">
      <c r="A34" s="6">
        <v>0.1</v>
      </c>
      <c r="B34" s="110">
        <v>20</v>
      </c>
      <c r="C34" s="110">
        <v>5</v>
      </c>
      <c r="D34" s="110">
        <v>40</v>
      </c>
      <c r="E34" s="110">
        <v>2</v>
      </c>
      <c r="F34" s="110">
        <v>10</v>
      </c>
      <c r="G34" s="111" t="s">
        <v>127</v>
      </c>
      <c r="H34" s="6">
        <v>-10</v>
      </c>
      <c r="I34" s="7">
        <v>7</v>
      </c>
      <c r="J34">
        <v>16.7</v>
      </c>
      <c r="K34" t="s">
        <v>101</v>
      </c>
      <c r="L34" s="7"/>
      <c r="M34" s="14" t="str">
        <f>Table129[[#This Row],[Slaggmängd]]&amp;Table129[[#This Row],[Gjuttemperatur]]&amp;Table129[[#This Row],[Temperatur motgjutningsyta]]&amp;Table129[[#This Row],[Värmekabel]]&amp;Table129[[#This Row],[Antal värmekablar]]&amp;Table129[[#This Row],[Täckning '[mm']]]&amp;Table129[[#This Row],[Formisolering '[mm']]]&amp;Table129[[#This Row],[OK&lt;17 Timamr]]&amp;Table129[[#This Row],[Kommentar]]</f>
        <v>0,120540210Plywood 12-19 cellplast 100OK17</v>
      </c>
    </row>
    <row r="35" spans="1:13" x14ac:dyDescent="0.25">
      <c r="A35" s="6" t="s">
        <v>9</v>
      </c>
      <c r="B35" s="110" t="s">
        <v>9</v>
      </c>
      <c r="C35" s="110" t="s">
        <v>9</v>
      </c>
      <c r="D35" s="110" t="s">
        <v>9</v>
      </c>
      <c r="E35" s="110" t="s">
        <v>9</v>
      </c>
      <c r="F35" s="110" t="s">
        <v>9</v>
      </c>
      <c r="G35" s="111" t="s">
        <v>9</v>
      </c>
      <c r="H35" s="6">
        <v>-10</v>
      </c>
      <c r="I35" s="7">
        <v>12</v>
      </c>
      <c r="L35" s="7" t="s">
        <v>100</v>
      </c>
      <c r="M35" s="14" t="str">
        <f>Table129[[#This Row],[Slaggmängd]]&amp;Table129[[#This Row],[Gjuttemperatur]]&amp;Table129[[#This Row],[Temperatur motgjutningsyta]]&amp;Table129[[#This Row],[Värmekabel]]&amp;Table129[[#This Row],[Antal värmekablar]]&amp;Table129[[#This Row],[Täckning '[mm']]]&amp;Table129[[#This Row],[Formisolering '[mm']]]&amp;Table129[[#This Row],[OK&lt;17 Timamr]]&amp;Table129[[#This Row],[Kommentar]]</f>
        <v>-------Fryser innan täck</v>
      </c>
    </row>
    <row r="36" spans="1:13" ht="15.75" thickBot="1" x14ac:dyDescent="0.3">
      <c r="A36" s="8" t="s">
        <v>9</v>
      </c>
      <c r="B36" s="112" t="s">
        <v>9</v>
      </c>
      <c r="C36" s="112" t="s">
        <v>9</v>
      </c>
      <c r="D36" s="112" t="s">
        <v>9</v>
      </c>
      <c r="E36" s="112" t="s">
        <v>9</v>
      </c>
      <c r="F36" s="112" t="s">
        <v>9</v>
      </c>
      <c r="G36" s="113" t="s">
        <v>9</v>
      </c>
      <c r="H36" s="8">
        <v>-10</v>
      </c>
      <c r="I36" s="10">
        <v>20</v>
      </c>
      <c r="J36" s="9"/>
      <c r="K36" s="9"/>
      <c r="L36" s="10" t="s">
        <v>100</v>
      </c>
      <c r="M36" s="15" t="str">
        <f>Table129[[#This Row],[Slaggmängd]]&amp;Table129[[#This Row],[Gjuttemperatur]]&amp;Table129[[#This Row],[Temperatur motgjutningsyta]]&amp;Table129[[#This Row],[Värmekabel]]&amp;Table129[[#This Row],[Antal värmekablar]]&amp;Table129[[#This Row],[Täckning '[mm']]]&amp;Table129[[#This Row],[Formisolering '[mm']]]&amp;Table129[[#This Row],[OK&lt;17 Timamr]]&amp;Table129[[#This Row],[Kommentar]]</f>
        <v>-------Fryser innan täck</v>
      </c>
    </row>
    <row r="37" spans="1:13" x14ac:dyDescent="0.25">
      <c r="A37" s="6">
        <v>0.1</v>
      </c>
      <c r="B37" s="110">
        <v>15</v>
      </c>
      <c r="C37" s="110">
        <v>5</v>
      </c>
      <c r="D37" s="110">
        <v>40</v>
      </c>
      <c r="E37" s="110">
        <v>2</v>
      </c>
      <c r="F37" s="110">
        <v>20</v>
      </c>
      <c r="G37" s="110" t="s">
        <v>128</v>
      </c>
      <c r="H37" s="3">
        <v>-15</v>
      </c>
      <c r="I37" s="5">
        <v>0</v>
      </c>
      <c r="J37" s="4">
        <v>16.899999999999999</v>
      </c>
      <c r="K37" s="4" t="s">
        <v>101</v>
      </c>
      <c r="L37" s="5"/>
      <c r="M37" s="13" t="str">
        <f>Table129[[#This Row],[Slaggmängd]]&amp;Table129[[#This Row],[Gjuttemperatur]]&amp;Table129[[#This Row],[Temperatur motgjutningsyta]]&amp;Table129[[#This Row],[Värmekabel]]&amp;Table129[[#This Row],[Antal värmekablar]]&amp;Table129[[#This Row],[Täckning '[mm']]]&amp;Table129[[#This Row],[Formisolering '[mm']]]&amp;Table129[[#This Row],[OK&lt;17 Timamr]]&amp;Table129[[#This Row],[Kommentar]]</f>
        <v>0,115540220Plywood 12-19 cellplast 120OK17</v>
      </c>
    </row>
    <row r="38" spans="1:13" x14ac:dyDescent="0.25">
      <c r="A38" s="6" t="s">
        <v>48</v>
      </c>
      <c r="B38" s="110">
        <v>15</v>
      </c>
      <c r="C38" s="110">
        <v>5</v>
      </c>
      <c r="D38" s="110">
        <v>40</v>
      </c>
      <c r="E38" s="110">
        <v>3</v>
      </c>
      <c r="F38" s="110">
        <v>20</v>
      </c>
      <c r="G38" s="110" t="s">
        <v>128</v>
      </c>
      <c r="H38" s="6">
        <v>-15</v>
      </c>
      <c r="I38" s="7">
        <v>2</v>
      </c>
      <c r="J38">
        <v>17</v>
      </c>
      <c r="K38" t="s">
        <v>101</v>
      </c>
      <c r="L38" s="7"/>
      <c r="M38" s="14" t="str">
        <f>Table129[[#This Row],[Slaggmängd]]&amp;Table129[[#This Row],[Gjuttemperatur]]&amp;Table129[[#This Row],[Temperatur motgjutningsyta]]&amp;Table129[[#This Row],[Värmekabel]]&amp;Table129[[#This Row],[Antal värmekablar]]&amp;Table129[[#This Row],[Täckning '[mm']]]&amp;Table129[[#This Row],[Formisolering '[mm']]]&amp;Table129[[#This Row],[OK&lt;17 Timamr]]&amp;Table129[[#This Row],[Kommentar]]</f>
        <v>Bas+0%15540320Plywood 12-19 cellplast 120OK17</v>
      </c>
    </row>
    <row r="39" spans="1:13" x14ac:dyDescent="0.25">
      <c r="A39" s="6" t="s">
        <v>9</v>
      </c>
      <c r="B39" s="110" t="s">
        <v>9</v>
      </c>
      <c r="C39" s="110" t="s">
        <v>9</v>
      </c>
      <c r="D39" s="110" t="s">
        <v>9</v>
      </c>
      <c r="E39" s="110" t="s">
        <v>9</v>
      </c>
      <c r="F39" s="110" t="s">
        <v>9</v>
      </c>
      <c r="G39" s="110" t="s">
        <v>9</v>
      </c>
      <c r="H39" s="6">
        <v>-15</v>
      </c>
      <c r="I39" s="7">
        <v>7</v>
      </c>
      <c r="L39" s="7" t="s">
        <v>100</v>
      </c>
      <c r="M39" s="14" t="str">
        <f>Table129[[#This Row],[Slaggmängd]]&amp;Table129[[#This Row],[Gjuttemperatur]]&amp;Table129[[#This Row],[Temperatur motgjutningsyta]]&amp;Table129[[#This Row],[Värmekabel]]&amp;Table129[[#This Row],[Antal värmekablar]]&amp;Table129[[#This Row],[Täckning '[mm']]]&amp;Table129[[#This Row],[Formisolering '[mm']]]&amp;Table129[[#This Row],[OK&lt;17 Timamr]]&amp;Table129[[#This Row],[Kommentar]]</f>
        <v>-------Fryser innan täck</v>
      </c>
    </row>
    <row r="40" spans="1:13" x14ac:dyDescent="0.25">
      <c r="A40" s="6" t="s">
        <v>9</v>
      </c>
      <c r="B40" s="110" t="s">
        <v>9</v>
      </c>
      <c r="C40" s="110" t="s">
        <v>9</v>
      </c>
      <c r="D40" s="110" t="s">
        <v>9</v>
      </c>
      <c r="E40" s="110" t="s">
        <v>9</v>
      </c>
      <c r="F40" s="110" t="s">
        <v>9</v>
      </c>
      <c r="G40" s="110" t="s">
        <v>9</v>
      </c>
      <c r="H40" s="6">
        <v>-15</v>
      </c>
      <c r="I40" s="7">
        <v>12</v>
      </c>
      <c r="L40" s="7" t="s">
        <v>100</v>
      </c>
      <c r="M40" s="14" t="str">
        <f>Table129[[#This Row],[Slaggmängd]]&amp;Table129[[#This Row],[Gjuttemperatur]]&amp;Table129[[#This Row],[Temperatur motgjutningsyta]]&amp;Table129[[#This Row],[Värmekabel]]&amp;Table129[[#This Row],[Antal värmekablar]]&amp;Table129[[#This Row],[Täckning '[mm']]]&amp;Table129[[#This Row],[Formisolering '[mm']]]&amp;Table129[[#This Row],[OK&lt;17 Timamr]]&amp;Table129[[#This Row],[Kommentar]]</f>
        <v>-------Fryser innan täck</v>
      </c>
    </row>
    <row r="41" spans="1:13" ht="15.75" thickBot="1" x14ac:dyDescent="0.3">
      <c r="A41" s="6" t="s">
        <v>9</v>
      </c>
      <c r="B41" s="110" t="s">
        <v>9</v>
      </c>
      <c r="C41" s="110" t="s">
        <v>9</v>
      </c>
      <c r="D41" s="110" t="s">
        <v>9</v>
      </c>
      <c r="E41" s="110" t="s">
        <v>9</v>
      </c>
      <c r="F41" s="110" t="s">
        <v>9</v>
      </c>
      <c r="G41" s="110" t="s">
        <v>9</v>
      </c>
      <c r="H41" s="8">
        <v>-15</v>
      </c>
      <c r="I41" s="10">
        <v>20</v>
      </c>
      <c r="J41" s="9"/>
      <c r="K41" s="9"/>
      <c r="L41" s="10" t="s">
        <v>100</v>
      </c>
      <c r="M41" s="15" t="str">
        <f>Table129[[#This Row],[Slaggmängd]]&amp;Table129[[#This Row],[Gjuttemperatur]]&amp;Table129[[#This Row],[Temperatur motgjutningsyta]]&amp;Table129[[#This Row],[Värmekabel]]&amp;Table129[[#This Row],[Antal värmekablar]]&amp;Table129[[#This Row],[Täckning '[mm']]]&amp;Table129[[#This Row],[Formisolering '[mm']]]&amp;Table129[[#This Row],[OK&lt;17 Timamr]]&amp;Table129[[#This Row],[Kommentar]]</f>
        <v>-------Fryser innan täck</v>
      </c>
    </row>
    <row r="42" spans="1:13" x14ac:dyDescent="0.25">
      <c r="A42" s="3" t="s">
        <v>9</v>
      </c>
      <c r="B42" s="107" t="s">
        <v>9</v>
      </c>
      <c r="C42" s="107" t="s">
        <v>9</v>
      </c>
      <c r="D42" s="107" t="s">
        <v>9</v>
      </c>
      <c r="E42" s="107" t="s">
        <v>9</v>
      </c>
      <c r="F42" s="107" t="s">
        <v>9</v>
      </c>
      <c r="G42" s="114" t="s">
        <v>9</v>
      </c>
      <c r="H42" s="6">
        <v>-20</v>
      </c>
      <c r="I42" s="7">
        <v>0</v>
      </c>
      <c r="L42" s="7" t="s">
        <v>122</v>
      </c>
      <c r="M42" s="14" t="str">
        <f>Table129[[#This Row],[Slaggmängd]]&amp;Table129[[#This Row],[Gjuttemperatur]]&amp;Table129[[#This Row],[Temperatur motgjutningsyta]]&amp;Table129[[#This Row],[Värmekabel]]&amp;Table129[[#This Row],[Antal värmekablar]]&amp;Table129[[#This Row],[Täckning '[mm']]]&amp;Table129[[#This Row],[Formisolering '[mm']]]&amp;Table129[[#This Row],[OK&lt;17 Timamr]]&amp;Table129[[#This Row],[Kommentar]]</f>
        <v>-------Når ej 6 MPa</v>
      </c>
    </row>
    <row r="43" spans="1:13" x14ac:dyDescent="0.25">
      <c r="A43" s="6" t="s">
        <v>9</v>
      </c>
      <c r="B43" s="110" t="s">
        <v>9</v>
      </c>
      <c r="C43" s="110" t="s">
        <v>9</v>
      </c>
      <c r="D43" s="110" t="s">
        <v>9</v>
      </c>
      <c r="E43" s="110" t="s">
        <v>9</v>
      </c>
      <c r="F43" s="110" t="s">
        <v>9</v>
      </c>
      <c r="G43" s="111" t="s">
        <v>9</v>
      </c>
      <c r="H43" s="6">
        <v>-20</v>
      </c>
      <c r="I43" s="7">
        <v>2</v>
      </c>
      <c r="L43" s="7" t="s">
        <v>100</v>
      </c>
      <c r="M43" s="14" t="str">
        <f>Table129[[#This Row],[Slaggmängd]]&amp;Table129[[#This Row],[Gjuttemperatur]]&amp;Table129[[#This Row],[Temperatur motgjutningsyta]]&amp;Table129[[#This Row],[Värmekabel]]&amp;Table129[[#This Row],[Antal värmekablar]]&amp;Table129[[#This Row],[Täckning '[mm']]]&amp;Table129[[#This Row],[Formisolering '[mm']]]&amp;Table129[[#This Row],[OK&lt;17 Timamr]]&amp;Table129[[#This Row],[Kommentar]]</f>
        <v>-------Fryser innan täck</v>
      </c>
    </row>
    <row r="44" spans="1:13" x14ac:dyDescent="0.25">
      <c r="A44" s="6" t="s">
        <v>9</v>
      </c>
      <c r="B44" s="110" t="s">
        <v>9</v>
      </c>
      <c r="C44" s="110" t="s">
        <v>9</v>
      </c>
      <c r="D44" s="110" t="s">
        <v>9</v>
      </c>
      <c r="E44" s="110" t="s">
        <v>9</v>
      </c>
      <c r="F44" s="110" t="s">
        <v>9</v>
      </c>
      <c r="G44" s="111" t="s">
        <v>9</v>
      </c>
      <c r="H44" s="6">
        <v>-20</v>
      </c>
      <c r="I44" s="7">
        <v>7</v>
      </c>
      <c r="L44" s="7" t="s">
        <v>100</v>
      </c>
      <c r="M44" s="14" t="str">
        <f>Table129[[#This Row],[Slaggmängd]]&amp;Table129[[#This Row],[Gjuttemperatur]]&amp;Table129[[#This Row],[Temperatur motgjutningsyta]]&amp;Table129[[#This Row],[Värmekabel]]&amp;Table129[[#This Row],[Antal värmekablar]]&amp;Table129[[#This Row],[Täckning '[mm']]]&amp;Table129[[#This Row],[Formisolering '[mm']]]&amp;Table129[[#This Row],[OK&lt;17 Timamr]]&amp;Table129[[#This Row],[Kommentar]]</f>
        <v>-------Fryser innan täck</v>
      </c>
    </row>
    <row r="45" spans="1:13" x14ac:dyDescent="0.25">
      <c r="A45" s="6" t="s">
        <v>9</v>
      </c>
      <c r="B45" s="110" t="s">
        <v>9</v>
      </c>
      <c r="C45" s="110" t="s">
        <v>9</v>
      </c>
      <c r="D45" s="110" t="s">
        <v>9</v>
      </c>
      <c r="E45" s="110" t="s">
        <v>9</v>
      </c>
      <c r="F45" s="110" t="s">
        <v>9</v>
      </c>
      <c r="G45" s="111" t="s">
        <v>9</v>
      </c>
      <c r="H45" s="6">
        <v>-20</v>
      </c>
      <c r="I45" s="7">
        <v>12</v>
      </c>
      <c r="L45" s="7" t="s">
        <v>100</v>
      </c>
      <c r="M45" s="14" t="str">
        <f>Table129[[#This Row],[Slaggmängd]]&amp;Table129[[#This Row],[Gjuttemperatur]]&amp;Table129[[#This Row],[Temperatur motgjutningsyta]]&amp;Table129[[#This Row],[Värmekabel]]&amp;Table129[[#This Row],[Antal värmekablar]]&amp;Table129[[#This Row],[Täckning '[mm']]]&amp;Table129[[#This Row],[Formisolering '[mm']]]&amp;Table129[[#This Row],[OK&lt;17 Timamr]]&amp;Table129[[#This Row],[Kommentar]]</f>
        <v>-------Fryser innan täck</v>
      </c>
    </row>
    <row r="46" spans="1:13" ht="15.75" thickBot="1" x14ac:dyDescent="0.3">
      <c r="A46" s="8" t="s">
        <v>9</v>
      </c>
      <c r="B46" s="112" t="s">
        <v>9</v>
      </c>
      <c r="C46" s="112" t="s">
        <v>9</v>
      </c>
      <c r="D46" s="112" t="s">
        <v>9</v>
      </c>
      <c r="E46" s="112" t="s">
        <v>9</v>
      </c>
      <c r="F46" s="112" t="s">
        <v>9</v>
      </c>
      <c r="G46" s="113" t="s">
        <v>9</v>
      </c>
      <c r="H46" s="8">
        <v>-20</v>
      </c>
      <c r="I46" s="10">
        <v>20</v>
      </c>
      <c r="J46" s="9"/>
      <c r="K46" s="9"/>
      <c r="L46" s="10" t="s">
        <v>100</v>
      </c>
      <c r="M46" s="15" t="str">
        <f>Table129[[#This Row],[Slaggmängd]]&amp;Table129[[#This Row],[Gjuttemperatur]]&amp;Table129[[#This Row],[Temperatur motgjutningsyta]]&amp;Table129[[#This Row],[Värmekabel]]&amp;Table129[[#This Row],[Antal värmekablar]]&amp;Table129[[#This Row],[Täckning '[mm']]]&amp;Table129[[#This Row],[Formisolering '[mm']]]&amp;Table129[[#This Row],[OK&lt;17 Timamr]]&amp;Table129[[#This Row],[Kommentar]]</f>
        <v>-------Fryser innan täck</v>
      </c>
    </row>
  </sheetData>
  <phoneticPr fontId="3" type="noConversion"/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DCA2DD25-19DB-44C5-9DEE-B3ECBE73CBBF}">
          <x14:formula1>
            <xm:f>Förutsättningar!$H$2:$H$3</xm:f>
          </x14:formula1>
          <xm:sqref>L2:L46</xm:sqref>
        </x14:dataValidation>
        <x14:dataValidation type="list" allowBlank="1" showInputMessage="1" showErrorMessage="1" xr:uid="{B49BBB68-9522-4E96-9853-A7DF42293E5B}">
          <x14:formula1>
            <xm:f>Förutsättningar!$I$2</xm:f>
          </x14:formula1>
          <xm:sqref>K2:K46</xm:sqref>
        </x14:dataValidation>
        <x14:dataValidation type="list" allowBlank="1" showInputMessage="1" showErrorMessage="1" xr:uid="{C433D95B-03DD-45BF-9C1B-A3C03C562C81}">
          <x14:formula1>
            <xm:f>Förutsättningar!$G$2:$G$8</xm:f>
          </x14:formula1>
          <xm:sqref>G2:G46</xm:sqref>
        </x14:dataValidation>
        <x14:dataValidation type="list" allowBlank="1" showInputMessage="1" showErrorMessage="1" xr:uid="{05959F5B-1AE2-4C34-8EE6-B51CD246C04F}">
          <x14:formula1>
            <xm:f>Förutsättningar!$E$2:$E$5</xm:f>
          </x14:formula1>
          <xm:sqref>E2:E46</xm:sqref>
        </x14:dataValidation>
        <x14:dataValidation type="list" allowBlank="1" showInputMessage="1" showErrorMessage="1" xr:uid="{8EB3BF4D-B9E2-41D1-8500-32CCD323D2B6}">
          <x14:formula1>
            <xm:f>Förutsättningar!$C$2:$C$6</xm:f>
          </x14:formula1>
          <xm:sqref>C2:C46</xm:sqref>
        </x14:dataValidation>
        <x14:dataValidation type="list" allowBlank="1" showInputMessage="1" showErrorMessage="1" xr:uid="{785267A5-76B6-4F2A-946B-2D9369B7BD6A}">
          <x14:formula1>
            <xm:f>Förutsättningar!$B$2:$B$6</xm:f>
          </x14:formula1>
          <xm:sqref>B2:B46</xm:sqref>
        </x14:dataValidation>
        <x14:dataValidation type="list" allowBlank="1" showInputMessage="1" showErrorMessage="1" xr:uid="{FE7AA64F-2442-46F0-BAB9-EB0B2A67DAE4}">
          <x14:formula1>
            <xm:f>Förutsättningar!$A$2:$A$7</xm:f>
          </x14:formula1>
          <xm:sqref>A2:A46</xm:sqref>
        </x14:dataValidation>
        <x14:dataValidation type="list" allowBlank="1" showInputMessage="1" showErrorMessage="1" xr:uid="{136253F7-19CE-48B9-A77C-573D2154533F}">
          <x14:formula1>
            <xm:f>Förutsättningar!$F$2:$F$7</xm:f>
          </x14:formula1>
          <xm:sqref>F2:F46</xm:sqref>
        </x14:dataValidation>
        <x14:dataValidation type="list" allowBlank="1" showInputMessage="1" showErrorMessage="1" xr:uid="{54591BB5-EF0E-40E0-8FBD-E0EE069BC9AA}">
          <x14:formula1>
            <xm:f>Förutsättningar!$D$2:$D$3</xm:f>
          </x14:formula1>
          <xm:sqref>D2:D46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3468B-9A33-40A2-89C0-19A38CB2E8FA}">
  <sheetPr codeName="Sheet12"/>
  <dimension ref="A1:T46"/>
  <sheetViews>
    <sheetView zoomScaleNormal="100" workbookViewId="0">
      <selection activeCell="M4" sqref="M4"/>
    </sheetView>
  </sheetViews>
  <sheetFormatPr defaultRowHeight="15" x14ac:dyDescent="0.25"/>
  <cols>
    <col min="1" max="1" width="14" style="77" bestFit="1" customWidth="1"/>
    <col min="2" max="2" width="17.42578125" style="2" bestFit="1" customWidth="1"/>
    <col min="3" max="3" width="18" style="2" bestFit="1" customWidth="1"/>
    <col min="4" max="4" width="13.85546875" style="2" bestFit="1" customWidth="1"/>
    <col min="5" max="5" width="19.5703125" style="2" bestFit="1" customWidth="1"/>
    <col min="6" max="6" width="16.5703125" bestFit="1" customWidth="1"/>
    <col min="7" max="7" width="25.5703125" bestFit="1" customWidth="1"/>
    <col min="8" max="8" width="13.7109375" bestFit="1" customWidth="1"/>
    <col min="9" max="9" width="7.28515625" bestFit="1" customWidth="1"/>
    <col min="10" max="10" width="24.140625" bestFit="1" customWidth="1"/>
    <col min="11" max="11" width="16.140625" bestFit="1" customWidth="1"/>
    <col min="12" max="12" width="13" bestFit="1" customWidth="1"/>
    <col min="13" max="13" width="47.7109375" bestFit="1" customWidth="1"/>
    <col min="14" max="17" width="11.28515625" customWidth="1"/>
    <col min="18" max="18" width="12.28515625" customWidth="1"/>
  </cols>
  <sheetData>
    <row r="1" spans="1:20" ht="30.75" thickBot="1" x14ac:dyDescent="0.3">
      <c r="A1" s="105" t="s">
        <v>106</v>
      </c>
      <c r="B1" s="80" t="s">
        <v>0</v>
      </c>
      <c r="C1" s="80" t="s">
        <v>1</v>
      </c>
      <c r="D1" s="80" t="s">
        <v>96</v>
      </c>
      <c r="E1" s="80" t="s">
        <v>97</v>
      </c>
      <c r="F1" s="80" t="s">
        <v>3</v>
      </c>
      <c r="G1" s="80" t="s">
        <v>98</v>
      </c>
      <c r="H1" s="11" t="s">
        <v>4</v>
      </c>
      <c r="I1" s="11" t="s">
        <v>5</v>
      </c>
      <c r="J1" s="106" t="s">
        <v>94</v>
      </c>
      <c r="K1" s="11" t="s">
        <v>95</v>
      </c>
      <c r="L1" s="11" t="s">
        <v>6</v>
      </c>
      <c r="M1" s="12" t="s">
        <v>7</v>
      </c>
      <c r="N1" s="1"/>
      <c r="O1" s="1"/>
      <c r="P1" s="1"/>
      <c r="Q1" s="1"/>
      <c r="R1" s="1"/>
      <c r="S1" s="1"/>
      <c r="T1" s="1"/>
    </row>
    <row r="2" spans="1:20" x14ac:dyDescent="0.25">
      <c r="A2" s="3">
        <v>0.3</v>
      </c>
      <c r="B2" s="107">
        <v>15</v>
      </c>
      <c r="C2" s="107">
        <v>20</v>
      </c>
      <c r="D2" s="108" t="s">
        <v>9</v>
      </c>
      <c r="E2" s="108" t="s">
        <v>9</v>
      </c>
      <c r="F2" s="107" t="s">
        <v>9</v>
      </c>
      <c r="G2" s="109" t="s">
        <v>123</v>
      </c>
      <c r="H2" s="3">
        <v>20</v>
      </c>
      <c r="I2" s="5">
        <v>0</v>
      </c>
      <c r="J2">
        <v>16.899999999999999</v>
      </c>
      <c r="K2" s="4" t="s">
        <v>101</v>
      </c>
      <c r="L2" s="5"/>
      <c r="M2" s="13" t="str">
        <f>Table130[[#This Row],[Slaggmängd]]&amp;Table130[[#This Row],[Gjuttemperatur]]&amp;Table130[[#This Row],[Temperatur motgjutningsyta]]&amp;Table130[[#This Row],[Värmekabel]]&amp;Table130[[#This Row],[Antal värmekablar]]&amp;Table130[[#This Row],[Täckning '[mm']]]&amp;Table130[[#This Row],[Formisolering '[mm']]]&amp;Table130[[#This Row],[OK&lt;17 Timamr]]&amp;Table130[[#This Row],[Kommentar]]</f>
        <v>0,31520---Plywood 15, oisoleratOK17</v>
      </c>
      <c r="O2" s="1"/>
    </row>
    <row r="3" spans="1:20" x14ac:dyDescent="0.25">
      <c r="A3" s="6">
        <v>0.3</v>
      </c>
      <c r="B3" s="110">
        <v>15</v>
      </c>
      <c r="C3" s="110">
        <v>20</v>
      </c>
      <c r="D3" s="110" t="s">
        <v>9</v>
      </c>
      <c r="E3" s="110" t="s">
        <v>9</v>
      </c>
      <c r="F3" s="110" t="s">
        <v>9</v>
      </c>
      <c r="G3" s="111" t="s">
        <v>123</v>
      </c>
      <c r="H3" s="6">
        <v>20</v>
      </c>
      <c r="I3" s="7">
        <v>2</v>
      </c>
      <c r="J3">
        <v>16.8</v>
      </c>
      <c r="K3" t="s">
        <v>101</v>
      </c>
      <c r="L3" s="7"/>
      <c r="M3" s="14" t="str">
        <f>Table130[[#This Row],[Slaggmängd]]&amp;Table130[[#This Row],[Gjuttemperatur]]&amp;Table130[[#This Row],[Temperatur motgjutningsyta]]&amp;Table130[[#This Row],[Värmekabel]]&amp;Table130[[#This Row],[Antal värmekablar]]&amp;Table130[[#This Row],[Täckning '[mm']]]&amp;Table130[[#This Row],[Formisolering '[mm']]]&amp;Table130[[#This Row],[OK&lt;17 Timamr]]&amp;Table130[[#This Row],[Kommentar]]</f>
        <v>0,31520---Plywood 15, oisoleratOK17</v>
      </c>
    </row>
    <row r="4" spans="1:20" x14ac:dyDescent="0.25">
      <c r="A4" s="6">
        <v>0.3</v>
      </c>
      <c r="B4" s="110">
        <v>15</v>
      </c>
      <c r="C4" s="110">
        <v>20</v>
      </c>
      <c r="D4" s="110" t="s">
        <v>9</v>
      </c>
      <c r="E4" s="110" t="s">
        <v>9</v>
      </c>
      <c r="F4" s="110" t="s">
        <v>9</v>
      </c>
      <c r="G4" s="111" t="s">
        <v>123</v>
      </c>
      <c r="H4" s="6">
        <v>20</v>
      </c>
      <c r="I4" s="7">
        <v>7</v>
      </c>
      <c r="J4">
        <v>16.8</v>
      </c>
      <c r="K4" t="s">
        <v>101</v>
      </c>
      <c r="L4" s="7"/>
      <c r="M4" s="14" t="str">
        <f>Table130[[#This Row],[Slaggmängd]]&amp;Table130[[#This Row],[Gjuttemperatur]]&amp;Table130[[#This Row],[Temperatur motgjutningsyta]]&amp;Table130[[#This Row],[Värmekabel]]&amp;Table130[[#This Row],[Antal värmekablar]]&amp;Table130[[#This Row],[Täckning '[mm']]]&amp;Table130[[#This Row],[Formisolering '[mm']]]&amp;Table130[[#This Row],[OK&lt;17 Timamr]]&amp;Table130[[#This Row],[Kommentar]]</f>
        <v>0,31520---Plywood 15, oisoleratOK17</v>
      </c>
    </row>
    <row r="5" spans="1:20" x14ac:dyDescent="0.25">
      <c r="A5" s="6">
        <v>0.3</v>
      </c>
      <c r="B5" s="110">
        <v>15</v>
      </c>
      <c r="C5" s="110">
        <v>20</v>
      </c>
      <c r="D5" s="110" t="s">
        <v>9</v>
      </c>
      <c r="E5" s="110" t="s">
        <v>9</v>
      </c>
      <c r="F5" s="110" t="s">
        <v>9</v>
      </c>
      <c r="G5" s="111" t="s">
        <v>123</v>
      </c>
      <c r="H5" s="6">
        <v>20</v>
      </c>
      <c r="I5" s="7">
        <v>12</v>
      </c>
      <c r="J5">
        <v>16.8</v>
      </c>
      <c r="K5" t="s">
        <v>101</v>
      </c>
      <c r="L5" s="7"/>
      <c r="M5" s="14" t="str">
        <f>Table130[[#This Row],[Slaggmängd]]&amp;Table130[[#This Row],[Gjuttemperatur]]&amp;Table130[[#This Row],[Temperatur motgjutningsyta]]&amp;Table130[[#This Row],[Värmekabel]]&amp;Table130[[#This Row],[Antal värmekablar]]&amp;Table130[[#This Row],[Täckning '[mm']]]&amp;Table130[[#This Row],[Formisolering '[mm']]]&amp;Table130[[#This Row],[OK&lt;17 Timamr]]&amp;Table130[[#This Row],[Kommentar]]</f>
        <v>0,31520---Plywood 15, oisoleratOK17</v>
      </c>
    </row>
    <row r="6" spans="1:20" ht="15.75" thickBot="1" x14ac:dyDescent="0.3">
      <c r="A6" s="8">
        <v>0.3</v>
      </c>
      <c r="B6" s="112">
        <v>15</v>
      </c>
      <c r="C6" s="112">
        <v>20</v>
      </c>
      <c r="D6" s="112" t="s">
        <v>9</v>
      </c>
      <c r="E6" s="112" t="s">
        <v>9</v>
      </c>
      <c r="F6" s="112" t="s">
        <v>9</v>
      </c>
      <c r="G6" s="113" t="s">
        <v>123</v>
      </c>
      <c r="H6" s="8">
        <v>20</v>
      </c>
      <c r="I6" s="10">
        <v>20</v>
      </c>
      <c r="J6">
        <v>16.8</v>
      </c>
      <c r="K6" t="s">
        <v>101</v>
      </c>
      <c r="L6" s="10"/>
      <c r="M6" s="15" t="str">
        <f>Table130[[#This Row],[Slaggmängd]]&amp;Table130[[#This Row],[Gjuttemperatur]]&amp;Table130[[#This Row],[Temperatur motgjutningsyta]]&amp;Table130[[#This Row],[Värmekabel]]&amp;Table130[[#This Row],[Antal värmekablar]]&amp;Table130[[#This Row],[Täckning '[mm']]]&amp;Table130[[#This Row],[Formisolering '[mm']]]&amp;Table130[[#This Row],[OK&lt;17 Timamr]]&amp;Table130[[#This Row],[Kommentar]]</f>
        <v>0,31520---Plywood 15, oisoleratOK17</v>
      </c>
    </row>
    <row r="7" spans="1:20" x14ac:dyDescent="0.25">
      <c r="A7" s="6">
        <v>0.2</v>
      </c>
      <c r="B7" s="110">
        <v>15</v>
      </c>
      <c r="C7" s="110">
        <v>15</v>
      </c>
      <c r="D7" s="110" t="s">
        <v>9</v>
      </c>
      <c r="E7" s="110" t="s">
        <v>9</v>
      </c>
      <c r="F7" s="110" t="s">
        <v>9</v>
      </c>
      <c r="G7" s="110" t="s">
        <v>123</v>
      </c>
      <c r="H7" s="3">
        <v>15</v>
      </c>
      <c r="I7" s="5">
        <v>0</v>
      </c>
      <c r="J7" s="3">
        <v>15.8</v>
      </c>
      <c r="K7" s="4" t="s">
        <v>101</v>
      </c>
      <c r="L7" s="5"/>
      <c r="M7" s="13" t="str">
        <f>Table130[[#This Row],[Slaggmängd]]&amp;Table130[[#This Row],[Gjuttemperatur]]&amp;Table130[[#This Row],[Temperatur motgjutningsyta]]&amp;Table130[[#This Row],[Värmekabel]]&amp;Table130[[#This Row],[Antal värmekablar]]&amp;Table130[[#This Row],[Täckning '[mm']]]&amp;Table130[[#This Row],[Formisolering '[mm']]]&amp;Table130[[#This Row],[OK&lt;17 Timamr]]&amp;Table130[[#This Row],[Kommentar]]</f>
        <v>0,21515---Plywood 15, oisoleratOK17</v>
      </c>
    </row>
    <row r="8" spans="1:20" x14ac:dyDescent="0.25">
      <c r="A8" s="6">
        <v>0.2</v>
      </c>
      <c r="B8" s="110">
        <v>15</v>
      </c>
      <c r="C8" s="110">
        <v>15</v>
      </c>
      <c r="D8" s="110" t="s">
        <v>9</v>
      </c>
      <c r="E8" s="110" t="s">
        <v>9</v>
      </c>
      <c r="F8" s="110" t="s">
        <v>9</v>
      </c>
      <c r="G8" s="110" t="s">
        <v>123</v>
      </c>
      <c r="H8" s="6">
        <v>15</v>
      </c>
      <c r="I8" s="7">
        <v>2</v>
      </c>
      <c r="J8" s="6">
        <v>16</v>
      </c>
      <c r="K8" t="s">
        <v>101</v>
      </c>
      <c r="L8" s="7"/>
      <c r="M8" s="14" t="str">
        <f>Table130[[#This Row],[Slaggmängd]]&amp;Table130[[#This Row],[Gjuttemperatur]]&amp;Table130[[#This Row],[Temperatur motgjutningsyta]]&amp;Table130[[#This Row],[Värmekabel]]&amp;Table130[[#This Row],[Antal värmekablar]]&amp;Table130[[#This Row],[Täckning '[mm']]]&amp;Table130[[#This Row],[Formisolering '[mm']]]&amp;Table130[[#This Row],[OK&lt;17 Timamr]]&amp;Table130[[#This Row],[Kommentar]]</f>
        <v>0,21515---Plywood 15, oisoleratOK17</v>
      </c>
    </row>
    <row r="9" spans="1:20" x14ac:dyDescent="0.25">
      <c r="A9" s="6">
        <v>0.2</v>
      </c>
      <c r="B9" s="110">
        <v>15</v>
      </c>
      <c r="C9" s="110">
        <v>15</v>
      </c>
      <c r="D9" s="110" t="s">
        <v>9</v>
      </c>
      <c r="E9" s="110" t="s">
        <v>9</v>
      </c>
      <c r="F9" s="110" t="s">
        <v>9</v>
      </c>
      <c r="G9" s="110" t="s">
        <v>123</v>
      </c>
      <c r="H9" s="6">
        <v>15</v>
      </c>
      <c r="I9" s="7">
        <v>7</v>
      </c>
      <c r="J9" s="6">
        <v>16.2</v>
      </c>
      <c r="K9" t="s">
        <v>101</v>
      </c>
      <c r="L9" s="7"/>
      <c r="M9" s="14" t="str">
        <f>Table130[[#This Row],[Slaggmängd]]&amp;Table130[[#This Row],[Gjuttemperatur]]&amp;Table130[[#This Row],[Temperatur motgjutningsyta]]&amp;Table130[[#This Row],[Värmekabel]]&amp;Table130[[#This Row],[Antal värmekablar]]&amp;Table130[[#This Row],[Täckning '[mm']]]&amp;Table130[[#This Row],[Formisolering '[mm']]]&amp;Table130[[#This Row],[OK&lt;17 Timamr]]&amp;Table130[[#This Row],[Kommentar]]</f>
        <v>0,21515---Plywood 15, oisoleratOK17</v>
      </c>
    </row>
    <row r="10" spans="1:20" x14ac:dyDescent="0.25">
      <c r="A10" s="6">
        <v>0.2</v>
      </c>
      <c r="B10" s="110">
        <v>15</v>
      </c>
      <c r="C10" s="110">
        <v>15</v>
      </c>
      <c r="D10" s="110" t="s">
        <v>9</v>
      </c>
      <c r="E10" s="110" t="s">
        <v>9</v>
      </c>
      <c r="F10" s="110" t="s">
        <v>9</v>
      </c>
      <c r="G10" s="110" t="s">
        <v>123</v>
      </c>
      <c r="H10" s="6">
        <v>15</v>
      </c>
      <c r="I10" s="7">
        <v>12</v>
      </c>
      <c r="J10" s="6">
        <v>16.2</v>
      </c>
      <c r="K10" t="s">
        <v>101</v>
      </c>
      <c r="L10" s="7"/>
      <c r="M10" s="14" t="str">
        <f>Table130[[#This Row],[Slaggmängd]]&amp;Table130[[#This Row],[Gjuttemperatur]]&amp;Table130[[#This Row],[Temperatur motgjutningsyta]]&amp;Table130[[#This Row],[Värmekabel]]&amp;Table130[[#This Row],[Antal värmekablar]]&amp;Table130[[#This Row],[Täckning '[mm']]]&amp;Table130[[#This Row],[Formisolering '[mm']]]&amp;Table130[[#This Row],[OK&lt;17 Timamr]]&amp;Table130[[#This Row],[Kommentar]]</f>
        <v>0,21515---Plywood 15, oisoleratOK17</v>
      </c>
    </row>
    <row r="11" spans="1:20" ht="15.75" thickBot="1" x14ac:dyDescent="0.3">
      <c r="A11" s="6">
        <v>0.2</v>
      </c>
      <c r="B11" s="110">
        <v>15</v>
      </c>
      <c r="C11" s="110">
        <v>15</v>
      </c>
      <c r="D11" s="110" t="s">
        <v>9</v>
      </c>
      <c r="E11" s="110" t="s">
        <v>9</v>
      </c>
      <c r="F11" s="110" t="s">
        <v>10</v>
      </c>
      <c r="G11" s="110" t="s">
        <v>123</v>
      </c>
      <c r="H11" s="8">
        <v>15</v>
      </c>
      <c r="I11" s="10">
        <v>20</v>
      </c>
      <c r="J11" s="8">
        <v>16.3</v>
      </c>
      <c r="K11" s="9" t="s">
        <v>101</v>
      </c>
      <c r="L11" s="10"/>
      <c r="M11" s="15" t="str">
        <f>Table130[[#This Row],[Slaggmängd]]&amp;Table130[[#This Row],[Gjuttemperatur]]&amp;Table130[[#This Row],[Temperatur motgjutningsyta]]&amp;Table130[[#This Row],[Värmekabel]]&amp;Table130[[#This Row],[Antal värmekablar]]&amp;Table130[[#This Row],[Täckning '[mm']]]&amp;Table130[[#This Row],[Formisolering '[mm']]]&amp;Table130[[#This Row],[OK&lt;17 Timamr]]&amp;Table130[[#This Row],[Kommentar]]</f>
        <v>0,21515--PresenningPlywood 15, oisoleratOK17</v>
      </c>
    </row>
    <row r="12" spans="1:20" x14ac:dyDescent="0.25">
      <c r="A12" s="3">
        <v>0.1</v>
      </c>
      <c r="B12" s="107">
        <v>15</v>
      </c>
      <c r="C12" s="107">
        <v>10</v>
      </c>
      <c r="D12" s="107" t="s">
        <v>9</v>
      </c>
      <c r="E12" s="107" t="s">
        <v>9</v>
      </c>
      <c r="F12" s="107" t="s">
        <v>9</v>
      </c>
      <c r="G12" s="114" t="s">
        <v>123</v>
      </c>
      <c r="H12" s="3">
        <v>10</v>
      </c>
      <c r="I12" s="5">
        <v>0</v>
      </c>
      <c r="J12" s="3">
        <v>16.7</v>
      </c>
      <c r="K12" s="4" t="s">
        <v>101</v>
      </c>
      <c r="L12" s="5"/>
      <c r="M12" s="13" t="str">
        <f>Table130[[#This Row],[Slaggmängd]]&amp;Table130[[#This Row],[Gjuttemperatur]]&amp;Table130[[#This Row],[Temperatur motgjutningsyta]]&amp;Table130[[#This Row],[Värmekabel]]&amp;Table130[[#This Row],[Antal värmekablar]]&amp;Table130[[#This Row],[Täckning '[mm']]]&amp;Table130[[#This Row],[Formisolering '[mm']]]&amp;Table130[[#This Row],[OK&lt;17 Timamr]]&amp;Table130[[#This Row],[Kommentar]]</f>
        <v>0,11510---Plywood 15, oisoleratOK17</v>
      </c>
    </row>
    <row r="13" spans="1:20" x14ac:dyDescent="0.25">
      <c r="A13" s="6" t="s">
        <v>48</v>
      </c>
      <c r="B13" s="110">
        <v>15</v>
      </c>
      <c r="C13" s="110">
        <v>10</v>
      </c>
      <c r="D13" s="110" t="s">
        <v>9</v>
      </c>
      <c r="E13" s="110" t="s">
        <v>9</v>
      </c>
      <c r="F13" s="110" t="s">
        <v>9</v>
      </c>
      <c r="G13" s="111" t="s">
        <v>123</v>
      </c>
      <c r="H13" s="6">
        <v>10</v>
      </c>
      <c r="I13" s="7">
        <v>2</v>
      </c>
      <c r="J13" s="6">
        <v>16.100000000000001</v>
      </c>
      <c r="K13" t="s">
        <v>101</v>
      </c>
      <c r="L13" s="7"/>
      <c r="M13" s="14" t="str">
        <f>Table130[[#This Row],[Slaggmängd]]&amp;Table130[[#This Row],[Gjuttemperatur]]&amp;Table130[[#This Row],[Temperatur motgjutningsyta]]&amp;Table130[[#This Row],[Värmekabel]]&amp;Table130[[#This Row],[Antal värmekablar]]&amp;Table130[[#This Row],[Täckning '[mm']]]&amp;Table130[[#This Row],[Formisolering '[mm']]]&amp;Table130[[#This Row],[OK&lt;17 Timamr]]&amp;Table130[[#This Row],[Kommentar]]</f>
        <v>Bas+0%1510---Plywood 15, oisoleratOK17</v>
      </c>
    </row>
    <row r="14" spans="1:20" x14ac:dyDescent="0.25">
      <c r="A14" s="6" t="s">
        <v>48</v>
      </c>
      <c r="B14" s="110">
        <v>15</v>
      </c>
      <c r="C14" s="110">
        <v>10</v>
      </c>
      <c r="D14" s="110" t="s">
        <v>9</v>
      </c>
      <c r="E14" s="110" t="s">
        <v>9</v>
      </c>
      <c r="F14" s="110" t="s">
        <v>10</v>
      </c>
      <c r="G14" s="111" t="s">
        <v>123</v>
      </c>
      <c r="H14" s="6">
        <v>10</v>
      </c>
      <c r="I14" s="7">
        <v>7</v>
      </c>
      <c r="J14" s="6">
        <v>16.3</v>
      </c>
      <c r="K14" t="s">
        <v>101</v>
      </c>
      <c r="L14" s="7"/>
      <c r="M14" s="14" t="str">
        <f>Table130[[#This Row],[Slaggmängd]]&amp;Table130[[#This Row],[Gjuttemperatur]]&amp;Table130[[#This Row],[Temperatur motgjutningsyta]]&amp;Table130[[#This Row],[Värmekabel]]&amp;Table130[[#This Row],[Antal värmekablar]]&amp;Table130[[#This Row],[Täckning '[mm']]]&amp;Table130[[#This Row],[Formisolering '[mm']]]&amp;Table130[[#This Row],[OK&lt;17 Timamr]]&amp;Table130[[#This Row],[Kommentar]]</f>
        <v>Bas+0%1510--PresenningPlywood 15, oisoleratOK17</v>
      </c>
    </row>
    <row r="15" spans="1:20" x14ac:dyDescent="0.25">
      <c r="A15" s="6" t="s">
        <v>48</v>
      </c>
      <c r="B15" s="110">
        <v>15</v>
      </c>
      <c r="C15" s="110">
        <v>10</v>
      </c>
      <c r="D15" s="110" t="s">
        <v>9</v>
      </c>
      <c r="E15" s="110" t="s">
        <v>9</v>
      </c>
      <c r="F15" s="110" t="s">
        <v>10</v>
      </c>
      <c r="G15" s="111" t="s">
        <v>123</v>
      </c>
      <c r="H15" s="6">
        <v>10</v>
      </c>
      <c r="I15" s="7">
        <v>12</v>
      </c>
      <c r="J15" s="6">
        <v>16.5</v>
      </c>
      <c r="K15" t="s">
        <v>101</v>
      </c>
      <c r="L15" s="7"/>
      <c r="M15" s="14" t="str">
        <f>Table130[[#This Row],[Slaggmängd]]&amp;Table130[[#This Row],[Gjuttemperatur]]&amp;Table130[[#This Row],[Temperatur motgjutningsyta]]&amp;Table130[[#This Row],[Värmekabel]]&amp;Table130[[#This Row],[Antal värmekablar]]&amp;Table130[[#This Row],[Täckning '[mm']]]&amp;Table130[[#This Row],[Formisolering '[mm']]]&amp;Table130[[#This Row],[OK&lt;17 Timamr]]&amp;Table130[[#This Row],[Kommentar]]</f>
        <v>Bas+0%1510--PresenningPlywood 15, oisoleratOK17</v>
      </c>
    </row>
    <row r="16" spans="1:20" ht="15.75" thickBot="1" x14ac:dyDescent="0.3">
      <c r="A16" s="8" t="s">
        <v>48</v>
      </c>
      <c r="B16" s="112">
        <v>15</v>
      </c>
      <c r="C16" s="112">
        <v>10</v>
      </c>
      <c r="D16" s="112" t="s">
        <v>9</v>
      </c>
      <c r="E16" s="112" t="s">
        <v>9</v>
      </c>
      <c r="F16" s="112" t="s">
        <v>10</v>
      </c>
      <c r="G16" s="113" t="s">
        <v>123</v>
      </c>
      <c r="H16" s="8">
        <v>10</v>
      </c>
      <c r="I16" s="10">
        <v>20</v>
      </c>
      <c r="J16" s="8">
        <v>16.5</v>
      </c>
      <c r="K16" s="9" t="s">
        <v>101</v>
      </c>
      <c r="L16" s="10"/>
      <c r="M16" s="15" t="str">
        <f>Table130[[#This Row],[Slaggmängd]]&amp;Table130[[#This Row],[Gjuttemperatur]]&amp;Table130[[#This Row],[Temperatur motgjutningsyta]]&amp;Table130[[#This Row],[Värmekabel]]&amp;Table130[[#This Row],[Antal värmekablar]]&amp;Table130[[#This Row],[Täckning '[mm']]]&amp;Table130[[#This Row],[Formisolering '[mm']]]&amp;Table130[[#This Row],[OK&lt;17 Timamr]]&amp;Table130[[#This Row],[Kommentar]]</f>
        <v>Bas+0%1510--PresenningPlywood 15, oisoleratOK17</v>
      </c>
    </row>
    <row r="17" spans="1:13" x14ac:dyDescent="0.25">
      <c r="A17" s="6">
        <v>0.3</v>
      </c>
      <c r="B17" s="110">
        <v>20</v>
      </c>
      <c r="C17" s="110">
        <v>5</v>
      </c>
      <c r="D17" s="110">
        <v>40</v>
      </c>
      <c r="E17" s="110">
        <v>2</v>
      </c>
      <c r="F17" s="110" t="s">
        <v>10</v>
      </c>
      <c r="G17" s="110" t="s">
        <v>124</v>
      </c>
      <c r="H17" s="3">
        <v>5</v>
      </c>
      <c r="I17" s="5">
        <v>0</v>
      </c>
      <c r="J17" s="4">
        <v>16.600000000000001</v>
      </c>
      <c r="K17" s="4" t="s">
        <v>101</v>
      </c>
      <c r="L17" s="5"/>
      <c r="M17" s="13" t="str">
        <f>Table130[[#This Row],[Slaggmängd]]&amp;Table130[[#This Row],[Gjuttemperatur]]&amp;Table130[[#This Row],[Temperatur motgjutningsyta]]&amp;Table130[[#This Row],[Värmekabel]]&amp;Table130[[#This Row],[Antal värmekablar]]&amp;Table130[[#This Row],[Täckning '[mm']]]&amp;Table130[[#This Row],[Formisolering '[mm']]]&amp;Table130[[#This Row],[OK&lt;17 Timamr]]&amp;Table130[[#This Row],[Kommentar]]</f>
        <v>0,3205402PresenningPlywood 15 cellplast 30OK17</v>
      </c>
    </row>
    <row r="18" spans="1:13" x14ac:dyDescent="0.25">
      <c r="A18" s="6">
        <v>0.3</v>
      </c>
      <c r="B18" s="110">
        <v>20</v>
      </c>
      <c r="C18" s="110">
        <v>5</v>
      </c>
      <c r="D18" s="110">
        <v>40</v>
      </c>
      <c r="E18" s="110">
        <v>2</v>
      </c>
      <c r="F18" s="110">
        <v>10</v>
      </c>
      <c r="G18" s="110" t="s">
        <v>125</v>
      </c>
      <c r="H18" s="6">
        <v>5</v>
      </c>
      <c r="I18" s="7">
        <v>2</v>
      </c>
      <c r="J18">
        <v>16.7</v>
      </c>
      <c r="K18" t="s">
        <v>101</v>
      </c>
      <c r="L18" s="7"/>
      <c r="M18" s="14" t="str">
        <f>Table130[[#This Row],[Slaggmängd]]&amp;Table130[[#This Row],[Gjuttemperatur]]&amp;Table130[[#This Row],[Temperatur motgjutningsyta]]&amp;Table130[[#This Row],[Värmekabel]]&amp;Table130[[#This Row],[Antal värmekablar]]&amp;Table130[[#This Row],[Täckning '[mm']]]&amp;Table130[[#This Row],[Formisolering '[mm']]]&amp;Table130[[#This Row],[OK&lt;17 Timamr]]&amp;Table130[[#This Row],[Kommentar]]</f>
        <v>0,320540210Plywood 12-19  cellplast 50OK17</v>
      </c>
    </row>
    <row r="19" spans="1:13" x14ac:dyDescent="0.25">
      <c r="A19" s="6">
        <v>0.3</v>
      </c>
      <c r="B19" s="110">
        <v>20</v>
      </c>
      <c r="C19" s="110">
        <v>5</v>
      </c>
      <c r="D19" s="110">
        <v>40</v>
      </c>
      <c r="E19" s="110">
        <v>2</v>
      </c>
      <c r="F19" s="110">
        <v>10</v>
      </c>
      <c r="G19" s="110" t="s">
        <v>127</v>
      </c>
      <c r="H19" s="6">
        <v>5</v>
      </c>
      <c r="I19" s="7">
        <v>7</v>
      </c>
      <c r="J19">
        <v>17</v>
      </c>
      <c r="K19" t="s">
        <v>101</v>
      </c>
      <c r="L19" s="7"/>
      <c r="M19" s="14" t="str">
        <f>Table130[[#This Row],[Slaggmängd]]&amp;Table130[[#This Row],[Gjuttemperatur]]&amp;Table130[[#This Row],[Temperatur motgjutningsyta]]&amp;Table130[[#This Row],[Värmekabel]]&amp;Table130[[#This Row],[Antal värmekablar]]&amp;Table130[[#This Row],[Täckning '[mm']]]&amp;Table130[[#This Row],[Formisolering '[mm']]]&amp;Table130[[#This Row],[OK&lt;17 Timamr]]&amp;Table130[[#This Row],[Kommentar]]</f>
        <v>0,320540210Plywood 12-19 cellplast 100OK17</v>
      </c>
    </row>
    <row r="20" spans="1:13" x14ac:dyDescent="0.25">
      <c r="A20" s="6">
        <v>0.2</v>
      </c>
      <c r="B20" s="110">
        <v>20</v>
      </c>
      <c r="C20" s="110">
        <v>5</v>
      </c>
      <c r="D20" s="110">
        <v>40</v>
      </c>
      <c r="E20" s="110">
        <v>1</v>
      </c>
      <c r="F20" s="110">
        <v>10</v>
      </c>
      <c r="G20" s="110" t="s">
        <v>124</v>
      </c>
      <c r="H20" s="6">
        <v>5</v>
      </c>
      <c r="I20" s="7">
        <v>12</v>
      </c>
      <c r="J20">
        <v>15.8</v>
      </c>
      <c r="K20" t="s">
        <v>101</v>
      </c>
      <c r="L20" s="7"/>
      <c r="M20" s="14" t="str">
        <f>Table130[[#This Row],[Slaggmängd]]&amp;Table130[[#This Row],[Gjuttemperatur]]&amp;Table130[[#This Row],[Temperatur motgjutningsyta]]&amp;Table130[[#This Row],[Värmekabel]]&amp;Table130[[#This Row],[Antal värmekablar]]&amp;Table130[[#This Row],[Täckning '[mm']]]&amp;Table130[[#This Row],[Formisolering '[mm']]]&amp;Table130[[#This Row],[OK&lt;17 Timamr]]&amp;Table130[[#This Row],[Kommentar]]</f>
        <v>0,220540110Plywood 15 cellplast 30OK17</v>
      </c>
    </row>
    <row r="21" spans="1:13" ht="15.75" thickBot="1" x14ac:dyDescent="0.3">
      <c r="A21" s="6">
        <v>0.2</v>
      </c>
      <c r="B21" s="110">
        <v>20</v>
      </c>
      <c r="C21" s="110">
        <v>5</v>
      </c>
      <c r="D21" s="110">
        <v>40</v>
      </c>
      <c r="E21" s="110">
        <v>1</v>
      </c>
      <c r="F21" s="110">
        <v>10</v>
      </c>
      <c r="G21" s="110" t="s">
        <v>124</v>
      </c>
      <c r="H21" s="8">
        <v>5</v>
      </c>
      <c r="I21" s="10">
        <v>20</v>
      </c>
      <c r="J21" s="9">
        <v>15.9</v>
      </c>
      <c r="K21" s="9" t="s">
        <v>101</v>
      </c>
      <c r="L21" s="10"/>
      <c r="M21" s="15" t="str">
        <f>Table130[[#This Row],[Slaggmängd]]&amp;Table130[[#This Row],[Gjuttemperatur]]&amp;Table130[[#This Row],[Temperatur motgjutningsyta]]&amp;Table130[[#This Row],[Värmekabel]]&amp;Table130[[#This Row],[Antal värmekablar]]&amp;Table130[[#This Row],[Täckning '[mm']]]&amp;Table130[[#This Row],[Formisolering '[mm']]]&amp;Table130[[#This Row],[OK&lt;17 Timamr]]&amp;Table130[[#This Row],[Kommentar]]</f>
        <v>0,220540110Plywood 15 cellplast 30OK17</v>
      </c>
    </row>
    <row r="22" spans="1:13" x14ac:dyDescent="0.25">
      <c r="A22" s="3">
        <v>0.2</v>
      </c>
      <c r="B22" s="107">
        <v>20</v>
      </c>
      <c r="C22" s="107">
        <v>5</v>
      </c>
      <c r="D22" s="107">
        <v>40</v>
      </c>
      <c r="E22" s="107">
        <v>1</v>
      </c>
      <c r="F22" s="107" t="s">
        <v>9</v>
      </c>
      <c r="G22" s="114" t="s">
        <v>124</v>
      </c>
      <c r="H22" s="3">
        <v>0</v>
      </c>
      <c r="I22" s="5">
        <v>0</v>
      </c>
      <c r="J22" s="4">
        <v>15.6</v>
      </c>
      <c r="K22" s="4" t="s">
        <v>101</v>
      </c>
      <c r="L22" s="5"/>
      <c r="M22" s="13" t="str">
        <f>Table130[[#This Row],[Slaggmängd]]&amp;Table130[[#This Row],[Gjuttemperatur]]&amp;Table130[[#This Row],[Temperatur motgjutningsyta]]&amp;Table130[[#This Row],[Värmekabel]]&amp;Table130[[#This Row],[Antal värmekablar]]&amp;Table130[[#This Row],[Täckning '[mm']]]&amp;Table130[[#This Row],[Formisolering '[mm']]]&amp;Table130[[#This Row],[OK&lt;17 Timamr]]&amp;Table130[[#This Row],[Kommentar]]</f>
        <v>0,2205401-Plywood 15 cellplast 30OK17</v>
      </c>
    </row>
    <row r="23" spans="1:13" x14ac:dyDescent="0.25">
      <c r="A23" s="6">
        <v>0.2</v>
      </c>
      <c r="B23" s="110">
        <v>20</v>
      </c>
      <c r="C23" s="110">
        <v>5</v>
      </c>
      <c r="D23" s="110">
        <v>40</v>
      </c>
      <c r="E23" s="110">
        <v>1</v>
      </c>
      <c r="F23" s="110">
        <v>10</v>
      </c>
      <c r="G23" s="111" t="s">
        <v>124</v>
      </c>
      <c r="H23" s="6">
        <v>0</v>
      </c>
      <c r="I23" s="7">
        <v>2</v>
      </c>
      <c r="J23">
        <v>15.9</v>
      </c>
      <c r="K23" t="s">
        <v>101</v>
      </c>
      <c r="L23" s="7"/>
      <c r="M23" s="14" t="str">
        <f>Table130[[#This Row],[Slaggmängd]]&amp;Table130[[#This Row],[Gjuttemperatur]]&amp;Table130[[#This Row],[Temperatur motgjutningsyta]]&amp;Table130[[#This Row],[Värmekabel]]&amp;Table130[[#This Row],[Antal värmekablar]]&amp;Table130[[#This Row],[Täckning '[mm']]]&amp;Table130[[#This Row],[Formisolering '[mm']]]&amp;Table130[[#This Row],[OK&lt;17 Timamr]]&amp;Table130[[#This Row],[Kommentar]]</f>
        <v>0,220540110Plywood 15 cellplast 30OK17</v>
      </c>
    </row>
    <row r="24" spans="1:13" x14ac:dyDescent="0.25">
      <c r="A24" s="6">
        <v>0.2</v>
      </c>
      <c r="B24" s="110">
        <v>20</v>
      </c>
      <c r="C24" s="110">
        <v>5</v>
      </c>
      <c r="D24" s="110">
        <v>40</v>
      </c>
      <c r="E24" s="110">
        <v>1</v>
      </c>
      <c r="F24" s="110">
        <v>10</v>
      </c>
      <c r="G24" s="111" t="s">
        <v>124</v>
      </c>
      <c r="H24" s="6">
        <v>0</v>
      </c>
      <c r="I24" s="7">
        <v>7</v>
      </c>
      <c r="J24">
        <v>16.899999999999999</v>
      </c>
      <c r="K24" t="s">
        <v>101</v>
      </c>
      <c r="L24" s="7"/>
      <c r="M24" s="14" t="str">
        <f>Table130[[#This Row],[Slaggmängd]]&amp;Table130[[#This Row],[Gjuttemperatur]]&amp;Table130[[#This Row],[Temperatur motgjutningsyta]]&amp;Table130[[#This Row],[Värmekabel]]&amp;Table130[[#This Row],[Antal värmekablar]]&amp;Table130[[#This Row],[Täckning '[mm']]]&amp;Table130[[#This Row],[Formisolering '[mm']]]&amp;Table130[[#This Row],[OK&lt;17 Timamr]]&amp;Table130[[#This Row],[Kommentar]]</f>
        <v>0,220540110Plywood 15 cellplast 30OK17</v>
      </c>
    </row>
    <row r="25" spans="1:13" x14ac:dyDescent="0.25">
      <c r="A25" s="6">
        <v>0.2</v>
      </c>
      <c r="B25" s="110">
        <v>20</v>
      </c>
      <c r="C25" s="110">
        <v>5</v>
      </c>
      <c r="D25" s="110">
        <v>40</v>
      </c>
      <c r="E25" s="110">
        <v>1</v>
      </c>
      <c r="F25" s="110">
        <v>10</v>
      </c>
      <c r="G25" s="111" t="s">
        <v>125</v>
      </c>
      <c r="H25" s="6">
        <v>0</v>
      </c>
      <c r="I25" s="7">
        <v>12</v>
      </c>
      <c r="J25">
        <v>16.600000000000001</v>
      </c>
      <c r="K25" t="s">
        <v>101</v>
      </c>
      <c r="L25" s="7"/>
      <c r="M25" s="14" t="str">
        <f>Table130[[#This Row],[Slaggmängd]]&amp;Table130[[#This Row],[Gjuttemperatur]]&amp;Table130[[#This Row],[Temperatur motgjutningsyta]]&amp;Table130[[#This Row],[Värmekabel]]&amp;Table130[[#This Row],[Antal värmekablar]]&amp;Table130[[#This Row],[Täckning '[mm']]]&amp;Table130[[#This Row],[Formisolering '[mm']]]&amp;Table130[[#This Row],[OK&lt;17 Timamr]]&amp;Table130[[#This Row],[Kommentar]]</f>
        <v>0,220540110Plywood 12-19  cellplast 50OK17</v>
      </c>
    </row>
    <row r="26" spans="1:13" ht="15.75" thickBot="1" x14ac:dyDescent="0.3">
      <c r="A26" s="8">
        <v>0.2</v>
      </c>
      <c r="B26" s="112">
        <v>20</v>
      </c>
      <c r="C26" s="112">
        <v>5</v>
      </c>
      <c r="D26" s="112">
        <v>40</v>
      </c>
      <c r="E26" s="112">
        <v>1</v>
      </c>
      <c r="F26" s="112">
        <v>10</v>
      </c>
      <c r="G26" s="113" t="s">
        <v>125</v>
      </c>
      <c r="H26" s="8">
        <v>0</v>
      </c>
      <c r="I26" s="10">
        <v>20</v>
      </c>
      <c r="J26" s="9">
        <v>17</v>
      </c>
      <c r="K26" s="9" t="s">
        <v>101</v>
      </c>
      <c r="L26" s="10"/>
      <c r="M26" s="15" t="str">
        <f>Table130[[#This Row],[Slaggmängd]]&amp;Table130[[#This Row],[Gjuttemperatur]]&amp;Table130[[#This Row],[Temperatur motgjutningsyta]]&amp;Table130[[#This Row],[Värmekabel]]&amp;Table130[[#This Row],[Antal värmekablar]]&amp;Table130[[#This Row],[Täckning '[mm']]]&amp;Table130[[#This Row],[Formisolering '[mm']]]&amp;Table130[[#This Row],[OK&lt;17 Timamr]]&amp;Table130[[#This Row],[Kommentar]]</f>
        <v>0,220540110Plywood 12-19  cellplast 50OK17</v>
      </c>
    </row>
    <row r="27" spans="1:13" x14ac:dyDescent="0.25">
      <c r="A27" s="3">
        <v>0.2</v>
      </c>
      <c r="B27" s="107">
        <v>20</v>
      </c>
      <c r="C27" s="107">
        <v>5</v>
      </c>
      <c r="D27" s="107">
        <v>40</v>
      </c>
      <c r="E27" s="107">
        <v>1</v>
      </c>
      <c r="F27" s="107">
        <v>10</v>
      </c>
      <c r="G27" s="114" t="s">
        <v>124</v>
      </c>
      <c r="H27" s="3">
        <v>-5</v>
      </c>
      <c r="I27" s="5">
        <v>0</v>
      </c>
      <c r="J27" s="4">
        <v>16.2</v>
      </c>
      <c r="K27" s="4" t="s">
        <v>101</v>
      </c>
      <c r="L27" s="5"/>
      <c r="M27" s="13" t="str">
        <f>Table130[[#This Row],[Slaggmängd]]&amp;Table130[[#This Row],[Gjuttemperatur]]&amp;Table130[[#This Row],[Temperatur motgjutningsyta]]&amp;Table130[[#This Row],[Värmekabel]]&amp;Table130[[#This Row],[Antal värmekablar]]&amp;Table130[[#This Row],[Täckning '[mm']]]&amp;Table130[[#This Row],[Formisolering '[mm']]]&amp;Table130[[#This Row],[OK&lt;17 Timamr]]&amp;Table130[[#This Row],[Kommentar]]</f>
        <v>0,220540110Plywood 15 cellplast 30OK17</v>
      </c>
    </row>
    <row r="28" spans="1:13" x14ac:dyDescent="0.25">
      <c r="A28" s="6">
        <v>0.2</v>
      </c>
      <c r="B28" s="110">
        <v>20</v>
      </c>
      <c r="C28" s="110">
        <v>5</v>
      </c>
      <c r="D28" s="110">
        <v>40</v>
      </c>
      <c r="E28" s="110">
        <v>1</v>
      </c>
      <c r="F28" s="110">
        <v>10</v>
      </c>
      <c r="G28" s="111" t="s">
        <v>125</v>
      </c>
      <c r="H28" s="6">
        <v>-5</v>
      </c>
      <c r="I28" s="7">
        <v>2</v>
      </c>
      <c r="J28">
        <v>16.8</v>
      </c>
      <c r="K28" t="s">
        <v>101</v>
      </c>
      <c r="L28" s="7"/>
      <c r="M28" s="14" t="str">
        <f>Table130[[#This Row],[Slaggmängd]]&amp;Table130[[#This Row],[Gjuttemperatur]]&amp;Table130[[#This Row],[Temperatur motgjutningsyta]]&amp;Table130[[#This Row],[Värmekabel]]&amp;Table130[[#This Row],[Antal värmekablar]]&amp;Table130[[#This Row],[Täckning '[mm']]]&amp;Table130[[#This Row],[Formisolering '[mm']]]&amp;Table130[[#This Row],[OK&lt;17 Timamr]]&amp;Table130[[#This Row],[Kommentar]]</f>
        <v>0,220540110Plywood 12-19  cellplast 50OK17</v>
      </c>
    </row>
    <row r="29" spans="1:13" x14ac:dyDescent="0.25">
      <c r="A29" s="6">
        <v>0.2</v>
      </c>
      <c r="B29" s="110">
        <v>20</v>
      </c>
      <c r="C29" s="110">
        <v>5</v>
      </c>
      <c r="D29" s="110">
        <v>40</v>
      </c>
      <c r="E29" s="110">
        <v>1</v>
      </c>
      <c r="F29" s="110">
        <v>10</v>
      </c>
      <c r="G29" s="111" t="s">
        <v>128</v>
      </c>
      <c r="H29" s="6">
        <v>-5</v>
      </c>
      <c r="I29" s="7">
        <v>7</v>
      </c>
      <c r="J29">
        <v>17</v>
      </c>
      <c r="K29" t="s">
        <v>101</v>
      </c>
      <c r="L29" s="7"/>
      <c r="M29" s="14" t="str">
        <f>Table130[[#This Row],[Slaggmängd]]&amp;Table130[[#This Row],[Gjuttemperatur]]&amp;Table130[[#This Row],[Temperatur motgjutningsyta]]&amp;Table130[[#This Row],[Värmekabel]]&amp;Table130[[#This Row],[Antal värmekablar]]&amp;Table130[[#This Row],[Täckning '[mm']]]&amp;Table130[[#This Row],[Formisolering '[mm']]]&amp;Table130[[#This Row],[OK&lt;17 Timamr]]&amp;Table130[[#This Row],[Kommentar]]</f>
        <v>0,220540110Plywood 12-19 cellplast 120OK17</v>
      </c>
    </row>
    <row r="30" spans="1:13" x14ac:dyDescent="0.25">
      <c r="A30" s="6">
        <v>0.2</v>
      </c>
      <c r="B30" s="110">
        <v>20</v>
      </c>
      <c r="C30" s="110">
        <v>5</v>
      </c>
      <c r="D30" s="110">
        <v>40</v>
      </c>
      <c r="E30" s="110">
        <v>2</v>
      </c>
      <c r="F30" s="110">
        <v>10</v>
      </c>
      <c r="G30" s="111" t="s">
        <v>126</v>
      </c>
      <c r="H30" s="6">
        <v>-5</v>
      </c>
      <c r="I30" s="7">
        <v>12</v>
      </c>
      <c r="J30">
        <v>16.899999999999999</v>
      </c>
      <c r="K30" t="s">
        <v>101</v>
      </c>
      <c r="L30" s="7"/>
      <c r="M30" s="14" t="str">
        <f>Table130[[#This Row],[Slaggmängd]]&amp;Table130[[#This Row],[Gjuttemperatur]]&amp;Table130[[#This Row],[Temperatur motgjutningsyta]]&amp;Table130[[#This Row],[Värmekabel]]&amp;Table130[[#This Row],[Antal värmekablar]]&amp;Table130[[#This Row],[Täckning '[mm']]]&amp;Table130[[#This Row],[Formisolering '[mm']]]&amp;Table130[[#This Row],[OK&lt;17 Timamr]]&amp;Table130[[#This Row],[Kommentar]]</f>
        <v>0,220540210Plywood 12-19 cellplast 70OK17</v>
      </c>
    </row>
    <row r="31" spans="1:13" ht="15.75" thickBot="1" x14ac:dyDescent="0.3">
      <c r="A31" s="8" t="s">
        <v>9</v>
      </c>
      <c r="B31" s="112" t="s">
        <v>9</v>
      </c>
      <c r="C31" s="112" t="s">
        <v>9</v>
      </c>
      <c r="D31" s="112" t="s">
        <v>9</v>
      </c>
      <c r="E31" s="112" t="s">
        <v>9</v>
      </c>
      <c r="F31" s="112" t="s">
        <v>9</v>
      </c>
      <c r="G31" s="113" t="s">
        <v>9</v>
      </c>
      <c r="H31" s="8">
        <v>-5</v>
      </c>
      <c r="I31" s="10">
        <v>20</v>
      </c>
      <c r="J31" s="9"/>
      <c r="K31" s="9"/>
      <c r="L31" s="10" t="s">
        <v>100</v>
      </c>
      <c r="M31" s="15" t="str">
        <f>Table130[[#This Row],[Slaggmängd]]&amp;Table130[[#This Row],[Gjuttemperatur]]&amp;Table130[[#This Row],[Temperatur motgjutningsyta]]&amp;Table130[[#This Row],[Värmekabel]]&amp;Table130[[#This Row],[Antal värmekablar]]&amp;Table130[[#This Row],[Täckning '[mm']]]&amp;Table130[[#This Row],[Formisolering '[mm']]]&amp;Table130[[#This Row],[OK&lt;17 Timamr]]&amp;Table130[[#This Row],[Kommentar]]</f>
        <v>-------Fryser innan täck</v>
      </c>
    </row>
    <row r="32" spans="1:13" x14ac:dyDescent="0.25">
      <c r="A32" s="3">
        <v>0.2</v>
      </c>
      <c r="B32" s="107">
        <v>20</v>
      </c>
      <c r="C32" s="107">
        <v>5</v>
      </c>
      <c r="D32" s="107">
        <v>40</v>
      </c>
      <c r="E32" s="107">
        <v>1</v>
      </c>
      <c r="F32" s="107">
        <v>10</v>
      </c>
      <c r="G32" s="114" t="s">
        <v>125</v>
      </c>
      <c r="H32" s="3">
        <v>-10</v>
      </c>
      <c r="I32" s="5">
        <v>0</v>
      </c>
      <c r="J32" s="4">
        <v>16.399999999999999</v>
      </c>
      <c r="K32" s="4" t="s">
        <v>101</v>
      </c>
      <c r="L32" s="5"/>
      <c r="M32" s="13" t="str">
        <f>Table130[[#This Row],[Slaggmängd]]&amp;Table130[[#This Row],[Gjuttemperatur]]&amp;Table130[[#This Row],[Temperatur motgjutningsyta]]&amp;Table130[[#This Row],[Värmekabel]]&amp;Table130[[#This Row],[Antal värmekablar]]&amp;Table130[[#This Row],[Täckning '[mm']]]&amp;Table130[[#This Row],[Formisolering '[mm']]]&amp;Table130[[#This Row],[OK&lt;17 Timamr]]&amp;Table130[[#This Row],[Kommentar]]</f>
        <v>0,220540110Plywood 12-19  cellplast 50OK17</v>
      </c>
    </row>
    <row r="33" spans="1:13" x14ac:dyDescent="0.25">
      <c r="A33" s="6">
        <v>0.2</v>
      </c>
      <c r="B33" s="110">
        <v>20</v>
      </c>
      <c r="C33" s="110">
        <v>5</v>
      </c>
      <c r="D33" s="110">
        <v>40</v>
      </c>
      <c r="E33" s="110">
        <v>1</v>
      </c>
      <c r="F33" s="110">
        <v>10</v>
      </c>
      <c r="G33" s="111" t="s">
        <v>128</v>
      </c>
      <c r="H33" s="6">
        <v>-10</v>
      </c>
      <c r="I33" s="7">
        <v>2</v>
      </c>
      <c r="J33">
        <v>17</v>
      </c>
      <c r="K33" t="s">
        <v>101</v>
      </c>
      <c r="L33" s="7"/>
      <c r="M33" s="14" t="str">
        <f>Table130[[#This Row],[Slaggmängd]]&amp;Table130[[#This Row],[Gjuttemperatur]]&amp;Table130[[#This Row],[Temperatur motgjutningsyta]]&amp;Table130[[#This Row],[Värmekabel]]&amp;Table130[[#This Row],[Antal värmekablar]]&amp;Table130[[#This Row],[Täckning '[mm']]]&amp;Table130[[#This Row],[Formisolering '[mm']]]&amp;Table130[[#This Row],[OK&lt;17 Timamr]]&amp;Table130[[#This Row],[Kommentar]]</f>
        <v>0,220540110Plywood 12-19 cellplast 120OK17</v>
      </c>
    </row>
    <row r="34" spans="1:13" x14ac:dyDescent="0.25">
      <c r="A34" s="6">
        <v>0.2</v>
      </c>
      <c r="B34" s="110">
        <v>20</v>
      </c>
      <c r="C34" s="110">
        <v>5</v>
      </c>
      <c r="D34" s="110">
        <v>40</v>
      </c>
      <c r="E34" s="110">
        <v>3</v>
      </c>
      <c r="F34" s="110">
        <v>10</v>
      </c>
      <c r="G34" s="111" t="s">
        <v>128</v>
      </c>
      <c r="H34" s="6">
        <v>-10</v>
      </c>
      <c r="I34" s="7">
        <v>7</v>
      </c>
      <c r="J34">
        <v>16.899999999999999</v>
      </c>
      <c r="K34" t="s">
        <v>101</v>
      </c>
      <c r="L34" s="7"/>
      <c r="M34" s="14" t="str">
        <f>Table130[[#This Row],[Slaggmängd]]&amp;Table130[[#This Row],[Gjuttemperatur]]&amp;Table130[[#This Row],[Temperatur motgjutningsyta]]&amp;Table130[[#This Row],[Värmekabel]]&amp;Table130[[#This Row],[Antal värmekablar]]&amp;Table130[[#This Row],[Täckning '[mm']]]&amp;Table130[[#This Row],[Formisolering '[mm']]]&amp;Table130[[#This Row],[OK&lt;17 Timamr]]&amp;Table130[[#This Row],[Kommentar]]</f>
        <v>0,220540310Plywood 12-19 cellplast 120OK17</v>
      </c>
    </row>
    <row r="35" spans="1:13" x14ac:dyDescent="0.25">
      <c r="A35" s="6" t="s">
        <v>9</v>
      </c>
      <c r="B35" s="110" t="s">
        <v>9</v>
      </c>
      <c r="C35" s="110" t="s">
        <v>9</v>
      </c>
      <c r="D35" s="110" t="s">
        <v>9</v>
      </c>
      <c r="E35" s="110" t="s">
        <v>9</v>
      </c>
      <c r="F35" s="110" t="s">
        <v>9</v>
      </c>
      <c r="G35" s="111" t="s">
        <v>9</v>
      </c>
      <c r="H35" s="6">
        <v>-10</v>
      </c>
      <c r="I35" s="7">
        <v>12</v>
      </c>
      <c r="L35" s="7" t="s">
        <v>100</v>
      </c>
      <c r="M35" s="14" t="str">
        <f>Table130[[#This Row],[Slaggmängd]]&amp;Table130[[#This Row],[Gjuttemperatur]]&amp;Table130[[#This Row],[Temperatur motgjutningsyta]]&amp;Table130[[#This Row],[Värmekabel]]&amp;Table130[[#This Row],[Antal värmekablar]]&amp;Table130[[#This Row],[Täckning '[mm']]]&amp;Table130[[#This Row],[Formisolering '[mm']]]&amp;Table130[[#This Row],[OK&lt;17 Timamr]]&amp;Table130[[#This Row],[Kommentar]]</f>
        <v>-------Fryser innan täck</v>
      </c>
    </row>
    <row r="36" spans="1:13" ht="15.75" thickBot="1" x14ac:dyDescent="0.3">
      <c r="A36" s="8" t="s">
        <v>9</v>
      </c>
      <c r="B36" s="112" t="s">
        <v>9</v>
      </c>
      <c r="C36" s="112" t="s">
        <v>9</v>
      </c>
      <c r="D36" s="112" t="s">
        <v>9</v>
      </c>
      <c r="E36" s="112" t="s">
        <v>9</v>
      </c>
      <c r="F36" s="112" t="s">
        <v>9</v>
      </c>
      <c r="G36" s="113" t="s">
        <v>9</v>
      </c>
      <c r="H36" s="8">
        <v>-10</v>
      </c>
      <c r="I36" s="10">
        <v>20</v>
      </c>
      <c r="J36" s="9"/>
      <c r="K36" s="9"/>
      <c r="L36" s="10" t="s">
        <v>100</v>
      </c>
      <c r="M36" s="15" t="str">
        <f>Table130[[#This Row],[Slaggmängd]]&amp;Table130[[#This Row],[Gjuttemperatur]]&amp;Table130[[#This Row],[Temperatur motgjutningsyta]]&amp;Table130[[#This Row],[Värmekabel]]&amp;Table130[[#This Row],[Antal värmekablar]]&amp;Table130[[#This Row],[Täckning '[mm']]]&amp;Table130[[#This Row],[Formisolering '[mm']]]&amp;Table130[[#This Row],[OK&lt;17 Timamr]]&amp;Table130[[#This Row],[Kommentar]]</f>
        <v>-------Fryser innan täck</v>
      </c>
    </row>
    <row r="37" spans="1:13" x14ac:dyDescent="0.25">
      <c r="A37" s="6">
        <v>0.2</v>
      </c>
      <c r="B37" s="110">
        <v>15</v>
      </c>
      <c r="C37" s="110">
        <v>5</v>
      </c>
      <c r="D37" s="110">
        <v>40</v>
      </c>
      <c r="E37" s="110">
        <v>3</v>
      </c>
      <c r="F37" s="110">
        <v>30</v>
      </c>
      <c r="G37" s="110" t="s">
        <v>127</v>
      </c>
      <c r="H37" s="3">
        <v>-15</v>
      </c>
      <c r="I37" s="5">
        <v>0</v>
      </c>
      <c r="J37" s="4">
        <v>17</v>
      </c>
      <c r="K37" s="4" t="s">
        <v>101</v>
      </c>
      <c r="L37" s="5"/>
      <c r="M37" s="13" t="str">
        <f>Table130[[#This Row],[Slaggmängd]]&amp;Table130[[#This Row],[Gjuttemperatur]]&amp;Table130[[#This Row],[Temperatur motgjutningsyta]]&amp;Table130[[#This Row],[Värmekabel]]&amp;Table130[[#This Row],[Antal värmekablar]]&amp;Table130[[#This Row],[Täckning '[mm']]]&amp;Table130[[#This Row],[Formisolering '[mm']]]&amp;Table130[[#This Row],[OK&lt;17 Timamr]]&amp;Table130[[#This Row],[Kommentar]]</f>
        <v>0,215540330Plywood 12-19 cellplast 100OK17</v>
      </c>
    </row>
    <row r="38" spans="1:13" x14ac:dyDescent="0.25">
      <c r="A38" s="6" t="s">
        <v>48</v>
      </c>
      <c r="B38" s="110">
        <v>15</v>
      </c>
      <c r="C38" s="110">
        <v>5</v>
      </c>
      <c r="D38" s="110">
        <v>40</v>
      </c>
      <c r="E38" s="110">
        <v>2</v>
      </c>
      <c r="F38" s="110">
        <v>20</v>
      </c>
      <c r="G38" s="110" t="s">
        <v>127</v>
      </c>
      <c r="H38" s="6">
        <v>-15</v>
      </c>
      <c r="I38" s="7">
        <v>2</v>
      </c>
      <c r="J38">
        <v>16.5</v>
      </c>
      <c r="K38" t="s">
        <v>101</v>
      </c>
      <c r="L38" s="7"/>
      <c r="M38" s="14" t="str">
        <f>Table130[[#This Row],[Slaggmängd]]&amp;Table130[[#This Row],[Gjuttemperatur]]&amp;Table130[[#This Row],[Temperatur motgjutningsyta]]&amp;Table130[[#This Row],[Värmekabel]]&amp;Table130[[#This Row],[Antal värmekablar]]&amp;Table130[[#This Row],[Täckning '[mm']]]&amp;Table130[[#This Row],[Formisolering '[mm']]]&amp;Table130[[#This Row],[OK&lt;17 Timamr]]&amp;Table130[[#This Row],[Kommentar]]</f>
        <v>Bas+0%15540220Plywood 12-19 cellplast 100OK17</v>
      </c>
    </row>
    <row r="39" spans="1:13" x14ac:dyDescent="0.25">
      <c r="A39" s="6" t="s">
        <v>9</v>
      </c>
      <c r="B39" s="110" t="s">
        <v>9</v>
      </c>
      <c r="C39" s="110" t="s">
        <v>9</v>
      </c>
      <c r="D39" s="110" t="s">
        <v>9</v>
      </c>
      <c r="E39" s="110" t="s">
        <v>9</v>
      </c>
      <c r="F39" s="110" t="s">
        <v>9</v>
      </c>
      <c r="G39" s="110" t="s">
        <v>9</v>
      </c>
      <c r="H39" s="6">
        <v>-15</v>
      </c>
      <c r="I39" s="7">
        <v>7</v>
      </c>
      <c r="L39" s="7" t="s">
        <v>100</v>
      </c>
      <c r="M39" s="14" t="str">
        <f>Table130[[#This Row],[Slaggmängd]]&amp;Table130[[#This Row],[Gjuttemperatur]]&amp;Table130[[#This Row],[Temperatur motgjutningsyta]]&amp;Table130[[#This Row],[Värmekabel]]&amp;Table130[[#This Row],[Antal värmekablar]]&amp;Table130[[#This Row],[Täckning '[mm']]]&amp;Table130[[#This Row],[Formisolering '[mm']]]&amp;Table130[[#This Row],[OK&lt;17 Timamr]]&amp;Table130[[#This Row],[Kommentar]]</f>
        <v>-------Fryser innan täck</v>
      </c>
    </row>
    <row r="40" spans="1:13" x14ac:dyDescent="0.25">
      <c r="A40" s="6" t="s">
        <v>9</v>
      </c>
      <c r="B40" s="110" t="s">
        <v>9</v>
      </c>
      <c r="C40" s="110" t="s">
        <v>9</v>
      </c>
      <c r="D40" s="110" t="s">
        <v>9</v>
      </c>
      <c r="E40" s="110" t="s">
        <v>9</v>
      </c>
      <c r="F40" s="110" t="s">
        <v>9</v>
      </c>
      <c r="G40" s="110" t="s">
        <v>9</v>
      </c>
      <c r="H40" s="6">
        <v>-15</v>
      </c>
      <c r="I40" s="7">
        <v>12</v>
      </c>
      <c r="L40" s="7" t="s">
        <v>100</v>
      </c>
      <c r="M40" s="14" t="str">
        <f>Table130[[#This Row],[Slaggmängd]]&amp;Table130[[#This Row],[Gjuttemperatur]]&amp;Table130[[#This Row],[Temperatur motgjutningsyta]]&amp;Table130[[#This Row],[Värmekabel]]&amp;Table130[[#This Row],[Antal värmekablar]]&amp;Table130[[#This Row],[Täckning '[mm']]]&amp;Table130[[#This Row],[Formisolering '[mm']]]&amp;Table130[[#This Row],[OK&lt;17 Timamr]]&amp;Table130[[#This Row],[Kommentar]]</f>
        <v>-------Fryser innan täck</v>
      </c>
    </row>
    <row r="41" spans="1:13" ht="15.75" thickBot="1" x14ac:dyDescent="0.3">
      <c r="A41" s="6" t="s">
        <v>9</v>
      </c>
      <c r="B41" s="110" t="s">
        <v>9</v>
      </c>
      <c r="C41" s="110" t="s">
        <v>9</v>
      </c>
      <c r="D41" s="110" t="s">
        <v>9</v>
      </c>
      <c r="E41" s="110" t="s">
        <v>9</v>
      </c>
      <c r="F41" s="110" t="s">
        <v>9</v>
      </c>
      <c r="G41" s="110" t="s">
        <v>9</v>
      </c>
      <c r="H41" s="8">
        <v>-15</v>
      </c>
      <c r="I41" s="10">
        <v>20</v>
      </c>
      <c r="J41" s="9"/>
      <c r="K41" s="9"/>
      <c r="L41" s="10" t="s">
        <v>100</v>
      </c>
      <c r="M41" s="15" t="str">
        <f>Table130[[#This Row],[Slaggmängd]]&amp;Table130[[#This Row],[Gjuttemperatur]]&amp;Table130[[#This Row],[Temperatur motgjutningsyta]]&amp;Table130[[#This Row],[Värmekabel]]&amp;Table130[[#This Row],[Antal värmekablar]]&amp;Table130[[#This Row],[Täckning '[mm']]]&amp;Table130[[#This Row],[Formisolering '[mm']]]&amp;Table130[[#This Row],[OK&lt;17 Timamr]]&amp;Table130[[#This Row],[Kommentar]]</f>
        <v>-------Fryser innan täck</v>
      </c>
    </row>
    <row r="42" spans="1:13" x14ac:dyDescent="0.25">
      <c r="A42" s="3" t="s">
        <v>9</v>
      </c>
      <c r="B42" s="107" t="s">
        <v>9</v>
      </c>
      <c r="C42" s="107" t="s">
        <v>9</v>
      </c>
      <c r="D42" s="107" t="s">
        <v>9</v>
      </c>
      <c r="E42" s="107" t="s">
        <v>9</v>
      </c>
      <c r="F42" s="107" t="s">
        <v>9</v>
      </c>
      <c r="G42" s="114" t="s">
        <v>9</v>
      </c>
      <c r="H42" s="6">
        <v>-20</v>
      </c>
      <c r="I42" s="7">
        <v>0</v>
      </c>
      <c r="L42" s="7" t="s">
        <v>122</v>
      </c>
      <c r="M42" s="14" t="str">
        <f>Table130[[#This Row],[Slaggmängd]]&amp;Table130[[#This Row],[Gjuttemperatur]]&amp;Table130[[#This Row],[Temperatur motgjutningsyta]]&amp;Table130[[#This Row],[Värmekabel]]&amp;Table130[[#This Row],[Antal värmekablar]]&amp;Table130[[#This Row],[Täckning '[mm']]]&amp;Table130[[#This Row],[Formisolering '[mm']]]&amp;Table130[[#This Row],[OK&lt;17 Timamr]]&amp;Table130[[#This Row],[Kommentar]]</f>
        <v>-------Når ej 6 MPa</v>
      </c>
    </row>
    <row r="43" spans="1:13" x14ac:dyDescent="0.25">
      <c r="A43" s="6" t="s">
        <v>9</v>
      </c>
      <c r="B43" s="110" t="s">
        <v>9</v>
      </c>
      <c r="C43" s="110" t="s">
        <v>9</v>
      </c>
      <c r="D43" s="110" t="s">
        <v>9</v>
      </c>
      <c r="E43" s="110" t="s">
        <v>9</v>
      </c>
      <c r="F43" s="110" t="s">
        <v>9</v>
      </c>
      <c r="G43" s="111" t="s">
        <v>9</v>
      </c>
      <c r="H43" s="6">
        <v>-20</v>
      </c>
      <c r="I43" s="7">
        <v>2</v>
      </c>
      <c r="L43" s="7" t="s">
        <v>100</v>
      </c>
      <c r="M43" s="14" t="str">
        <f>Table130[[#This Row],[Slaggmängd]]&amp;Table130[[#This Row],[Gjuttemperatur]]&amp;Table130[[#This Row],[Temperatur motgjutningsyta]]&amp;Table130[[#This Row],[Värmekabel]]&amp;Table130[[#This Row],[Antal värmekablar]]&amp;Table130[[#This Row],[Täckning '[mm']]]&amp;Table130[[#This Row],[Formisolering '[mm']]]&amp;Table130[[#This Row],[OK&lt;17 Timamr]]&amp;Table130[[#This Row],[Kommentar]]</f>
        <v>-------Fryser innan täck</v>
      </c>
    </row>
    <row r="44" spans="1:13" x14ac:dyDescent="0.25">
      <c r="A44" s="6" t="s">
        <v>9</v>
      </c>
      <c r="B44" s="110" t="s">
        <v>9</v>
      </c>
      <c r="C44" s="110" t="s">
        <v>9</v>
      </c>
      <c r="D44" s="110" t="s">
        <v>9</v>
      </c>
      <c r="E44" s="110" t="s">
        <v>9</v>
      </c>
      <c r="F44" s="110" t="s">
        <v>9</v>
      </c>
      <c r="G44" s="111" t="s">
        <v>9</v>
      </c>
      <c r="H44" s="6">
        <v>-20</v>
      </c>
      <c r="I44" s="7">
        <v>7</v>
      </c>
      <c r="L44" s="7" t="s">
        <v>100</v>
      </c>
      <c r="M44" s="14" t="str">
        <f>Table130[[#This Row],[Slaggmängd]]&amp;Table130[[#This Row],[Gjuttemperatur]]&amp;Table130[[#This Row],[Temperatur motgjutningsyta]]&amp;Table130[[#This Row],[Värmekabel]]&amp;Table130[[#This Row],[Antal värmekablar]]&amp;Table130[[#This Row],[Täckning '[mm']]]&amp;Table130[[#This Row],[Formisolering '[mm']]]&amp;Table130[[#This Row],[OK&lt;17 Timamr]]&amp;Table130[[#This Row],[Kommentar]]</f>
        <v>-------Fryser innan täck</v>
      </c>
    </row>
    <row r="45" spans="1:13" x14ac:dyDescent="0.25">
      <c r="A45" s="6" t="s">
        <v>9</v>
      </c>
      <c r="B45" s="110" t="s">
        <v>9</v>
      </c>
      <c r="C45" s="110" t="s">
        <v>9</v>
      </c>
      <c r="D45" s="110" t="s">
        <v>9</v>
      </c>
      <c r="E45" s="110" t="s">
        <v>9</v>
      </c>
      <c r="F45" s="110" t="s">
        <v>9</v>
      </c>
      <c r="G45" s="111" t="s">
        <v>9</v>
      </c>
      <c r="H45" s="6">
        <v>-20</v>
      </c>
      <c r="I45" s="7">
        <v>12</v>
      </c>
      <c r="L45" s="7" t="s">
        <v>100</v>
      </c>
      <c r="M45" s="14" t="str">
        <f>Table130[[#This Row],[Slaggmängd]]&amp;Table130[[#This Row],[Gjuttemperatur]]&amp;Table130[[#This Row],[Temperatur motgjutningsyta]]&amp;Table130[[#This Row],[Värmekabel]]&amp;Table130[[#This Row],[Antal värmekablar]]&amp;Table130[[#This Row],[Täckning '[mm']]]&amp;Table130[[#This Row],[Formisolering '[mm']]]&amp;Table130[[#This Row],[OK&lt;17 Timamr]]&amp;Table130[[#This Row],[Kommentar]]</f>
        <v>-------Fryser innan täck</v>
      </c>
    </row>
    <row r="46" spans="1:13" ht="15.75" thickBot="1" x14ac:dyDescent="0.3">
      <c r="A46" s="8" t="s">
        <v>9</v>
      </c>
      <c r="B46" s="112" t="s">
        <v>9</v>
      </c>
      <c r="C46" s="112" t="s">
        <v>9</v>
      </c>
      <c r="D46" s="112" t="s">
        <v>9</v>
      </c>
      <c r="E46" s="112" t="s">
        <v>9</v>
      </c>
      <c r="F46" s="112" t="s">
        <v>9</v>
      </c>
      <c r="G46" s="113" t="s">
        <v>9</v>
      </c>
      <c r="H46" s="8">
        <v>-20</v>
      </c>
      <c r="I46" s="10">
        <v>20</v>
      </c>
      <c r="J46" s="9"/>
      <c r="K46" s="9"/>
      <c r="L46" s="10" t="s">
        <v>100</v>
      </c>
      <c r="M46" s="15" t="str">
        <f>Table130[[#This Row],[Slaggmängd]]&amp;Table130[[#This Row],[Gjuttemperatur]]&amp;Table130[[#This Row],[Temperatur motgjutningsyta]]&amp;Table130[[#This Row],[Värmekabel]]&amp;Table130[[#This Row],[Antal värmekablar]]&amp;Table130[[#This Row],[Täckning '[mm']]]&amp;Table130[[#This Row],[Formisolering '[mm']]]&amp;Table130[[#This Row],[OK&lt;17 Timamr]]&amp;Table130[[#This Row],[Kommentar]]</f>
        <v>-------Fryser innan täck</v>
      </c>
    </row>
  </sheetData>
  <phoneticPr fontId="3" type="noConversion"/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A5B9511B-4EC5-4D68-8D3A-D1BEF38D2CD5}">
          <x14:formula1>
            <xm:f>Förutsättningar!$H$2:$H$3</xm:f>
          </x14:formula1>
          <xm:sqref>L2:L46</xm:sqref>
        </x14:dataValidation>
        <x14:dataValidation type="list" allowBlank="1" showInputMessage="1" showErrorMessage="1" xr:uid="{133CAF1B-09E7-496B-998E-201FE473ECC6}">
          <x14:formula1>
            <xm:f>Förutsättningar!$I$2</xm:f>
          </x14:formula1>
          <xm:sqref>K2:K46</xm:sqref>
        </x14:dataValidation>
        <x14:dataValidation type="list" allowBlank="1" showInputMessage="1" showErrorMessage="1" xr:uid="{F92E3156-B822-4E11-8515-9B3A63B176B9}">
          <x14:formula1>
            <xm:f>Förutsättningar!$G$2:$G$8</xm:f>
          </x14:formula1>
          <xm:sqref>G2:G46</xm:sqref>
        </x14:dataValidation>
        <x14:dataValidation type="list" allowBlank="1" showInputMessage="1" showErrorMessage="1" xr:uid="{059577B5-CA70-4B3B-BCE4-6328C4F765AD}">
          <x14:formula1>
            <xm:f>Förutsättningar!$E$2:$E$5</xm:f>
          </x14:formula1>
          <xm:sqref>E2:E46</xm:sqref>
        </x14:dataValidation>
        <x14:dataValidation type="list" allowBlank="1" showInputMessage="1" showErrorMessage="1" xr:uid="{CA43CC03-9E67-4607-8337-F3CF4A18258A}">
          <x14:formula1>
            <xm:f>Förutsättningar!$C$2:$C$6</xm:f>
          </x14:formula1>
          <xm:sqref>C2:C46</xm:sqref>
        </x14:dataValidation>
        <x14:dataValidation type="list" allowBlank="1" showInputMessage="1" showErrorMessage="1" xr:uid="{201A4016-88B5-4210-9EC8-5B513FB36503}">
          <x14:formula1>
            <xm:f>Förutsättningar!$B$2:$B$6</xm:f>
          </x14:formula1>
          <xm:sqref>B2:B46</xm:sqref>
        </x14:dataValidation>
        <x14:dataValidation type="list" allowBlank="1" showInputMessage="1" showErrorMessage="1" xr:uid="{E2326719-8879-4727-B21E-CA43F8D00ECE}">
          <x14:formula1>
            <xm:f>Förutsättningar!$A$2:$A$7</xm:f>
          </x14:formula1>
          <xm:sqref>A2:A46</xm:sqref>
        </x14:dataValidation>
        <x14:dataValidation type="list" allowBlank="1" showInputMessage="1" showErrorMessage="1" xr:uid="{9D2962E8-72A1-4972-B748-CFD6B49B93C3}">
          <x14:formula1>
            <xm:f>Förutsättningar!$F$2:$F$7</xm:f>
          </x14:formula1>
          <xm:sqref>F2:F46</xm:sqref>
        </x14:dataValidation>
        <x14:dataValidation type="list" allowBlank="1" showInputMessage="1" showErrorMessage="1" xr:uid="{E8E82683-DBC1-4985-9234-5C303EE5486C}">
          <x14:formula1>
            <xm:f>Förutsättningar!$D$2:$D$3</xm:f>
          </x14:formula1>
          <xm:sqref>D2:D46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CA564-89DD-421A-A239-A1F7CB34BEA3}">
  <sheetPr codeName="Sheet2"/>
  <dimension ref="A1:T46"/>
  <sheetViews>
    <sheetView zoomScaleNormal="100" workbookViewId="0">
      <selection activeCell="J54" sqref="J54"/>
    </sheetView>
  </sheetViews>
  <sheetFormatPr defaultRowHeight="15" x14ac:dyDescent="0.25"/>
  <cols>
    <col min="1" max="1" width="14" style="77" bestFit="1" customWidth="1"/>
    <col min="2" max="2" width="17.42578125" style="2" bestFit="1" customWidth="1"/>
    <col min="3" max="3" width="18" style="2" bestFit="1" customWidth="1"/>
    <col min="4" max="4" width="13.85546875" style="2" bestFit="1" customWidth="1"/>
    <col min="5" max="5" width="19.5703125" style="2" bestFit="1" customWidth="1"/>
    <col min="6" max="6" width="16.5703125" bestFit="1" customWidth="1"/>
    <col min="7" max="7" width="31.140625" bestFit="1" customWidth="1"/>
    <col min="8" max="8" width="13.7109375" bestFit="1" customWidth="1"/>
    <col min="9" max="9" width="7.28515625" bestFit="1" customWidth="1"/>
    <col min="10" max="10" width="24.140625" bestFit="1" customWidth="1"/>
    <col min="11" max="11" width="16.140625" bestFit="1" customWidth="1"/>
    <col min="12" max="12" width="15.28515625" bestFit="1" customWidth="1"/>
    <col min="13" max="13" width="43.28515625" bestFit="1" customWidth="1"/>
    <col min="14" max="17" width="11.28515625" customWidth="1"/>
    <col min="18" max="18" width="12.28515625" customWidth="1"/>
  </cols>
  <sheetData>
    <row r="1" spans="1:20" ht="30.75" thickBot="1" x14ac:dyDescent="0.3">
      <c r="A1" s="105" t="s">
        <v>106</v>
      </c>
      <c r="B1" s="80" t="s">
        <v>0</v>
      </c>
      <c r="C1" s="80" t="s">
        <v>1</v>
      </c>
      <c r="D1" s="80" t="s">
        <v>96</v>
      </c>
      <c r="E1" s="80" t="s">
        <v>97</v>
      </c>
      <c r="F1" s="80" t="s">
        <v>3</v>
      </c>
      <c r="G1" s="80" t="s">
        <v>98</v>
      </c>
      <c r="H1" s="11" t="s">
        <v>4</v>
      </c>
      <c r="I1" s="11" t="s">
        <v>5</v>
      </c>
      <c r="J1" s="106" t="s">
        <v>94</v>
      </c>
      <c r="K1" s="11" t="s">
        <v>95</v>
      </c>
      <c r="L1" s="11" t="s">
        <v>6</v>
      </c>
      <c r="M1" s="12" t="s">
        <v>7</v>
      </c>
      <c r="N1" s="1"/>
      <c r="O1" s="1"/>
      <c r="P1" s="1"/>
      <c r="Q1" s="1"/>
      <c r="R1" s="1"/>
      <c r="S1" s="1"/>
      <c r="T1" s="1"/>
    </row>
    <row r="2" spans="1:20" x14ac:dyDescent="0.25">
      <c r="A2" s="3">
        <v>0.3</v>
      </c>
      <c r="B2" s="107">
        <v>15</v>
      </c>
      <c r="C2" s="107">
        <v>20</v>
      </c>
      <c r="D2" s="108" t="s">
        <v>9</v>
      </c>
      <c r="E2" s="108" t="s">
        <v>9</v>
      </c>
      <c r="F2" s="107" t="s">
        <v>9</v>
      </c>
      <c r="G2" s="109" t="s">
        <v>123</v>
      </c>
      <c r="H2" s="3">
        <v>20</v>
      </c>
      <c r="I2" s="5">
        <v>0</v>
      </c>
      <c r="J2">
        <v>15.7</v>
      </c>
      <c r="K2" s="4" t="s">
        <v>101</v>
      </c>
      <c r="L2" s="5"/>
      <c r="M2" s="13" t="str">
        <f>Table131[[#This Row],[Slaggmängd]]&amp;Table131[[#This Row],[Gjuttemperatur]]&amp;Table131[[#This Row],[Temperatur motgjutningsyta]]&amp;Table131[[#This Row],[Värmekabel]]&amp;Table131[[#This Row],[Antal värmekablar]]&amp;Table131[[#This Row],[Täckning '[mm']]]&amp;Table131[[#This Row],[Formisolering '[mm']]]&amp;Table131[[#This Row],[OK&lt;17 Timamr]]&amp;Table131[[#This Row],[Kommentar]]</f>
        <v>0,31520---Plywood 15, oisoleratOK17</v>
      </c>
      <c r="O2" s="1"/>
    </row>
    <row r="3" spans="1:20" x14ac:dyDescent="0.25">
      <c r="A3" s="6">
        <v>0.3</v>
      </c>
      <c r="B3" s="110">
        <v>15</v>
      </c>
      <c r="C3" s="110">
        <v>20</v>
      </c>
      <c r="D3" s="110" t="s">
        <v>9</v>
      </c>
      <c r="E3" s="110" t="s">
        <v>9</v>
      </c>
      <c r="F3" s="110" t="s">
        <v>9</v>
      </c>
      <c r="G3" s="111" t="s">
        <v>123</v>
      </c>
      <c r="H3" s="6">
        <v>20</v>
      </c>
      <c r="I3" s="7">
        <v>2</v>
      </c>
      <c r="J3">
        <v>15.6</v>
      </c>
      <c r="K3" t="s">
        <v>101</v>
      </c>
      <c r="L3" s="7"/>
      <c r="M3" s="14" t="str">
        <f>Table131[[#This Row],[Slaggmängd]]&amp;Table131[[#This Row],[Gjuttemperatur]]&amp;Table131[[#This Row],[Temperatur motgjutningsyta]]&amp;Table131[[#This Row],[Värmekabel]]&amp;Table131[[#This Row],[Antal värmekablar]]&amp;Table131[[#This Row],[Täckning '[mm']]]&amp;Table131[[#This Row],[Formisolering '[mm']]]&amp;Table131[[#This Row],[OK&lt;17 Timamr]]&amp;Table131[[#This Row],[Kommentar]]</f>
        <v>0,31520---Plywood 15, oisoleratOK17</v>
      </c>
    </row>
    <row r="4" spans="1:20" x14ac:dyDescent="0.25">
      <c r="A4" s="6">
        <v>0.3</v>
      </c>
      <c r="B4" s="110">
        <v>15</v>
      </c>
      <c r="C4" s="110">
        <v>20</v>
      </c>
      <c r="D4" s="110" t="s">
        <v>9</v>
      </c>
      <c r="E4" s="110" t="s">
        <v>9</v>
      </c>
      <c r="F4" s="110" t="s">
        <v>9</v>
      </c>
      <c r="G4" s="111" t="s">
        <v>123</v>
      </c>
      <c r="H4" s="6">
        <v>20</v>
      </c>
      <c r="I4" s="7">
        <v>7</v>
      </c>
      <c r="J4">
        <v>15.5</v>
      </c>
      <c r="K4" t="s">
        <v>101</v>
      </c>
      <c r="L4" s="7"/>
      <c r="M4" s="14" t="str">
        <f>Table131[[#This Row],[Slaggmängd]]&amp;Table131[[#This Row],[Gjuttemperatur]]&amp;Table131[[#This Row],[Temperatur motgjutningsyta]]&amp;Table131[[#This Row],[Värmekabel]]&amp;Table131[[#This Row],[Antal värmekablar]]&amp;Table131[[#This Row],[Täckning '[mm']]]&amp;Table131[[#This Row],[Formisolering '[mm']]]&amp;Table131[[#This Row],[OK&lt;17 Timamr]]&amp;Table131[[#This Row],[Kommentar]]</f>
        <v>0,31520---Plywood 15, oisoleratOK17</v>
      </c>
    </row>
    <row r="5" spans="1:20" x14ac:dyDescent="0.25">
      <c r="A5" s="6">
        <v>0.3</v>
      </c>
      <c r="B5" s="110">
        <v>15</v>
      </c>
      <c r="C5" s="110">
        <v>20</v>
      </c>
      <c r="D5" s="110" t="s">
        <v>9</v>
      </c>
      <c r="E5" s="110" t="s">
        <v>9</v>
      </c>
      <c r="F5" s="110" t="s">
        <v>9</v>
      </c>
      <c r="G5" s="111" t="s">
        <v>123</v>
      </c>
      <c r="H5" s="6">
        <v>20</v>
      </c>
      <c r="I5" s="7">
        <v>12</v>
      </c>
      <c r="J5">
        <v>15.5</v>
      </c>
      <c r="K5" t="s">
        <v>101</v>
      </c>
      <c r="L5" s="7"/>
      <c r="M5" s="14" t="str">
        <f>Table131[[#This Row],[Slaggmängd]]&amp;Table131[[#This Row],[Gjuttemperatur]]&amp;Table131[[#This Row],[Temperatur motgjutningsyta]]&amp;Table131[[#This Row],[Värmekabel]]&amp;Table131[[#This Row],[Antal värmekablar]]&amp;Table131[[#This Row],[Täckning '[mm']]]&amp;Table131[[#This Row],[Formisolering '[mm']]]&amp;Table131[[#This Row],[OK&lt;17 Timamr]]&amp;Table131[[#This Row],[Kommentar]]</f>
        <v>0,31520---Plywood 15, oisoleratOK17</v>
      </c>
    </row>
    <row r="6" spans="1:20" ht="15.75" thickBot="1" x14ac:dyDescent="0.3">
      <c r="A6" s="8">
        <v>0.3</v>
      </c>
      <c r="B6" s="112">
        <v>15</v>
      </c>
      <c r="C6" s="112">
        <v>20</v>
      </c>
      <c r="D6" s="112" t="s">
        <v>9</v>
      </c>
      <c r="E6" s="112" t="s">
        <v>9</v>
      </c>
      <c r="F6" s="112" t="s">
        <v>9</v>
      </c>
      <c r="G6" s="113" t="s">
        <v>123</v>
      </c>
      <c r="H6" s="8">
        <v>20</v>
      </c>
      <c r="I6" s="10">
        <v>20</v>
      </c>
      <c r="J6">
        <v>15.5</v>
      </c>
      <c r="K6" t="s">
        <v>101</v>
      </c>
      <c r="L6" s="10"/>
      <c r="M6" s="15" t="str">
        <f>Table131[[#This Row],[Slaggmängd]]&amp;Table131[[#This Row],[Gjuttemperatur]]&amp;Table131[[#This Row],[Temperatur motgjutningsyta]]&amp;Table131[[#This Row],[Värmekabel]]&amp;Table131[[#This Row],[Antal värmekablar]]&amp;Table131[[#This Row],[Täckning '[mm']]]&amp;Table131[[#This Row],[Formisolering '[mm']]]&amp;Table131[[#This Row],[OK&lt;17 Timamr]]&amp;Table131[[#This Row],[Kommentar]]</f>
        <v>0,31520---Plywood 15, oisoleratOK17</v>
      </c>
    </row>
    <row r="7" spans="1:20" x14ac:dyDescent="0.25">
      <c r="A7" s="6">
        <v>0.2</v>
      </c>
      <c r="B7" s="110">
        <v>15</v>
      </c>
      <c r="C7" s="110">
        <v>15</v>
      </c>
      <c r="D7" s="110" t="s">
        <v>9</v>
      </c>
      <c r="E7" s="110" t="s">
        <v>9</v>
      </c>
      <c r="F7" s="110" t="s">
        <v>9</v>
      </c>
      <c r="G7" s="110" t="s">
        <v>123</v>
      </c>
      <c r="H7" s="3">
        <v>15</v>
      </c>
      <c r="I7" s="5">
        <v>0</v>
      </c>
      <c r="J7" s="3">
        <v>14.7</v>
      </c>
      <c r="K7" s="4" t="s">
        <v>101</v>
      </c>
      <c r="L7" s="5"/>
      <c r="M7" s="13" t="str">
        <f>Table131[[#This Row],[Slaggmängd]]&amp;Table131[[#This Row],[Gjuttemperatur]]&amp;Table131[[#This Row],[Temperatur motgjutningsyta]]&amp;Table131[[#This Row],[Värmekabel]]&amp;Table131[[#This Row],[Antal värmekablar]]&amp;Table131[[#This Row],[Täckning '[mm']]]&amp;Table131[[#This Row],[Formisolering '[mm']]]&amp;Table131[[#This Row],[OK&lt;17 Timamr]]&amp;Table131[[#This Row],[Kommentar]]</f>
        <v>0,21515---Plywood 15, oisoleratOK17</v>
      </c>
    </row>
    <row r="8" spans="1:20" x14ac:dyDescent="0.25">
      <c r="A8" s="6">
        <v>0.2</v>
      </c>
      <c r="B8" s="110">
        <v>15</v>
      </c>
      <c r="C8" s="110">
        <v>15</v>
      </c>
      <c r="D8" s="110" t="s">
        <v>9</v>
      </c>
      <c r="E8" s="110" t="s">
        <v>9</v>
      </c>
      <c r="F8" s="110" t="s">
        <v>9</v>
      </c>
      <c r="G8" s="110" t="s">
        <v>123</v>
      </c>
      <c r="H8" s="6">
        <v>15</v>
      </c>
      <c r="I8" s="7">
        <v>2</v>
      </c>
      <c r="J8" s="6">
        <v>14.8</v>
      </c>
      <c r="K8" t="s">
        <v>101</v>
      </c>
      <c r="L8" s="7"/>
      <c r="M8" s="14" t="str">
        <f>Table131[[#This Row],[Slaggmängd]]&amp;Table131[[#This Row],[Gjuttemperatur]]&amp;Table131[[#This Row],[Temperatur motgjutningsyta]]&amp;Table131[[#This Row],[Värmekabel]]&amp;Table131[[#This Row],[Antal värmekablar]]&amp;Table131[[#This Row],[Täckning '[mm']]]&amp;Table131[[#This Row],[Formisolering '[mm']]]&amp;Table131[[#This Row],[OK&lt;17 Timamr]]&amp;Table131[[#This Row],[Kommentar]]</f>
        <v>0,21515---Plywood 15, oisoleratOK17</v>
      </c>
    </row>
    <row r="9" spans="1:20" x14ac:dyDescent="0.25">
      <c r="A9" s="6">
        <v>0.2</v>
      </c>
      <c r="B9" s="110">
        <v>15</v>
      </c>
      <c r="C9" s="110">
        <v>15</v>
      </c>
      <c r="D9" s="110" t="s">
        <v>9</v>
      </c>
      <c r="E9" s="110" t="s">
        <v>9</v>
      </c>
      <c r="F9" s="110" t="s">
        <v>9</v>
      </c>
      <c r="G9" s="110" t="s">
        <v>123</v>
      </c>
      <c r="H9" s="6">
        <v>15</v>
      </c>
      <c r="I9" s="7">
        <v>7</v>
      </c>
      <c r="J9" s="6">
        <v>15</v>
      </c>
      <c r="K9" t="s">
        <v>101</v>
      </c>
      <c r="L9" s="7"/>
      <c r="M9" s="14" t="str">
        <f>Table131[[#This Row],[Slaggmängd]]&amp;Table131[[#This Row],[Gjuttemperatur]]&amp;Table131[[#This Row],[Temperatur motgjutningsyta]]&amp;Table131[[#This Row],[Värmekabel]]&amp;Table131[[#This Row],[Antal värmekablar]]&amp;Table131[[#This Row],[Täckning '[mm']]]&amp;Table131[[#This Row],[Formisolering '[mm']]]&amp;Table131[[#This Row],[OK&lt;17 Timamr]]&amp;Table131[[#This Row],[Kommentar]]</f>
        <v>0,21515---Plywood 15, oisoleratOK17</v>
      </c>
    </row>
    <row r="10" spans="1:20" x14ac:dyDescent="0.25">
      <c r="A10" s="6">
        <v>0.2</v>
      </c>
      <c r="B10" s="110">
        <v>15</v>
      </c>
      <c r="C10" s="110">
        <v>15</v>
      </c>
      <c r="D10" s="110" t="s">
        <v>9</v>
      </c>
      <c r="E10" s="110" t="s">
        <v>9</v>
      </c>
      <c r="F10" s="110" t="s">
        <v>9</v>
      </c>
      <c r="G10" s="110" t="s">
        <v>123</v>
      </c>
      <c r="H10" s="6">
        <v>15</v>
      </c>
      <c r="I10" s="7">
        <v>12</v>
      </c>
      <c r="J10" s="6">
        <v>15</v>
      </c>
      <c r="K10" t="s">
        <v>101</v>
      </c>
      <c r="L10" s="7"/>
      <c r="M10" s="14" t="str">
        <f>Table131[[#This Row],[Slaggmängd]]&amp;Table131[[#This Row],[Gjuttemperatur]]&amp;Table131[[#This Row],[Temperatur motgjutningsyta]]&amp;Table131[[#This Row],[Värmekabel]]&amp;Table131[[#This Row],[Antal värmekablar]]&amp;Table131[[#This Row],[Täckning '[mm']]]&amp;Table131[[#This Row],[Formisolering '[mm']]]&amp;Table131[[#This Row],[OK&lt;17 Timamr]]&amp;Table131[[#This Row],[Kommentar]]</f>
        <v>0,21515---Plywood 15, oisoleratOK17</v>
      </c>
    </row>
    <row r="11" spans="1:20" ht="15.75" thickBot="1" x14ac:dyDescent="0.3">
      <c r="A11" s="6">
        <v>0.2</v>
      </c>
      <c r="B11" s="110">
        <v>15</v>
      </c>
      <c r="C11" s="110">
        <v>15</v>
      </c>
      <c r="D11" s="110" t="s">
        <v>9</v>
      </c>
      <c r="E11" s="110" t="s">
        <v>9</v>
      </c>
      <c r="F11" s="110" t="s">
        <v>9</v>
      </c>
      <c r="G11" s="110" t="s">
        <v>123</v>
      </c>
      <c r="H11" s="8">
        <v>15</v>
      </c>
      <c r="I11" s="10">
        <v>20</v>
      </c>
      <c r="J11" s="8">
        <v>15</v>
      </c>
      <c r="K11" s="9" t="s">
        <v>101</v>
      </c>
      <c r="L11" s="10"/>
      <c r="M11" s="15" t="str">
        <f>Table131[[#This Row],[Slaggmängd]]&amp;Table131[[#This Row],[Gjuttemperatur]]&amp;Table131[[#This Row],[Temperatur motgjutningsyta]]&amp;Table131[[#This Row],[Värmekabel]]&amp;Table131[[#This Row],[Antal värmekablar]]&amp;Table131[[#This Row],[Täckning '[mm']]]&amp;Table131[[#This Row],[Formisolering '[mm']]]&amp;Table131[[#This Row],[OK&lt;17 Timamr]]&amp;Table131[[#This Row],[Kommentar]]</f>
        <v>0,21515---Plywood 15, oisoleratOK17</v>
      </c>
    </row>
    <row r="12" spans="1:20" x14ac:dyDescent="0.25">
      <c r="A12" s="3">
        <v>0.1</v>
      </c>
      <c r="B12" s="107">
        <v>15</v>
      </c>
      <c r="C12" s="107">
        <v>10</v>
      </c>
      <c r="D12" s="107" t="s">
        <v>9</v>
      </c>
      <c r="E12" s="107" t="s">
        <v>9</v>
      </c>
      <c r="F12" s="107" t="s">
        <v>9</v>
      </c>
      <c r="G12" s="114" t="s">
        <v>123</v>
      </c>
      <c r="H12" s="3">
        <v>10</v>
      </c>
      <c r="I12" s="5">
        <v>0</v>
      </c>
      <c r="J12" s="3">
        <v>15.8</v>
      </c>
      <c r="K12" s="4" t="s">
        <v>101</v>
      </c>
      <c r="L12" s="5"/>
      <c r="M12" s="13" t="str">
        <f>Table131[[#This Row],[Slaggmängd]]&amp;Table131[[#This Row],[Gjuttemperatur]]&amp;Table131[[#This Row],[Temperatur motgjutningsyta]]&amp;Table131[[#This Row],[Värmekabel]]&amp;Table131[[#This Row],[Antal värmekablar]]&amp;Table131[[#This Row],[Täckning '[mm']]]&amp;Table131[[#This Row],[Formisolering '[mm']]]&amp;Table131[[#This Row],[OK&lt;17 Timamr]]&amp;Table131[[#This Row],[Kommentar]]</f>
        <v>0,11510---Plywood 15, oisoleratOK17</v>
      </c>
    </row>
    <row r="13" spans="1:20" x14ac:dyDescent="0.25">
      <c r="A13" s="6">
        <v>0.1</v>
      </c>
      <c r="B13" s="110">
        <v>15</v>
      </c>
      <c r="C13" s="110">
        <v>10</v>
      </c>
      <c r="D13" s="110" t="s">
        <v>9</v>
      </c>
      <c r="E13" s="110" t="s">
        <v>9</v>
      </c>
      <c r="F13" s="110" t="s">
        <v>9</v>
      </c>
      <c r="G13" s="111" t="s">
        <v>123</v>
      </c>
      <c r="H13" s="6">
        <v>10</v>
      </c>
      <c r="I13" s="7">
        <v>2</v>
      </c>
      <c r="J13" s="6">
        <v>16.2</v>
      </c>
      <c r="K13" t="s">
        <v>101</v>
      </c>
      <c r="L13" s="7"/>
      <c r="M13" s="14" t="str">
        <f>Table131[[#This Row],[Slaggmängd]]&amp;Table131[[#This Row],[Gjuttemperatur]]&amp;Table131[[#This Row],[Temperatur motgjutningsyta]]&amp;Table131[[#This Row],[Värmekabel]]&amp;Table131[[#This Row],[Antal värmekablar]]&amp;Table131[[#This Row],[Täckning '[mm']]]&amp;Table131[[#This Row],[Formisolering '[mm']]]&amp;Table131[[#This Row],[OK&lt;17 Timamr]]&amp;Table131[[#This Row],[Kommentar]]</f>
        <v>0,11510---Plywood 15, oisoleratOK17</v>
      </c>
    </row>
    <row r="14" spans="1:20" x14ac:dyDescent="0.25">
      <c r="A14" s="6">
        <v>0.1</v>
      </c>
      <c r="B14" s="110">
        <v>15</v>
      </c>
      <c r="C14" s="110">
        <v>10</v>
      </c>
      <c r="D14" s="110" t="s">
        <v>9</v>
      </c>
      <c r="E14" s="110" t="s">
        <v>9</v>
      </c>
      <c r="F14" s="110" t="s">
        <v>10</v>
      </c>
      <c r="G14" s="111" t="s">
        <v>123</v>
      </c>
      <c r="H14" s="6">
        <v>10</v>
      </c>
      <c r="I14" s="7">
        <v>7</v>
      </c>
      <c r="J14" s="6">
        <v>16.399999999999999</v>
      </c>
      <c r="K14" t="s">
        <v>101</v>
      </c>
      <c r="L14" s="7"/>
      <c r="M14" s="14" t="str">
        <f>Table131[[#This Row],[Slaggmängd]]&amp;Table131[[#This Row],[Gjuttemperatur]]&amp;Table131[[#This Row],[Temperatur motgjutningsyta]]&amp;Table131[[#This Row],[Värmekabel]]&amp;Table131[[#This Row],[Antal värmekablar]]&amp;Table131[[#This Row],[Täckning '[mm']]]&amp;Table131[[#This Row],[Formisolering '[mm']]]&amp;Table131[[#This Row],[OK&lt;17 Timamr]]&amp;Table131[[#This Row],[Kommentar]]</f>
        <v>0,11510--PresenningPlywood 15, oisoleratOK17</v>
      </c>
    </row>
    <row r="15" spans="1:20" x14ac:dyDescent="0.25">
      <c r="A15" s="6">
        <v>0.1</v>
      </c>
      <c r="B15" s="110">
        <v>15</v>
      </c>
      <c r="C15" s="110">
        <v>10</v>
      </c>
      <c r="D15" s="110" t="s">
        <v>9</v>
      </c>
      <c r="E15" s="110" t="s">
        <v>9</v>
      </c>
      <c r="F15" s="110" t="s">
        <v>10</v>
      </c>
      <c r="G15" s="111" t="s">
        <v>123</v>
      </c>
      <c r="H15" s="6">
        <v>10</v>
      </c>
      <c r="I15" s="7">
        <v>12</v>
      </c>
      <c r="J15" s="6">
        <v>16.7</v>
      </c>
      <c r="K15" t="s">
        <v>101</v>
      </c>
      <c r="L15" s="7"/>
      <c r="M15" s="14" t="str">
        <f>Table131[[#This Row],[Slaggmängd]]&amp;Table131[[#This Row],[Gjuttemperatur]]&amp;Table131[[#This Row],[Temperatur motgjutningsyta]]&amp;Table131[[#This Row],[Värmekabel]]&amp;Table131[[#This Row],[Antal värmekablar]]&amp;Table131[[#This Row],[Täckning '[mm']]]&amp;Table131[[#This Row],[Formisolering '[mm']]]&amp;Table131[[#This Row],[OK&lt;17 Timamr]]&amp;Table131[[#This Row],[Kommentar]]</f>
        <v>0,11510--PresenningPlywood 15, oisoleratOK17</v>
      </c>
    </row>
    <row r="16" spans="1:20" ht="15.75" thickBot="1" x14ac:dyDescent="0.3">
      <c r="A16" s="8">
        <v>0.1</v>
      </c>
      <c r="B16" s="112">
        <v>15</v>
      </c>
      <c r="C16" s="112">
        <v>10</v>
      </c>
      <c r="D16" s="112" t="s">
        <v>9</v>
      </c>
      <c r="E16" s="112" t="s">
        <v>9</v>
      </c>
      <c r="F16" s="112" t="s">
        <v>10</v>
      </c>
      <c r="G16" s="113" t="s">
        <v>123</v>
      </c>
      <c r="H16" s="8">
        <v>10</v>
      </c>
      <c r="I16" s="10">
        <v>20</v>
      </c>
      <c r="J16" s="8">
        <v>16.7</v>
      </c>
      <c r="K16" s="9" t="s">
        <v>101</v>
      </c>
      <c r="L16" s="10"/>
      <c r="M16" s="15" t="str">
        <f>Table131[[#This Row],[Slaggmängd]]&amp;Table131[[#This Row],[Gjuttemperatur]]&amp;Table131[[#This Row],[Temperatur motgjutningsyta]]&amp;Table131[[#This Row],[Värmekabel]]&amp;Table131[[#This Row],[Antal värmekablar]]&amp;Table131[[#This Row],[Täckning '[mm']]]&amp;Table131[[#This Row],[Formisolering '[mm']]]&amp;Table131[[#This Row],[OK&lt;17 Timamr]]&amp;Table131[[#This Row],[Kommentar]]</f>
        <v>0,11510--PresenningPlywood 15, oisoleratOK17</v>
      </c>
    </row>
    <row r="17" spans="1:13" x14ac:dyDescent="0.25">
      <c r="A17" s="6">
        <v>0.3</v>
      </c>
      <c r="B17" s="110">
        <v>20</v>
      </c>
      <c r="C17" s="110">
        <v>5</v>
      </c>
      <c r="D17" s="110">
        <v>40</v>
      </c>
      <c r="E17" s="110">
        <v>1</v>
      </c>
      <c r="F17" s="110" t="s">
        <v>9</v>
      </c>
      <c r="G17" s="110" t="s">
        <v>125</v>
      </c>
      <c r="H17" s="3">
        <v>5</v>
      </c>
      <c r="I17" s="5">
        <v>0</v>
      </c>
      <c r="J17" s="4">
        <v>16.8</v>
      </c>
      <c r="K17" s="4" t="s">
        <v>101</v>
      </c>
      <c r="L17" s="5"/>
      <c r="M17" s="13" t="str">
        <f>Table131[[#This Row],[Slaggmängd]]&amp;Table131[[#This Row],[Gjuttemperatur]]&amp;Table131[[#This Row],[Temperatur motgjutningsyta]]&amp;Table131[[#This Row],[Värmekabel]]&amp;Table131[[#This Row],[Antal värmekablar]]&amp;Table131[[#This Row],[Täckning '[mm']]]&amp;Table131[[#This Row],[Formisolering '[mm']]]&amp;Table131[[#This Row],[OK&lt;17 Timamr]]&amp;Table131[[#This Row],[Kommentar]]</f>
        <v>0,3205401-Plywood 12-19  cellplast 50OK17</v>
      </c>
    </row>
    <row r="18" spans="1:13" x14ac:dyDescent="0.25">
      <c r="A18" s="6">
        <v>0.3</v>
      </c>
      <c r="B18" s="110">
        <v>20</v>
      </c>
      <c r="C18" s="110">
        <v>5</v>
      </c>
      <c r="D18" s="110">
        <v>40</v>
      </c>
      <c r="E18" s="110">
        <v>1</v>
      </c>
      <c r="F18" s="110">
        <v>10</v>
      </c>
      <c r="G18" s="110" t="s">
        <v>126</v>
      </c>
      <c r="H18" s="6">
        <v>5</v>
      </c>
      <c r="I18" s="7">
        <v>2</v>
      </c>
      <c r="J18">
        <v>16.8</v>
      </c>
      <c r="K18" t="s">
        <v>101</v>
      </c>
      <c r="L18" s="7"/>
      <c r="M18" s="14" t="str">
        <f>Table131[[#This Row],[Slaggmängd]]&amp;Table131[[#This Row],[Gjuttemperatur]]&amp;Table131[[#This Row],[Temperatur motgjutningsyta]]&amp;Table131[[#This Row],[Värmekabel]]&amp;Table131[[#This Row],[Antal värmekablar]]&amp;Table131[[#This Row],[Täckning '[mm']]]&amp;Table131[[#This Row],[Formisolering '[mm']]]&amp;Table131[[#This Row],[OK&lt;17 Timamr]]&amp;Table131[[#This Row],[Kommentar]]</f>
        <v>0,320540110Plywood 12-19 cellplast 70OK17</v>
      </c>
    </row>
    <row r="19" spans="1:13" x14ac:dyDescent="0.25">
      <c r="A19" s="6">
        <v>0.3</v>
      </c>
      <c r="B19" s="110">
        <v>20</v>
      </c>
      <c r="C19" s="110">
        <v>5</v>
      </c>
      <c r="D19" s="110">
        <v>40</v>
      </c>
      <c r="E19" s="110">
        <v>2</v>
      </c>
      <c r="F19" s="110">
        <v>10</v>
      </c>
      <c r="G19" s="110" t="s">
        <v>124</v>
      </c>
      <c r="H19" s="6">
        <v>5</v>
      </c>
      <c r="I19" s="7">
        <v>7</v>
      </c>
      <c r="J19">
        <v>16.5</v>
      </c>
      <c r="K19" t="s">
        <v>101</v>
      </c>
      <c r="L19" s="7"/>
      <c r="M19" s="14" t="str">
        <f>Table131[[#This Row],[Slaggmängd]]&amp;Table131[[#This Row],[Gjuttemperatur]]&amp;Table131[[#This Row],[Temperatur motgjutningsyta]]&amp;Table131[[#This Row],[Värmekabel]]&amp;Table131[[#This Row],[Antal värmekablar]]&amp;Table131[[#This Row],[Täckning '[mm']]]&amp;Table131[[#This Row],[Formisolering '[mm']]]&amp;Table131[[#This Row],[OK&lt;17 Timamr]]&amp;Table131[[#This Row],[Kommentar]]</f>
        <v>0,320540210Plywood 15 cellplast 30OK17</v>
      </c>
    </row>
    <row r="20" spans="1:13" x14ac:dyDescent="0.25">
      <c r="A20" s="6">
        <v>0.3</v>
      </c>
      <c r="B20" s="110">
        <v>20</v>
      </c>
      <c r="C20" s="110">
        <v>5</v>
      </c>
      <c r="D20" s="110">
        <v>40</v>
      </c>
      <c r="E20" s="110">
        <v>2</v>
      </c>
      <c r="F20" s="110">
        <v>10</v>
      </c>
      <c r="G20" s="110" t="s">
        <v>124</v>
      </c>
      <c r="H20" s="6">
        <v>5</v>
      </c>
      <c r="I20" s="7">
        <v>12</v>
      </c>
      <c r="J20">
        <v>16.899999999999999</v>
      </c>
      <c r="K20" t="s">
        <v>101</v>
      </c>
      <c r="L20" s="7"/>
      <c r="M20" s="14" t="str">
        <f>Table131[[#This Row],[Slaggmängd]]&amp;Table131[[#This Row],[Gjuttemperatur]]&amp;Table131[[#This Row],[Temperatur motgjutningsyta]]&amp;Table131[[#This Row],[Värmekabel]]&amp;Table131[[#This Row],[Antal värmekablar]]&amp;Table131[[#This Row],[Täckning '[mm']]]&amp;Table131[[#This Row],[Formisolering '[mm']]]&amp;Table131[[#This Row],[OK&lt;17 Timamr]]&amp;Table131[[#This Row],[Kommentar]]</f>
        <v>0,320540210Plywood 15 cellplast 30OK17</v>
      </c>
    </row>
    <row r="21" spans="1:13" ht="15.75" thickBot="1" x14ac:dyDescent="0.3">
      <c r="A21" s="6">
        <v>0.3</v>
      </c>
      <c r="B21" s="110">
        <v>20</v>
      </c>
      <c r="C21" s="110">
        <v>5</v>
      </c>
      <c r="D21" s="110">
        <v>40</v>
      </c>
      <c r="E21" s="110">
        <v>2</v>
      </c>
      <c r="F21" s="110">
        <v>10</v>
      </c>
      <c r="G21" s="110" t="s">
        <v>125</v>
      </c>
      <c r="H21" s="8">
        <v>5</v>
      </c>
      <c r="I21" s="10">
        <v>20</v>
      </c>
      <c r="J21" s="9">
        <v>16.8</v>
      </c>
      <c r="K21" s="9" t="s">
        <v>101</v>
      </c>
      <c r="L21" s="10"/>
      <c r="M21" s="15" t="str">
        <f>Table131[[#This Row],[Slaggmängd]]&amp;Table131[[#This Row],[Gjuttemperatur]]&amp;Table131[[#This Row],[Temperatur motgjutningsyta]]&amp;Table131[[#This Row],[Värmekabel]]&amp;Table131[[#This Row],[Antal värmekablar]]&amp;Table131[[#This Row],[Täckning '[mm']]]&amp;Table131[[#This Row],[Formisolering '[mm']]]&amp;Table131[[#This Row],[OK&lt;17 Timamr]]&amp;Table131[[#This Row],[Kommentar]]</f>
        <v>0,320540210Plywood 12-19  cellplast 50OK17</v>
      </c>
    </row>
    <row r="22" spans="1:13" x14ac:dyDescent="0.25">
      <c r="A22" s="3">
        <v>0.3</v>
      </c>
      <c r="B22" s="107">
        <v>20</v>
      </c>
      <c r="C22" s="107">
        <v>5</v>
      </c>
      <c r="D22" s="107">
        <v>40</v>
      </c>
      <c r="E22" s="107">
        <v>2</v>
      </c>
      <c r="F22" s="107">
        <v>10</v>
      </c>
      <c r="G22" s="114" t="s">
        <v>124</v>
      </c>
      <c r="H22" s="3">
        <v>0</v>
      </c>
      <c r="I22" s="5">
        <v>0</v>
      </c>
      <c r="J22" s="4">
        <v>16.2</v>
      </c>
      <c r="K22" s="4" t="s">
        <v>101</v>
      </c>
      <c r="L22" s="5"/>
      <c r="M22" s="13" t="str">
        <f>Table131[[#This Row],[Slaggmängd]]&amp;Table131[[#This Row],[Gjuttemperatur]]&amp;Table131[[#This Row],[Temperatur motgjutningsyta]]&amp;Table131[[#This Row],[Värmekabel]]&amp;Table131[[#This Row],[Antal värmekablar]]&amp;Table131[[#This Row],[Täckning '[mm']]]&amp;Table131[[#This Row],[Formisolering '[mm']]]&amp;Table131[[#This Row],[OK&lt;17 Timamr]]&amp;Table131[[#This Row],[Kommentar]]</f>
        <v>0,320540210Plywood 15 cellplast 30OK17</v>
      </c>
    </row>
    <row r="23" spans="1:13" x14ac:dyDescent="0.25">
      <c r="A23" s="6">
        <v>0.3</v>
      </c>
      <c r="B23" s="110">
        <v>20</v>
      </c>
      <c r="C23" s="110">
        <v>5</v>
      </c>
      <c r="D23" s="110">
        <v>40</v>
      </c>
      <c r="E23" s="110">
        <v>2</v>
      </c>
      <c r="F23" s="110">
        <v>10</v>
      </c>
      <c r="G23" s="111" t="s">
        <v>125</v>
      </c>
      <c r="H23" s="6">
        <v>0</v>
      </c>
      <c r="I23" s="7">
        <v>2</v>
      </c>
      <c r="J23">
        <v>16.600000000000001</v>
      </c>
      <c r="K23" t="s">
        <v>101</v>
      </c>
      <c r="L23" s="7"/>
      <c r="M23" s="14" t="str">
        <f>Table131[[#This Row],[Slaggmängd]]&amp;Table131[[#This Row],[Gjuttemperatur]]&amp;Table131[[#This Row],[Temperatur motgjutningsyta]]&amp;Table131[[#This Row],[Värmekabel]]&amp;Table131[[#This Row],[Antal värmekablar]]&amp;Table131[[#This Row],[Täckning '[mm']]]&amp;Table131[[#This Row],[Formisolering '[mm']]]&amp;Table131[[#This Row],[OK&lt;17 Timamr]]&amp;Table131[[#This Row],[Kommentar]]</f>
        <v>0,320540210Plywood 12-19  cellplast 50OK17</v>
      </c>
    </row>
    <row r="24" spans="1:13" x14ac:dyDescent="0.25">
      <c r="A24" s="6">
        <v>0.3</v>
      </c>
      <c r="B24" s="110">
        <v>20</v>
      </c>
      <c r="C24" s="110">
        <v>5</v>
      </c>
      <c r="D24" s="110">
        <v>40</v>
      </c>
      <c r="E24" s="110">
        <v>3</v>
      </c>
      <c r="F24" s="110">
        <v>10</v>
      </c>
      <c r="G24" s="111" t="s">
        <v>128</v>
      </c>
      <c r="H24" s="6">
        <v>0</v>
      </c>
      <c r="I24" s="7">
        <v>7</v>
      </c>
      <c r="J24">
        <v>16.8</v>
      </c>
      <c r="K24" t="s">
        <v>101</v>
      </c>
      <c r="L24" s="7"/>
      <c r="M24" s="14" t="str">
        <f>Table131[[#This Row],[Slaggmängd]]&amp;Table131[[#This Row],[Gjuttemperatur]]&amp;Table131[[#This Row],[Temperatur motgjutningsyta]]&amp;Table131[[#This Row],[Värmekabel]]&amp;Table131[[#This Row],[Antal värmekablar]]&amp;Table131[[#This Row],[Täckning '[mm']]]&amp;Table131[[#This Row],[Formisolering '[mm']]]&amp;Table131[[#This Row],[OK&lt;17 Timamr]]&amp;Table131[[#This Row],[Kommentar]]</f>
        <v>0,320540310Plywood 12-19 cellplast 120OK17</v>
      </c>
    </row>
    <row r="25" spans="1:13" x14ac:dyDescent="0.25">
      <c r="A25" s="6">
        <v>0.2</v>
      </c>
      <c r="B25" s="110">
        <v>20</v>
      </c>
      <c r="C25" s="110">
        <v>5</v>
      </c>
      <c r="D25" s="110">
        <v>40</v>
      </c>
      <c r="E25" s="110">
        <v>1</v>
      </c>
      <c r="F25" s="110">
        <v>10</v>
      </c>
      <c r="G25" s="111" t="s">
        <v>124</v>
      </c>
      <c r="H25" s="6">
        <v>0</v>
      </c>
      <c r="I25" s="7">
        <v>12</v>
      </c>
      <c r="J25">
        <v>16.100000000000001</v>
      </c>
      <c r="K25" t="s">
        <v>101</v>
      </c>
      <c r="L25" s="7"/>
      <c r="M25" s="14" t="str">
        <f>Table131[[#This Row],[Slaggmängd]]&amp;Table131[[#This Row],[Gjuttemperatur]]&amp;Table131[[#This Row],[Temperatur motgjutningsyta]]&amp;Table131[[#This Row],[Värmekabel]]&amp;Table131[[#This Row],[Antal värmekablar]]&amp;Table131[[#This Row],[Täckning '[mm']]]&amp;Table131[[#This Row],[Formisolering '[mm']]]&amp;Table131[[#This Row],[OK&lt;17 Timamr]]&amp;Table131[[#This Row],[Kommentar]]</f>
        <v>0,220540110Plywood 15 cellplast 30OK17</v>
      </c>
    </row>
    <row r="26" spans="1:13" ht="15.75" thickBot="1" x14ac:dyDescent="0.3">
      <c r="A26" s="8">
        <v>0.2</v>
      </c>
      <c r="B26" s="112">
        <v>20</v>
      </c>
      <c r="C26" s="112">
        <v>5</v>
      </c>
      <c r="D26" s="112">
        <v>40</v>
      </c>
      <c r="E26" s="112">
        <v>1</v>
      </c>
      <c r="F26" s="112">
        <v>10</v>
      </c>
      <c r="G26" s="113" t="s">
        <v>124</v>
      </c>
      <c r="H26" s="8">
        <v>0</v>
      </c>
      <c r="I26" s="10">
        <v>20</v>
      </c>
      <c r="J26" s="9">
        <v>16.5</v>
      </c>
      <c r="K26" s="9" t="s">
        <v>101</v>
      </c>
      <c r="L26" s="10"/>
      <c r="M26" s="15" t="str">
        <f>Table131[[#This Row],[Slaggmängd]]&amp;Table131[[#This Row],[Gjuttemperatur]]&amp;Table131[[#This Row],[Temperatur motgjutningsyta]]&amp;Table131[[#This Row],[Värmekabel]]&amp;Table131[[#This Row],[Antal värmekablar]]&amp;Table131[[#This Row],[Täckning '[mm']]]&amp;Table131[[#This Row],[Formisolering '[mm']]]&amp;Table131[[#This Row],[OK&lt;17 Timamr]]&amp;Table131[[#This Row],[Kommentar]]</f>
        <v>0,220540110Plywood 15 cellplast 30OK17</v>
      </c>
    </row>
    <row r="27" spans="1:13" x14ac:dyDescent="0.25">
      <c r="A27" s="3">
        <v>0.2</v>
      </c>
      <c r="B27" s="107">
        <v>20</v>
      </c>
      <c r="C27" s="107">
        <v>5</v>
      </c>
      <c r="D27" s="107" t="s">
        <v>9</v>
      </c>
      <c r="E27" s="107" t="s">
        <v>9</v>
      </c>
      <c r="F27" s="107" t="s">
        <v>9</v>
      </c>
      <c r="G27" s="114" t="s">
        <v>127</v>
      </c>
      <c r="H27" s="3">
        <v>-5</v>
      </c>
      <c r="I27" s="5">
        <v>0</v>
      </c>
      <c r="J27" s="4">
        <v>16.899999999999999</v>
      </c>
      <c r="K27" s="4" t="s">
        <v>101</v>
      </c>
      <c r="L27" s="5"/>
      <c r="M27" s="13" t="str">
        <f>Table131[[#This Row],[Slaggmängd]]&amp;Table131[[#This Row],[Gjuttemperatur]]&amp;Table131[[#This Row],[Temperatur motgjutningsyta]]&amp;Table131[[#This Row],[Värmekabel]]&amp;Table131[[#This Row],[Antal värmekablar]]&amp;Table131[[#This Row],[Täckning '[mm']]]&amp;Table131[[#This Row],[Formisolering '[mm']]]&amp;Table131[[#This Row],[OK&lt;17 Timamr]]&amp;Table131[[#This Row],[Kommentar]]</f>
        <v>0,2205---Plywood 12-19 cellplast 100OK17</v>
      </c>
    </row>
    <row r="28" spans="1:13" x14ac:dyDescent="0.25">
      <c r="A28" s="6">
        <v>0.2</v>
      </c>
      <c r="B28" s="110">
        <v>20</v>
      </c>
      <c r="C28" s="110">
        <v>5</v>
      </c>
      <c r="D28" s="110">
        <v>40</v>
      </c>
      <c r="E28" s="110">
        <v>1</v>
      </c>
      <c r="F28" s="110">
        <v>10</v>
      </c>
      <c r="G28" s="111" t="s">
        <v>124</v>
      </c>
      <c r="H28" s="6">
        <v>-5</v>
      </c>
      <c r="I28" s="7">
        <v>2</v>
      </c>
      <c r="J28">
        <v>16.2</v>
      </c>
      <c r="K28" t="s">
        <v>101</v>
      </c>
      <c r="L28" s="7"/>
      <c r="M28" s="14" t="str">
        <f>Table131[[#This Row],[Slaggmängd]]&amp;Table131[[#This Row],[Gjuttemperatur]]&amp;Table131[[#This Row],[Temperatur motgjutningsyta]]&amp;Table131[[#This Row],[Värmekabel]]&amp;Table131[[#This Row],[Antal värmekablar]]&amp;Table131[[#This Row],[Täckning '[mm']]]&amp;Table131[[#This Row],[Formisolering '[mm']]]&amp;Table131[[#This Row],[OK&lt;17 Timamr]]&amp;Table131[[#This Row],[Kommentar]]</f>
        <v>0,220540110Plywood 15 cellplast 30OK17</v>
      </c>
    </row>
    <row r="29" spans="1:13" x14ac:dyDescent="0.25">
      <c r="A29" s="6">
        <v>0.2</v>
      </c>
      <c r="B29" s="110">
        <v>20</v>
      </c>
      <c r="C29" s="110">
        <v>5</v>
      </c>
      <c r="D29" s="110">
        <v>40</v>
      </c>
      <c r="E29" s="110">
        <v>1</v>
      </c>
      <c r="F29" s="110">
        <v>10</v>
      </c>
      <c r="G29" s="111" t="s">
        <v>125</v>
      </c>
      <c r="H29" s="6">
        <v>-5</v>
      </c>
      <c r="I29" s="7">
        <v>7</v>
      </c>
      <c r="J29">
        <v>16.7</v>
      </c>
      <c r="K29" t="s">
        <v>101</v>
      </c>
      <c r="L29" s="7"/>
      <c r="M29" s="14" t="str">
        <f>Table131[[#This Row],[Slaggmängd]]&amp;Table131[[#This Row],[Gjuttemperatur]]&amp;Table131[[#This Row],[Temperatur motgjutningsyta]]&amp;Table131[[#This Row],[Värmekabel]]&amp;Table131[[#This Row],[Antal värmekablar]]&amp;Table131[[#This Row],[Täckning '[mm']]]&amp;Table131[[#This Row],[Formisolering '[mm']]]&amp;Table131[[#This Row],[OK&lt;17 Timamr]]&amp;Table131[[#This Row],[Kommentar]]</f>
        <v>0,220540110Plywood 12-19  cellplast 50OK17</v>
      </c>
    </row>
    <row r="30" spans="1:13" x14ac:dyDescent="0.25">
      <c r="A30" s="6">
        <v>0.2</v>
      </c>
      <c r="B30" s="110">
        <v>20</v>
      </c>
      <c r="C30" s="110">
        <v>5</v>
      </c>
      <c r="D30" s="110">
        <v>40</v>
      </c>
      <c r="E30" s="110">
        <v>1</v>
      </c>
      <c r="F30" s="110">
        <v>10</v>
      </c>
      <c r="G30" s="111" t="s">
        <v>126</v>
      </c>
      <c r="H30" s="6">
        <v>-5</v>
      </c>
      <c r="I30" s="7">
        <v>12</v>
      </c>
      <c r="J30">
        <v>16.899999999999999</v>
      </c>
      <c r="K30" t="s">
        <v>101</v>
      </c>
      <c r="L30" s="7"/>
      <c r="M30" s="14" t="str">
        <f>Table131[[#This Row],[Slaggmängd]]&amp;Table131[[#This Row],[Gjuttemperatur]]&amp;Table131[[#This Row],[Temperatur motgjutningsyta]]&amp;Table131[[#This Row],[Värmekabel]]&amp;Table131[[#This Row],[Antal värmekablar]]&amp;Table131[[#This Row],[Täckning '[mm']]]&amp;Table131[[#This Row],[Formisolering '[mm']]]&amp;Table131[[#This Row],[OK&lt;17 Timamr]]&amp;Table131[[#This Row],[Kommentar]]</f>
        <v>0,220540110Plywood 12-19 cellplast 70OK17</v>
      </c>
    </row>
    <row r="31" spans="1:13" ht="15.75" thickBot="1" x14ac:dyDescent="0.3">
      <c r="A31" s="8" t="s">
        <v>9</v>
      </c>
      <c r="B31" s="112" t="s">
        <v>9</v>
      </c>
      <c r="C31" s="112" t="s">
        <v>9</v>
      </c>
      <c r="D31" s="112" t="s">
        <v>9</v>
      </c>
      <c r="E31" s="112" t="s">
        <v>9</v>
      </c>
      <c r="F31" s="112" t="s">
        <v>9</v>
      </c>
      <c r="G31" s="113" t="s">
        <v>9</v>
      </c>
      <c r="H31" s="8">
        <v>-5</v>
      </c>
      <c r="I31" s="10">
        <v>20</v>
      </c>
      <c r="J31" s="9"/>
      <c r="K31" s="9"/>
      <c r="L31" s="10" t="s">
        <v>100</v>
      </c>
      <c r="M31" s="15" t="str">
        <f>Table131[[#This Row],[Slaggmängd]]&amp;Table131[[#This Row],[Gjuttemperatur]]&amp;Table131[[#This Row],[Temperatur motgjutningsyta]]&amp;Table131[[#This Row],[Värmekabel]]&amp;Table131[[#This Row],[Antal värmekablar]]&amp;Table131[[#This Row],[Täckning '[mm']]]&amp;Table131[[#This Row],[Formisolering '[mm']]]&amp;Table131[[#This Row],[OK&lt;17 Timamr]]&amp;Table131[[#This Row],[Kommentar]]</f>
        <v>-------Fryser innan täck</v>
      </c>
    </row>
    <row r="32" spans="1:13" x14ac:dyDescent="0.25">
      <c r="A32" s="3">
        <v>0.2</v>
      </c>
      <c r="B32" s="107">
        <v>20</v>
      </c>
      <c r="C32" s="107">
        <v>5</v>
      </c>
      <c r="D32" s="107">
        <v>40</v>
      </c>
      <c r="E32" s="107">
        <v>1</v>
      </c>
      <c r="F32" s="107">
        <v>10</v>
      </c>
      <c r="G32" s="114" t="s">
        <v>124</v>
      </c>
      <c r="H32" s="3">
        <v>-10</v>
      </c>
      <c r="I32" s="5">
        <v>0</v>
      </c>
      <c r="J32" s="4">
        <v>15.8</v>
      </c>
      <c r="K32" s="4" t="s">
        <v>101</v>
      </c>
      <c r="L32" s="5"/>
      <c r="M32" s="13" t="str">
        <f>Table131[[#This Row],[Slaggmängd]]&amp;Table131[[#This Row],[Gjuttemperatur]]&amp;Table131[[#This Row],[Temperatur motgjutningsyta]]&amp;Table131[[#This Row],[Värmekabel]]&amp;Table131[[#This Row],[Antal värmekablar]]&amp;Table131[[#This Row],[Täckning '[mm']]]&amp;Table131[[#This Row],[Formisolering '[mm']]]&amp;Table131[[#This Row],[OK&lt;17 Timamr]]&amp;Table131[[#This Row],[Kommentar]]</f>
        <v>0,220540110Plywood 15 cellplast 30OK17</v>
      </c>
    </row>
    <row r="33" spans="1:13" x14ac:dyDescent="0.25">
      <c r="A33" s="6">
        <v>0.2</v>
      </c>
      <c r="B33" s="110">
        <v>20</v>
      </c>
      <c r="C33" s="110">
        <v>5</v>
      </c>
      <c r="D33" s="110">
        <v>40</v>
      </c>
      <c r="E33" s="110">
        <v>1</v>
      </c>
      <c r="F33" s="110">
        <v>10</v>
      </c>
      <c r="G33" s="111" t="s">
        <v>125</v>
      </c>
      <c r="H33" s="6">
        <v>-10</v>
      </c>
      <c r="I33" s="7">
        <v>2</v>
      </c>
      <c r="J33">
        <v>16.8</v>
      </c>
      <c r="K33" t="s">
        <v>101</v>
      </c>
      <c r="L33" s="7"/>
      <c r="M33" s="14" t="str">
        <f>Table131[[#This Row],[Slaggmängd]]&amp;Table131[[#This Row],[Gjuttemperatur]]&amp;Table131[[#This Row],[Temperatur motgjutningsyta]]&amp;Table131[[#This Row],[Värmekabel]]&amp;Table131[[#This Row],[Antal värmekablar]]&amp;Table131[[#This Row],[Täckning '[mm']]]&amp;Table131[[#This Row],[Formisolering '[mm']]]&amp;Table131[[#This Row],[OK&lt;17 Timamr]]&amp;Table131[[#This Row],[Kommentar]]</f>
        <v>0,220540110Plywood 12-19  cellplast 50OK17</v>
      </c>
    </row>
    <row r="34" spans="1:13" x14ac:dyDescent="0.25">
      <c r="A34" s="6">
        <v>0.2</v>
      </c>
      <c r="B34" s="110">
        <v>20</v>
      </c>
      <c r="C34" s="110">
        <v>5</v>
      </c>
      <c r="D34" s="110">
        <v>40</v>
      </c>
      <c r="E34" s="110">
        <v>2</v>
      </c>
      <c r="F34" s="110">
        <v>10</v>
      </c>
      <c r="G34" s="111" t="s">
        <v>125</v>
      </c>
      <c r="H34" s="6">
        <v>-10</v>
      </c>
      <c r="I34" s="7">
        <v>7</v>
      </c>
      <c r="J34">
        <v>16.899999999999999</v>
      </c>
      <c r="K34" t="s">
        <v>101</v>
      </c>
      <c r="L34" s="7"/>
      <c r="M34" s="14" t="str">
        <f>Table131[[#This Row],[Slaggmängd]]&amp;Table131[[#This Row],[Gjuttemperatur]]&amp;Table131[[#This Row],[Temperatur motgjutningsyta]]&amp;Table131[[#This Row],[Värmekabel]]&amp;Table131[[#This Row],[Antal värmekablar]]&amp;Table131[[#This Row],[Täckning '[mm']]]&amp;Table131[[#This Row],[Formisolering '[mm']]]&amp;Table131[[#This Row],[OK&lt;17 Timamr]]&amp;Table131[[#This Row],[Kommentar]]</f>
        <v>0,220540210Plywood 12-19  cellplast 50OK17</v>
      </c>
    </row>
    <row r="35" spans="1:13" x14ac:dyDescent="0.25">
      <c r="A35" s="6" t="s">
        <v>9</v>
      </c>
      <c r="B35" s="110" t="s">
        <v>9</v>
      </c>
      <c r="C35" s="110" t="s">
        <v>9</v>
      </c>
      <c r="D35" s="110" t="s">
        <v>9</v>
      </c>
      <c r="E35" s="110" t="s">
        <v>9</v>
      </c>
      <c r="F35" s="110" t="s">
        <v>9</v>
      </c>
      <c r="G35" s="111" t="s">
        <v>9</v>
      </c>
      <c r="H35" s="6">
        <v>-10</v>
      </c>
      <c r="I35" s="7">
        <v>12</v>
      </c>
      <c r="L35" s="7" t="s">
        <v>100</v>
      </c>
      <c r="M35" s="14" t="str">
        <f>Table131[[#This Row],[Slaggmängd]]&amp;Table131[[#This Row],[Gjuttemperatur]]&amp;Table131[[#This Row],[Temperatur motgjutningsyta]]&amp;Table131[[#This Row],[Värmekabel]]&amp;Table131[[#This Row],[Antal värmekablar]]&amp;Table131[[#This Row],[Täckning '[mm']]]&amp;Table131[[#This Row],[Formisolering '[mm']]]&amp;Table131[[#This Row],[OK&lt;17 Timamr]]&amp;Table131[[#This Row],[Kommentar]]</f>
        <v>-------Fryser innan täck</v>
      </c>
    </row>
    <row r="36" spans="1:13" ht="15.75" thickBot="1" x14ac:dyDescent="0.3">
      <c r="A36" s="8" t="s">
        <v>9</v>
      </c>
      <c r="B36" s="112" t="s">
        <v>9</v>
      </c>
      <c r="C36" s="112" t="s">
        <v>9</v>
      </c>
      <c r="D36" s="112" t="s">
        <v>9</v>
      </c>
      <c r="E36" s="112" t="s">
        <v>9</v>
      </c>
      <c r="F36" s="112" t="s">
        <v>9</v>
      </c>
      <c r="G36" s="113" t="s">
        <v>9</v>
      </c>
      <c r="H36" s="8">
        <v>-10</v>
      </c>
      <c r="I36" s="10">
        <v>20</v>
      </c>
      <c r="J36" s="9"/>
      <c r="K36" s="9"/>
      <c r="L36" s="10" t="s">
        <v>100</v>
      </c>
      <c r="M36" s="15" t="str">
        <f>Table131[[#This Row],[Slaggmängd]]&amp;Table131[[#This Row],[Gjuttemperatur]]&amp;Table131[[#This Row],[Temperatur motgjutningsyta]]&amp;Table131[[#This Row],[Värmekabel]]&amp;Table131[[#This Row],[Antal värmekablar]]&amp;Table131[[#This Row],[Täckning '[mm']]]&amp;Table131[[#This Row],[Formisolering '[mm']]]&amp;Table131[[#This Row],[OK&lt;17 Timamr]]&amp;Table131[[#This Row],[Kommentar]]</f>
        <v>-------Fryser innan täck</v>
      </c>
    </row>
    <row r="37" spans="1:13" x14ac:dyDescent="0.25">
      <c r="A37" s="6">
        <v>0.2</v>
      </c>
      <c r="B37" s="110">
        <v>15</v>
      </c>
      <c r="C37" s="110">
        <v>5</v>
      </c>
      <c r="D37" s="110">
        <v>40</v>
      </c>
      <c r="E37" s="110">
        <v>2</v>
      </c>
      <c r="F37" s="110">
        <v>30</v>
      </c>
      <c r="G37" s="110" t="s">
        <v>126</v>
      </c>
      <c r="H37" s="3">
        <v>-15</v>
      </c>
      <c r="I37" s="5">
        <v>0</v>
      </c>
      <c r="J37" s="4">
        <v>16.899999999999999</v>
      </c>
      <c r="K37" s="4" t="s">
        <v>101</v>
      </c>
      <c r="L37" s="5"/>
      <c r="M37" s="13" t="str">
        <f>Table131[[#This Row],[Slaggmängd]]&amp;Table131[[#This Row],[Gjuttemperatur]]&amp;Table131[[#This Row],[Temperatur motgjutningsyta]]&amp;Table131[[#This Row],[Värmekabel]]&amp;Table131[[#This Row],[Antal värmekablar]]&amp;Table131[[#This Row],[Täckning '[mm']]]&amp;Table131[[#This Row],[Formisolering '[mm']]]&amp;Table131[[#This Row],[OK&lt;17 Timamr]]&amp;Table131[[#This Row],[Kommentar]]</f>
        <v>0,215540230Plywood 12-19 cellplast 70OK17</v>
      </c>
    </row>
    <row r="38" spans="1:13" x14ac:dyDescent="0.25">
      <c r="A38" s="6">
        <v>0.1</v>
      </c>
      <c r="B38" s="110">
        <v>15</v>
      </c>
      <c r="C38" s="110">
        <v>5</v>
      </c>
      <c r="D38" s="110">
        <v>40</v>
      </c>
      <c r="E38" s="110">
        <v>2</v>
      </c>
      <c r="F38" s="110">
        <v>20</v>
      </c>
      <c r="G38" s="110" t="s">
        <v>127</v>
      </c>
      <c r="H38" s="6">
        <v>-15</v>
      </c>
      <c r="I38" s="7">
        <v>2</v>
      </c>
      <c r="J38">
        <v>16.8</v>
      </c>
      <c r="K38" t="s">
        <v>101</v>
      </c>
      <c r="L38" s="7"/>
      <c r="M38" s="14" t="str">
        <f>Table131[[#This Row],[Slaggmängd]]&amp;Table131[[#This Row],[Gjuttemperatur]]&amp;Table131[[#This Row],[Temperatur motgjutningsyta]]&amp;Table131[[#This Row],[Värmekabel]]&amp;Table131[[#This Row],[Antal värmekablar]]&amp;Table131[[#This Row],[Täckning '[mm']]]&amp;Table131[[#This Row],[Formisolering '[mm']]]&amp;Table131[[#This Row],[OK&lt;17 Timamr]]&amp;Table131[[#This Row],[Kommentar]]</f>
        <v>0,115540220Plywood 12-19 cellplast 100OK17</v>
      </c>
    </row>
    <row r="39" spans="1:13" x14ac:dyDescent="0.25">
      <c r="A39" s="6" t="s">
        <v>9</v>
      </c>
      <c r="B39" s="110" t="s">
        <v>9</v>
      </c>
      <c r="C39" s="110" t="s">
        <v>9</v>
      </c>
      <c r="D39" s="110" t="s">
        <v>9</v>
      </c>
      <c r="E39" s="110" t="s">
        <v>9</v>
      </c>
      <c r="F39" s="110" t="s">
        <v>9</v>
      </c>
      <c r="G39" s="110" t="s">
        <v>9</v>
      </c>
      <c r="H39" s="6">
        <v>-15</v>
      </c>
      <c r="I39" s="7">
        <v>7</v>
      </c>
      <c r="L39" s="7" t="s">
        <v>100</v>
      </c>
      <c r="M39" s="14" t="str">
        <f>Table131[[#This Row],[Slaggmängd]]&amp;Table131[[#This Row],[Gjuttemperatur]]&amp;Table131[[#This Row],[Temperatur motgjutningsyta]]&amp;Table131[[#This Row],[Värmekabel]]&amp;Table131[[#This Row],[Antal värmekablar]]&amp;Table131[[#This Row],[Täckning '[mm']]]&amp;Table131[[#This Row],[Formisolering '[mm']]]&amp;Table131[[#This Row],[OK&lt;17 Timamr]]&amp;Table131[[#This Row],[Kommentar]]</f>
        <v>-------Fryser innan täck</v>
      </c>
    </row>
    <row r="40" spans="1:13" x14ac:dyDescent="0.25">
      <c r="A40" s="6" t="s">
        <v>9</v>
      </c>
      <c r="B40" s="110" t="s">
        <v>9</v>
      </c>
      <c r="C40" s="110" t="s">
        <v>9</v>
      </c>
      <c r="D40" s="110" t="s">
        <v>9</v>
      </c>
      <c r="E40" s="110" t="s">
        <v>9</v>
      </c>
      <c r="F40" s="110" t="s">
        <v>9</v>
      </c>
      <c r="G40" s="110" t="s">
        <v>9</v>
      </c>
      <c r="H40" s="6">
        <v>-15</v>
      </c>
      <c r="I40" s="7">
        <v>12</v>
      </c>
      <c r="L40" s="7" t="s">
        <v>100</v>
      </c>
      <c r="M40" s="14" t="str">
        <f>Table131[[#This Row],[Slaggmängd]]&amp;Table131[[#This Row],[Gjuttemperatur]]&amp;Table131[[#This Row],[Temperatur motgjutningsyta]]&amp;Table131[[#This Row],[Värmekabel]]&amp;Table131[[#This Row],[Antal värmekablar]]&amp;Table131[[#This Row],[Täckning '[mm']]]&amp;Table131[[#This Row],[Formisolering '[mm']]]&amp;Table131[[#This Row],[OK&lt;17 Timamr]]&amp;Table131[[#This Row],[Kommentar]]</f>
        <v>-------Fryser innan täck</v>
      </c>
    </row>
    <row r="41" spans="1:13" ht="15.75" thickBot="1" x14ac:dyDescent="0.3">
      <c r="A41" s="6" t="s">
        <v>9</v>
      </c>
      <c r="B41" s="110" t="s">
        <v>9</v>
      </c>
      <c r="C41" s="110" t="s">
        <v>9</v>
      </c>
      <c r="D41" s="110" t="s">
        <v>9</v>
      </c>
      <c r="E41" s="110" t="s">
        <v>9</v>
      </c>
      <c r="F41" s="110" t="s">
        <v>9</v>
      </c>
      <c r="G41" s="110" t="s">
        <v>9</v>
      </c>
      <c r="H41" s="8">
        <v>-15</v>
      </c>
      <c r="I41" s="10">
        <v>20</v>
      </c>
      <c r="J41" s="9"/>
      <c r="K41" s="9"/>
      <c r="L41" s="10" t="s">
        <v>100</v>
      </c>
      <c r="M41" s="15" t="str">
        <f>Table131[[#This Row],[Slaggmängd]]&amp;Table131[[#This Row],[Gjuttemperatur]]&amp;Table131[[#This Row],[Temperatur motgjutningsyta]]&amp;Table131[[#This Row],[Värmekabel]]&amp;Table131[[#This Row],[Antal värmekablar]]&amp;Table131[[#This Row],[Täckning '[mm']]]&amp;Table131[[#This Row],[Formisolering '[mm']]]&amp;Table131[[#This Row],[OK&lt;17 Timamr]]&amp;Table131[[#This Row],[Kommentar]]</f>
        <v>-------Fryser innan täck</v>
      </c>
    </row>
    <row r="42" spans="1:13" x14ac:dyDescent="0.25">
      <c r="A42" s="3" t="s">
        <v>9</v>
      </c>
      <c r="B42" s="107" t="s">
        <v>9</v>
      </c>
      <c r="C42" s="107" t="s">
        <v>9</v>
      </c>
      <c r="D42" s="107" t="s">
        <v>9</v>
      </c>
      <c r="E42" s="107" t="s">
        <v>9</v>
      </c>
      <c r="F42" s="107" t="s">
        <v>9</v>
      </c>
      <c r="G42" s="114" t="s">
        <v>9</v>
      </c>
      <c r="H42" s="6">
        <v>-20</v>
      </c>
      <c r="I42" s="7">
        <v>0</v>
      </c>
      <c r="L42" s="7" t="s">
        <v>122</v>
      </c>
      <c r="M42" s="14" t="str">
        <f>Table131[[#This Row],[Slaggmängd]]&amp;Table131[[#This Row],[Gjuttemperatur]]&amp;Table131[[#This Row],[Temperatur motgjutningsyta]]&amp;Table131[[#This Row],[Värmekabel]]&amp;Table131[[#This Row],[Antal värmekablar]]&amp;Table131[[#This Row],[Täckning '[mm']]]&amp;Table131[[#This Row],[Formisolering '[mm']]]&amp;Table131[[#This Row],[OK&lt;17 Timamr]]&amp;Table131[[#This Row],[Kommentar]]</f>
        <v>-------Når ej 6 MPa</v>
      </c>
    </row>
    <row r="43" spans="1:13" x14ac:dyDescent="0.25">
      <c r="A43" s="6" t="s">
        <v>9</v>
      </c>
      <c r="B43" s="110" t="s">
        <v>9</v>
      </c>
      <c r="C43" s="110" t="s">
        <v>9</v>
      </c>
      <c r="D43" s="110" t="s">
        <v>9</v>
      </c>
      <c r="E43" s="110" t="s">
        <v>9</v>
      </c>
      <c r="F43" s="110" t="s">
        <v>9</v>
      </c>
      <c r="G43" s="111" t="s">
        <v>9</v>
      </c>
      <c r="H43" s="6">
        <v>-20</v>
      </c>
      <c r="I43" s="7">
        <v>2</v>
      </c>
      <c r="L43" s="7" t="s">
        <v>100</v>
      </c>
      <c r="M43" s="14" t="str">
        <f>Table131[[#This Row],[Slaggmängd]]&amp;Table131[[#This Row],[Gjuttemperatur]]&amp;Table131[[#This Row],[Temperatur motgjutningsyta]]&amp;Table131[[#This Row],[Värmekabel]]&amp;Table131[[#This Row],[Antal värmekablar]]&amp;Table131[[#This Row],[Täckning '[mm']]]&amp;Table131[[#This Row],[Formisolering '[mm']]]&amp;Table131[[#This Row],[OK&lt;17 Timamr]]&amp;Table131[[#This Row],[Kommentar]]</f>
        <v>-------Fryser innan täck</v>
      </c>
    </row>
    <row r="44" spans="1:13" x14ac:dyDescent="0.25">
      <c r="A44" s="6" t="s">
        <v>9</v>
      </c>
      <c r="B44" s="110" t="s">
        <v>9</v>
      </c>
      <c r="C44" s="110" t="s">
        <v>9</v>
      </c>
      <c r="D44" s="110" t="s">
        <v>9</v>
      </c>
      <c r="E44" s="110" t="s">
        <v>9</v>
      </c>
      <c r="F44" s="110" t="s">
        <v>9</v>
      </c>
      <c r="G44" s="111" t="s">
        <v>9</v>
      </c>
      <c r="H44" s="6">
        <v>-20</v>
      </c>
      <c r="I44" s="7">
        <v>7</v>
      </c>
      <c r="L44" s="7" t="s">
        <v>100</v>
      </c>
      <c r="M44" s="14" t="str">
        <f>Table131[[#This Row],[Slaggmängd]]&amp;Table131[[#This Row],[Gjuttemperatur]]&amp;Table131[[#This Row],[Temperatur motgjutningsyta]]&amp;Table131[[#This Row],[Värmekabel]]&amp;Table131[[#This Row],[Antal värmekablar]]&amp;Table131[[#This Row],[Täckning '[mm']]]&amp;Table131[[#This Row],[Formisolering '[mm']]]&amp;Table131[[#This Row],[OK&lt;17 Timamr]]&amp;Table131[[#This Row],[Kommentar]]</f>
        <v>-------Fryser innan täck</v>
      </c>
    </row>
    <row r="45" spans="1:13" x14ac:dyDescent="0.25">
      <c r="A45" s="6" t="s">
        <v>9</v>
      </c>
      <c r="B45" s="110" t="s">
        <v>9</v>
      </c>
      <c r="C45" s="110" t="s">
        <v>9</v>
      </c>
      <c r="D45" s="110" t="s">
        <v>9</v>
      </c>
      <c r="E45" s="110" t="s">
        <v>9</v>
      </c>
      <c r="F45" s="110" t="s">
        <v>9</v>
      </c>
      <c r="G45" s="111" t="s">
        <v>9</v>
      </c>
      <c r="H45" s="6">
        <v>-20</v>
      </c>
      <c r="I45" s="7">
        <v>12</v>
      </c>
      <c r="L45" s="7" t="s">
        <v>100</v>
      </c>
      <c r="M45" s="14" t="str">
        <f>Table131[[#This Row],[Slaggmängd]]&amp;Table131[[#This Row],[Gjuttemperatur]]&amp;Table131[[#This Row],[Temperatur motgjutningsyta]]&amp;Table131[[#This Row],[Värmekabel]]&amp;Table131[[#This Row],[Antal värmekablar]]&amp;Table131[[#This Row],[Täckning '[mm']]]&amp;Table131[[#This Row],[Formisolering '[mm']]]&amp;Table131[[#This Row],[OK&lt;17 Timamr]]&amp;Table131[[#This Row],[Kommentar]]</f>
        <v>-------Fryser innan täck</v>
      </c>
    </row>
    <row r="46" spans="1:13" ht="15.75" thickBot="1" x14ac:dyDescent="0.3">
      <c r="A46" s="8" t="s">
        <v>9</v>
      </c>
      <c r="B46" s="112" t="s">
        <v>9</v>
      </c>
      <c r="C46" s="112" t="s">
        <v>9</v>
      </c>
      <c r="D46" s="112" t="s">
        <v>9</v>
      </c>
      <c r="E46" s="112" t="s">
        <v>9</v>
      </c>
      <c r="F46" s="112" t="s">
        <v>9</v>
      </c>
      <c r="G46" s="113" t="s">
        <v>9</v>
      </c>
      <c r="H46" s="8">
        <v>-20</v>
      </c>
      <c r="I46" s="10">
        <v>20</v>
      </c>
      <c r="J46" s="9"/>
      <c r="K46" s="9"/>
      <c r="L46" s="10" t="s">
        <v>100</v>
      </c>
      <c r="M46" s="15" t="str">
        <f>Table131[[#This Row],[Slaggmängd]]&amp;Table131[[#This Row],[Gjuttemperatur]]&amp;Table131[[#This Row],[Temperatur motgjutningsyta]]&amp;Table131[[#This Row],[Värmekabel]]&amp;Table131[[#This Row],[Antal värmekablar]]&amp;Table131[[#This Row],[Täckning '[mm']]]&amp;Table131[[#This Row],[Formisolering '[mm']]]&amp;Table131[[#This Row],[OK&lt;17 Timamr]]&amp;Table131[[#This Row],[Kommentar]]</f>
        <v>-------Fryser innan täck</v>
      </c>
    </row>
  </sheetData>
  <phoneticPr fontId="3" type="noConversion"/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AF7F4363-70E0-4489-B949-3FD8B89DE8CF}">
          <x14:formula1>
            <xm:f>Förutsättningar!$I$2</xm:f>
          </x14:formula1>
          <xm:sqref>K2:K46</xm:sqref>
        </x14:dataValidation>
        <x14:dataValidation type="list" allowBlank="1" showInputMessage="1" showErrorMessage="1" xr:uid="{97D6A69A-40FA-486E-BA90-E8F18BF07D21}">
          <x14:formula1>
            <xm:f>Förutsättningar!$G$2:$G$8</xm:f>
          </x14:formula1>
          <xm:sqref>G2:G46</xm:sqref>
        </x14:dataValidation>
        <x14:dataValidation type="list" allowBlank="1" showInputMessage="1" showErrorMessage="1" xr:uid="{C4C7C26A-D610-4CD0-96EC-3FF2F5A21E87}">
          <x14:formula1>
            <xm:f>Förutsättningar!$E$2:$E$5</xm:f>
          </x14:formula1>
          <xm:sqref>E2:E46</xm:sqref>
        </x14:dataValidation>
        <x14:dataValidation type="list" allowBlank="1" showInputMessage="1" showErrorMessage="1" xr:uid="{7DDF2741-FE2F-4F2F-BDFA-E8C05D7493F3}">
          <x14:formula1>
            <xm:f>Förutsättningar!$C$2:$C$6</xm:f>
          </x14:formula1>
          <xm:sqref>C2:C46</xm:sqref>
        </x14:dataValidation>
        <x14:dataValidation type="list" allowBlank="1" showInputMessage="1" showErrorMessage="1" xr:uid="{E6AD1C80-F282-47DE-9810-9FDCE86FAD1C}">
          <x14:formula1>
            <xm:f>Förutsättningar!$B$2:$B$6</xm:f>
          </x14:formula1>
          <xm:sqref>B2:B46</xm:sqref>
        </x14:dataValidation>
        <x14:dataValidation type="list" allowBlank="1" showInputMessage="1" showErrorMessage="1" xr:uid="{7D8BA7B8-530A-4EE4-A13F-AFDB1AF75D98}">
          <x14:formula1>
            <xm:f>Förutsättningar!$A$2:$A$7</xm:f>
          </x14:formula1>
          <xm:sqref>A2:A46</xm:sqref>
        </x14:dataValidation>
        <x14:dataValidation type="list" allowBlank="1" showInputMessage="1" showErrorMessage="1" xr:uid="{B1AA012B-C750-48AB-9DF7-7186B3FDB25D}">
          <x14:formula1>
            <xm:f>Förutsättningar!$F$2:$F$7</xm:f>
          </x14:formula1>
          <xm:sqref>F2:F46</xm:sqref>
        </x14:dataValidation>
        <x14:dataValidation type="list" allowBlank="1" showInputMessage="1" showErrorMessage="1" xr:uid="{D349C681-C8B2-43BB-BB46-77A4EEFB0914}">
          <x14:formula1>
            <xm:f>Förutsättningar!$D$2:$D$3</xm:f>
          </x14:formula1>
          <xm:sqref>D2:D46</xm:sqref>
        </x14:dataValidation>
        <x14:dataValidation type="list" allowBlank="1" showInputMessage="1" showErrorMessage="1" xr:uid="{4522D4AD-6A6D-4B66-A615-24BA711FEDCB}">
          <x14:formula1>
            <xm:f>Förutsättningar!$H$2:$H$3</xm:f>
          </x14:formula1>
          <xm:sqref>L2:L46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D4FC3-E46C-4518-8416-9EDDE0FE7650}">
  <sheetPr codeName="Sheet3"/>
  <dimension ref="A1:T362"/>
  <sheetViews>
    <sheetView zoomScaleNormal="100" workbookViewId="0">
      <selection activeCell="T368" sqref="T368"/>
    </sheetView>
  </sheetViews>
  <sheetFormatPr defaultRowHeight="15" x14ac:dyDescent="0.25"/>
  <cols>
    <col min="1" max="1" width="13.7109375" bestFit="1" customWidth="1"/>
    <col min="2" max="2" width="7.28515625" bestFit="1" customWidth="1"/>
    <col min="3" max="6" width="45.5703125" bestFit="1" customWidth="1"/>
    <col min="7" max="7" width="48.7109375" bestFit="1" customWidth="1"/>
    <col min="8" max="8" width="47.7109375" bestFit="1" customWidth="1"/>
    <col min="9" max="9" width="43.28515625" bestFit="1" customWidth="1"/>
    <col min="10" max="11" width="22.140625" bestFit="1" customWidth="1"/>
    <col min="12" max="12" width="12.5703125" bestFit="1" customWidth="1"/>
    <col min="13" max="13" width="12.5703125" customWidth="1"/>
    <col min="14" max="14" width="26.85546875" bestFit="1" customWidth="1"/>
    <col min="15" max="15" width="22.140625" customWidth="1"/>
    <col min="16" max="16" width="11.28515625" style="127" customWidth="1"/>
    <col min="20" max="20" width="48.7109375" bestFit="1" customWidth="1"/>
  </cols>
  <sheetData>
    <row r="1" spans="1:20" ht="15.75" thickBot="1" x14ac:dyDescent="0.3">
      <c r="A1" s="3" t="s">
        <v>4</v>
      </c>
      <c r="B1" s="4" t="s">
        <v>5</v>
      </c>
      <c r="C1" s="81" t="s">
        <v>8</v>
      </c>
      <c r="D1" s="81" t="s">
        <v>14</v>
      </c>
      <c r="E1" s="81" t="s">
        <v>39</v>
      </c>
      <c r="F1" s="81" t="s">
        <v>34</v>
      </c>
      <c r="G1" s="82" t="s">
        <v>35</v>
      </c>
      <c r="H1" s="77" t="s">
        <v>12</v>
      </c>
      <c r="I1" s="77" t="s">
        <v>13</v>
      </c>
      <c r="K1" s="126" t="s">
        <v>4</v>
      </c>
      <c r="L1" s="126" t="s">
        <v>5</v>
      </c>
      <c r="M1" s="126" t="s">
        <v>16</v>
      </c>
      <c r="N1" t="s">
        <v>7</v>
      </c>
      <c r="O1" t="s">
        <v>17</v>
      </c>
      <c r="P1" s="127" t="s">
        <v>18</v>
      </c>
      <c r="Q1" t="s">
        <v>204</v>
      </c>
    </row>
    <row r="2" spans="1:20" x14ac:dyDescent="0.25">
      <c r="A2" s="3">
        <v>20</v>
      </c>
      <c r="B2" s="5">
        <v>0</v>
      </c>
      <c r="C2" s="83" t="str">
        <f>Table1[[#This Row],[Åtgärdskåd]]</f>
        <v>--------Når ej 6 MPa</v>
      </c>
      <c r="D2" s="4" t="str">
        <f>Table127[[#This Row],[Åtgärdskåd]]</f>
        <v>Bas+0%1520---Plywood 15, oisoleratOK17</v>
      </c>
      <c r="E2" s="86" t="str">
        <f>Table128[[#This Row],[Åtgärdskåd]]</f>
        <v>0,11520---Plywood 15, oisoleratOK17</v>
      </c>
      <c r="F2" s="4" t="str">
        <f>Table132[[#This Row],[Åtgärdskåd]]</f>
        <v>0,21520---Plywood 15, oisoleratOK17</v>
      </c>
      <c r="G2" s="86" t="str">
        <f>Table129[[#This Row],[Åtgärdskåd]]</f>
        <v>0,21520---Plywood 15, oisoleratOK17</v>
      </c>
      <c r="H2" s="4" t="str">
        <f>Table130[[#This Row],[Åtgärdskåd]]</f>
        <v>0,31520---Plywood 15, oisoleratOK17</v>
      </c>
      <c r="I2" s="89" t="str">
        <f>Table131[[#This Row],[Åtgärdskåd]]</f>
        <v>0,31520---Plywood 15, oisoleratOK17</v>
      </c>
      <c r="N2" t="str">
        <f>Table8[[#This Row],[Column1]]</f>
        <v>0,41520--OK7</v>
      </c>
      <c r="O2">
        <f>Table8[[#This Row],[Jobbighetsnivå]]</f>
        <v>1</v>
      </c>
      <c r="P2" s="127">
        <f t="shared" ref="P2:P65" si="0">MATCH(N2, _xlfn.UNIQUE($N$2:$N$361), 0)</f>
        <v>1</v>
      </c>
      <c r="Q2" t="e">
        <f t="shared" ref="Q2:Q65" si="1">MATCH(N2, _xlfn.UNIQUE($N$47:$N$361), 0)</f>
        <v>#N/A</v>
      </c>
      <c r="S2">
        <v>1</v>
      </c>
      <c r="T2" t="s">
        <v>137</v>
      </c>
    </row>
    <row r="3" spans="1:20" x14ac:dyDescent="0.25">
      <c r="A3" s="6">
        <v>20</v>
      </c>
      <c r="B3" s="7">
        <v>2</v>
      </c>
      <c r="C3" s="84" t="str">
        <f>Table1[[#This Row],[Åtgärdskåd]]</f>
        <v>-------Når ej 6 MPa</v>
      </c>
      <c r="D3" t="str">
        <f>Table127[[#This Row],[Åtgärdskåd]]</f>
        <v>Bas+0%1520---Plywood 15, oisoleratOK17</v>
      </c>
      <c r="E3" s="87" t="str">
        <f>Table128[[#This Row],[Åtgärdskåd]]</f>
        <v>0,11520---Plywood 15, oisoleratOK17</v>
      </c>
      <c r="F3" t="str">
        <f>Table132[[#This Row],[Åtgärdskåd]]</f>
        <v>0,21520---Plywood 15, oisoleratOK17</v>
      </c>
      <c r="G3" s="87" t="str">
        <f>Table129[[#This Row],[Åtgärdskåd]]</f>
        <v>0,21520---Plywood 15, oisoleratOK17</v>
      </c>
      <c r="H3" t="str">
        <f>Table130[[#This Row],[Åtgärdskåd]]</f>
        <v>0,31520---Plywood 15, oisoleratOK17</v>
      </c>
      <c r="I3" s="90" t="str">
        <f>Table131[[#This Row],[Åtgärdskåd]]</f>
        <v>0,31520---Plywood 15, oisoleratOK17</v>
      </c>
      <c r="N3" t="str">
        <f>Table8[[#This Row],[Column1]]</f>
        <v>0,415200-OK7</v>
      </c>
      <c r="O3">
        <f>Table8[[#This Row],[Jobbighetsnivå]]</f>
        <v>2</v>
      </c>
      <c r="P3" s="127">
        <f t="shared" si="0"/>
        <v>2</v>
      </c>
      <c r="Q3" t="e">
        <f t="shared" si="1"/>
        <v>#N/A</v>
      </c>
      <c r="S3">
        <v>2</v>
      </c>
      <c r="T3" t="s">
        <v>138</v>
      </c>
    </row>
    <row r="4" spans="1:20" x14ac:dyDescent="0.25">
      <c r="A4" s="6">
        <v>20</v>
      </c>
      <c r="B4" s="7">
        <v>7</v>
      </c>
      <c r="C4" s="84" t="str">
        <f>Table1[[#This Row],[Åtgärdskåd]]</f>
        <v>-------Når ej 6 MPa</v>
      </c>
      <c r="D4" t="str">
        <f>Table127[[#This Row],[Åtgärdskåd]]</f>
        <v>Bas+0%1520---Plywood 15, oisoleratOK17</v>
      </c>
      <c r="E4" s="87" t="str">
        <f>Table128[[#This Row],[Åtgärdskåd]]</f>
        <v>0,11520---Plywood 15, oisoleratOK17</v>
      </c>
      <c r="F4" t="str">
        <f>Table132[[#This Row],[Åtgärdskåd]]</f>
        <v>0,21520---Plywood 15, oisoleratOK17</v>
      </c>
      <c r="G4" s="87" t="str">
        <f>Table129[[#This Row],[Åtgärdskåd]]</f>
        <v>0,21520---Plywood 15, oisoleratOK17</v>
      </c>
      <c r="H4" t="str">
        <f>Table130[[#This Row],[Åtgärdskåd]]</f>
        <v>0,31520---Plywood 15, oisoleratOK17</v>
      </c>
      <c r="I4" s="90" t="str">
        <f>Table131[[#This Row],[Åtgärdskåd]]</f>
        <v>0,31520---Plywood 15, oisoleratOK17</v>
      </c>
      <c r="N4" t="str">
        <f>Table8[[#This Row],[Column1]]</f>
        <v>0,415150PresenningOK7</v>
      </c>
      <c r="O4">
        <f>Table8[[#This Row],[Jobbighetsnivå]]</f>
        <v>3</v>
      </c>
      <c r="P4" s="127">
        <f t="shared" si="0"/>
        <v>3</v>
      </c>
      <c r="Q4" t="e">
        <f t="shared" si="1"/>
        <v>#N/A</v>
      </c>
      <c r="S4">
        <v>3</v>
      </c>
      <c r="T4" t="s">
        <v>139</v>
      </c>
    </row>
    <row r="5" spans="1:20" x14ac:dyDescent="0.25">
      <c r="A5" s="6">
        <v>20</v>
      </c>
      <c r="B5" s="7">
        <v>12</v>
      </c>
      <c r="C5" s="84" t="str">
        <f>Table1[[#This Row],[Åtgärdskåd]]</f>
        <v>-------Når ej 6 MPa</v>
      </c>
      <c r="D5" t="str">
        <f>Table127[[#This Row],[Åtgärdskåd]]</f>
        <v>Bas+0%1520---Plywood 15, oisoleratOK17</v>
      </c>
      <c r="E5" s="87" t="str">
        <f>Table128[[#This Row],[Åtgärdskåd]]</f>
        <v>0,11520---Plywood 15, oisoleratOK17</v>
      </c>
      <c r="F5" t="str">
        <f>Table132[[#This Row],[Åtgärdskåd]]</f>
        <v>0,21520---Plywood 15, oisoleratOK17</v>
      </c>
      <c r="G5" s="87" t="str">
        <f>Table129[[#This Row],[Åtgärdskåd]]</f>
        <v>0,21520---Plywood 15, oisoleratOK17</v>
      </c>
      <c r="H5" t="str">
        <f>Table130[[#This Row],[Åtgärdskåd]]</f>
        <v>0,31520---Plywood 15, oisoleratOK17</v>
      </c>
      <c r="I5" s="90" t="str">
        <f>Table131[[#This Row],[Åtgärdskåd]]</f>
        <v>0,31520---Plywood 15, oisoleratOK17</v>
      </c>
      <c r="N5" t="str">
        <f>Table8[[#This Row],[Column1]]</f>
        <v>0,415200PresenningOK7</v>
      </c>
      <c r="O5">
        <f>Table8[[#This Row],[Jobbighetsnivå]]</f>
        <v>4</v>
      </c>
      <c r="P5" s="127">
        <f t="shared" si="0"/>
        <v>4</v>
      </c>
      <c r="Q5" t="e">
        <f t="shared" si="1"/>
        <v>#N/A</v>
      </c>
      <c r="S5">
        <v>4</v>
      </c>
      <c r="T5" t="s">
        <v>140</v>
      </c>
    </row>
    <row r="6" spans="1:20" ht="15.75" thickBot="1" x14ac:dyDescent="0.3">
      <c r="A6" s="8">
        <v>20</v>
      </c>
      <c r="B6" s="10">
        <v>20</v>
      </c>
      <c r="C6" s="85" t="str">
        <f>Table1[[#This Row],[Åtgärdskåd]]</f>
        <v>-------Når ej 6 MPa</v>
      </c>
      <c r="D6" s="9" t="str">
        <f>Table127[[#This Row],[Åtgärdskåd]]</f>
        <v>Bas+0%1520---Plywood 15, oisoleratOK17</v>
      </c>
      <c r="E6" s="88" t="str">
        <f>Table128[[#This Row],[Åtgärdskåd]]</f>
        <v>0,11520---Plywood 15, oisoleratOK17</v>
      </c>
      <c r="F6" s="9" t="str">
        <f>Table132[[#This Row],[Åtgärdskåd]]</f>
        <v>0,21520---Plywood 15, oisoleratOK17</v>
      </c>
      <c r="G6" s="88" t="str">
        <f>Table129[[#This Row],[Åtgärdskåd]]</f>
        <v>0,21520---Plywood 15, oisoleratOK17</v>
      </c>
      <c r="H6" s="9" t="str">
        <f>Table130[[#This Row],[Åtgärdskåd]]</f>
        <v>0,31520---Plywood 15, oisoleratOK17</v>
      </c>
      <c r="I6" s="91" t="str">
        <f>Table131[[#This Row],[Åtgärdskåd]]</f>
        <v>0,31520---Plywood 15, oisoleratOK17</v>
      </c>
      <c r="N6" t="str">
        <f>Table8[[#This Row],[Column1]]</f>
        <v>0,4205050OK7</v>
      </c>
      <c r="O6">
        <f>Table8[[#This Row],[Jobbighetsnivå]]</f>
        <v>5</v>
      </c>
      <c r="P6" s="127">
        <f t="shared" si="0"/>
        <v>5</v>
      </c>
      <c r="Q6" t="e">
        <f t="shared" si="1"/>
        <v>#N/A</v>
      </c>
      <c r="S6">
        <v>5</v>
      </c>
      <c r="T6" t="s">
        <v>141</v>
      </c>
    </row>
    <row r="7" spans="1:20" x14ac:dyDescent="0.25">
      <c r="A7" s="3">
        <v>15</v>
      </c>
      <c r="B7" s="5">
        <v>0</v>
      </c>
      <c r="C7" s="83" t="str">
        <f>Table1[[#This Row],[Åtgärdskåd]]</f>
        <v>-------Når ej 6 MPa</v>
      </c>
      <c r="D7" s="4" t="str">
        <f>Table127[[#This Row],[Åtgärdskåd]]</f>
        <v>-------Når ej 6 MPa</v>
      </c>
      <c r="E7" s="86" t="str">
        <f>Table128[[#This Row],[Åtgärdskåd]]</f>
        <v>Bas+0%1515---Plywood 15, oisoleratOK17</v>
      </c>
      <c r="F7" s="4" t="str">
        <f>Table132[[#This Row],[Åtgärdskåd]]</f>
        <v>0,11515---Plywood 15, oisoleratOK17</v>
      </c>
      <c r="G7" s="86" t="str">
        <f>Table129[[#This Row],[Åtgärdskåd]]</f>
        <v>0,11515---Plywood 15, oisoleratOK17</v>
      </c>
      <c r="H7" s="4" t="str">
        <f>Table130[[#This Row],[Åtgärdskåd]]</f>
        <v>0,21515---Plywood 15, oisoleratOK17</v>
      </c>
      <c r="I7" s="89" t="str">
        <f>Table131[[#This Row],[Åtgärdskåd]]</f>
        <v>0,21515---Plywood 15, oisoleratOK17</v>
      </c>
      <c r="N7" t="str">
        <f>Table8[[#This Row],[Column1]]</f>
        <v>0,42052010OK7</v>
      </c>
      <c r="O7">
        <f>Table8[[#This Row],[Jobbighetsnivå]]</f>
        <v>6</v>
      </c>
      <c r="P7" s="127">
        <f t="shared" si="0"/>
        <v>6</v>
      </c>
      <c r="Q7" t="e">
        <f t="shared" si="1"/>
        <v>#N/A</v>
      </c>
      <c r="S7">
        <v>6</v>
      </c>
      <c r="T7" t="s">
        <v>142</v>
      </c>
    </row>
    <row r="8" spans="1:20" x14ac:dyDescent="0.25">
      <c r="A8" s="6">
        <v>15</v>
      </c>
      <c r="B8" s="7">
        <v>2</v>
      </c>
      <c r="C8" s="84" t="str">
        <f>Table1[[#This Row],[Åtgärdskåd]]</f>
        <v>-------Når ej 6 MPa</v>
      </c>
      <c r="D8" t="str">
        <f>Table127[[#This Row],[Åtgärdskåd]]</f>
        <v>-------Når ej 6 MPa</v>
      </c>
      <c r="E8" s="87" t="str">
        <f>Table128[[#This Row],[Åtgärdskåd]]</f>
        <v>Bas+0%1515---Plywood 15, oisoleratOK17</v>
      </c>
      <c r="F8" t="str">
        <f>Table132[[#This Row],[Åtgärdskåd]]</f>
        <v>0,11515---Plywood 15, oisoleratOK17</v>
      </c>
      <c r="G8" s="87" t="str">
        <f>Table129[[#This Row],[Åtgärdskåd]]</f>
        <v>0,11515---Plywood 15, oisoleratOK17</v>
      </c>
      <c r="H8" t="str">
        <f>Table130[[#This Row],[Åtgärdskåd]]</f>
        <v>0,21515---Plywood 15, oisoleratOK17</v>
      </c>
      <c r="I8" s="90" t="str">
        <f>Table131[[#This Row],[Åtgärdskåd]]</f>
        <v>0,21515---Plywood 15, oisoleratOK17</v>
      </c>
      <c r="N8" t="str">
        <f>Table8[[#This Row],[Column1]]</f>
        <v>0,42052020OK7</v>
      </c>
      <c r="O8">
        <f>Table8[[#This Row],[Jobbighetsnivå]]</f>
        <v>7</v>
      </c>
      <c r="P8" s="127">
        <f t="shared" si="0"/>
        <v>7</v>
      </c>
      <c r="Q8" t="e">
        <f t="shared" si="1"/>
        <v>#N/A</v>
      </c>
      <c r="S8">
        <v>7</v>
      </c>
      <c r="T8" t="s">
        <v>143</v>
      </c>
    </row>
    <row r="9" spans="1:20" x14ac:dyDescent="0.25">
      <c r="A9" s="6">
        <v>15</v>
      </c>
      <c r="B9" s="7">
        <v>7</v>
      </c>
      <c r="C9" s="84" t="str">
        <f>Table1[[#This Row],[Åtgärdskåd]]</f>
        <v>-------Når ej 6 MPa</v>
      </c>
      <c r="D9" t="str">
        <f>Table127[[#This Row],[Åtgärdskåd]]</f>
        <v>-------Når ej 6 MPa</v>
      </c>
      <c r="E9" s="87" t="str">
        <f>Table128[[#This Row],[Åtgärdskåd]]</f>
        <v>Bas+0%1515---Plywood 15, oisoleratOK17</v>
      </c>
      <c r="F9" t="str">
        <f>Table132[[#This Row],[Åtgärdskåd]]</f>
        <v>0,11515---Plywood 15, oisoleratOK17</v>
      </c>
      <c r="G9" s="87" t="str">
        <f>Table129[[#This Row],[Åtgärdskåd]]</f>
        <v>0,11515---Plywood 15, oisoleratOK17</v>
      </c>
      <c r="H9" t="str">
        <f>Table130[[#This Row],[Åtgärdskåd]]</f>
        <v>0,21515---Plywood 15, oisoleratOK17</v>
      </c>
      <c r="I9" s="90" t="str">
        <f>Table131[[#This Row],[Åtgärdskåd]]</f>
        <v>0,21515---Plywood 15, oisoleratOK17</v>
      </c>
      <c r="N9" t="str">
        <f>Table8[[#This Row],[Column1]]</f>
        <v>0,42052030OK7</v>
      </c>
      <c r="O9">
        <f>Table8[[#This Row],[Jobbighetsnivå]]</f>
        <v>8</v>
      </c>
      <c r="P9" s="127">
        <f t="shared" si="0"/>
        <v>8</v>
      </c>
      <c r="Q9" t="e">
        <f t="shared" si="1"/>
        <v>#N/A</v>
      </c>
      <c r="S9">
        <v>8</v>
      </c>
      <c r="T9" t="s">
        <v>144</v>
      </c>
    </row>
    <row r="10" spans="1:20" x14ac:dyDescent="0.25">
      <c r="A10" s="6">
        <v>15</v>
      </c>
      <c r="B10" s="7">
        <v>12</v>
      </c>
      <c r="C10" s="84" t="str">
        <f>Table1[[#This Row],[Åtgärdskåd]]</f>
        <v>-------Når ej 6 MPa</v>
      </c>
      <c r="D10" t="str">
        <f>Table127[[#This Row],[Åtgärdskåd]]</f>
        <v>-------Når ej 6 MPa</v>
      </c>
      <c r="E10" s="87" t="str">
        <f>Table128[[#This Row],[Åtgärdskåd]]</f>
        <v>Bas+0%1515---Plywood 15, oisoleratOK17</v>
      </c>
      <c r="F10" t="str">
        <f>Table132[[#This Row],[Åtgärdskåd]]</f>
        <v>0,11515--PresenningPlywood 15, oisoleratOK17</v>
      </c>
      <c r="G10" s="87" t="str">
        <f>Table129[[#This Row],[Åtgärdskåd]]</f>
        <v>0,11515---Plywood 15, oisoleratOK17</v>
      </c>
      <c r="H10" t="str">
        <f>Table130[[#This Row],[Åtgärdskåd]]</f>
        <v>0,21515---Plywood 15, oisoleratOK17</v>
      </c>
      <c r="I10" s="90" t="str">
        <f>Table131[[#This Row],[Åtgärdskåd]]</f>
        <v>0,21515---Plywood 15, oisoleratOK17</v>
      </c>
      <c r="N10" t="str">
        <f>Table8[[#This Row],[Column1]]</f>
        <v>0,42052050OK7</v>
      </c>
      <c r="O10">
        <f>Table8[[#This Row],[Jobbighetsnivå]]</f>
        <v>9</v>
      </c>
      <c r="P10" s="127">
        <f t="shared" si="0"/>
        <v>9</v>
      </c>
      <c r="Q10" t="e">
        <f t="shared" si="1"/>
        <v>#N/A</v>
      </c>
      <c r="S10">
        <v>9</v>
      </c>
      <c r="T10" t="s">
        <v>145</v>
      </c>
    </row>
    <row r="11" spans="1:20" ht="15.75" thickBot="1" x14ac:dyDescent="0.3">
      <c r="A11" s="8">
        <v>15</v>
      </c>
      <c r="B11" s="10">
        <v>20</v>
      </c>
      <c r="C11" s="85" t="str">
        <f>Table1[[#This Row],[Åtgärdskåd]]</f>
        <v>-------Når ej 6 MPa</v>
      </c>
      <c r="D11" s="9" t="str">
        <f>Table127[[#This Row],[Åtgärdskåd]]</f>
        <v>-------Når ej 6 MPa</v>
      </c>
      <c r="E11" s="88" t="str">
        <f>Table128[[#This Row],[Åtgärdskåd]]</f>
        <v>Bas+0%1515---Plywood 15, oisoleratOK17</v>
      </c>
      <c r="F11" s="9" t="str">
        <f>Table132[[#This Row],[Åtgärdskåd]]</f>
        <v>0,11515--PresenningPlywood 15, oisoleratOK17</v>
      </c>
      <c r="G11" s="88" t="str">
        <f>Table129[[#This Row],[Åtgärdskåd]]</f>
        <v>0,11515---Plywood 15, oisoleratOK17</v>
      </c>
      <c r="H11" s="9" t="str">
        <f>Table130[[#This Row],[Åtgärdskåd]]</f>
        <v>0,21515--PresenningPlywood 15, oisoleratOK17</v>
      </c>
      <c r="I11" s="91" t="str">
        <f>Table131[[#This Row],[Åtgärdskåd]]</f>
        <v>0,21515---Plywood 15, oisoleratOK17</v>
      </c>
      <c r="N11" t="str">
        <f>Table8[[#This Row],[Column1]]</f>
        <v>0,31515--OK7</v>
      </c>
      <c r="O11">
        <f>Table8[[#This Row],[Jobbighetsnivå]]</f>
        <v>10</v>
      </c>
      <c r="P11" s="127">
        <f t="shared" si="0"/>
        <v>10</v>
      </c>
      <c r="Q11" t="e">
        <f t="shared" si="1"/>
        <v>#N/A</v>
      </c>
      <c r="S11">
        <v>10</v>
      </c>
      <c r="T11" t="s">
        <v>146</v>
      </c>
    </row>
    <row r="12" spans="1:20" x14ac:dyDescent="0.25">
      <c r="A12" s="3">
        <v>10</v>
      </c>
      <c r="B12" s="5">
        <v>0</v>
      </c>
      <c r="C12" s="83" t="str">
        <f>Table1[[#This Row],[Åtgärdskåd]]</f>
        <v>-------Når ej 6 MPa</v>
      </c>
      <c r="D12" s="4" t="str">
        <f>Table127[[#This Row],[Åtgärdskåd]]</f>
        <v>-------Når ej 6 MPa</v>
      </c>
      <c r="E12" s="86" t="str">
        <f>Table128[[#This Row],[Åtgärdskåd]]</f>
        <v>-------Når ej 6 MPa</v>
      </c>
      <c r="F12" s="4" t="str">
        <f>Table132[[#This Row],[Åtgärdskåd]]</f>
        <v>-------Når ej 6 MPa</v>
      </c>
      <c r="G12" s="86" t="str">
        <f>Table129[[#This Row],[Åtgärdskåd]]</f>
        <v>Bas+0%1510---Plywood 15, oisoleratOK17</v>
      </c>
      <c r="H12" s="4" t="str">
        <f>Table130[[#This Row],[Åtgärdskåd]]</f>
        <v>0,11510---Plywood 15, oisoleratOK17</v>
      </c>
      <c r="I12" s="89" t="str">
        <f>Table131[[#This Row],[Åtgärdskåd]]</f>
        <v>0,11510---Plywood 15, oisoleratOK17</v>
      </c>
      <c r="N12" t="str">
        <f>Table8[[#This Row],[Column1]]</f>
        <v>0,31520--OK7</v>
      </c>
      <c r="O12">
        <f>Table8[[#This Row],[Jobbighetsnivå]]</f>
        <v>11</v>
      </c>
      <c r="P12" s="127">
        <f t="shared" si="0"/>
        <v>11</v>
      </c>
      <c r="Q12" t="e">
        <f t="shared" si="1"/>
        <v>#N/A</v>
      </c>
      <c r="S12">
        <v>11</v>
      </c>
      <c r="T12" t="s">
        <v>147</v>
      </c>
    </row>
    <row r="13" spans="1:20" x14ac:dyDescent="0.25">
      <c r="A13" s="6">
        <v>10</v>
      </c>
      <c r="B13" s="7">
        <v>2</v>
      </c>
      <c r="C13" s="84" t="str">
        <f>Table1[[#This Row],[Åtgärdskåd]]</f>
        <v>-------Når ej 6 MPa</v>
      </c>
      <c r="D13" t="str">
        <f>Table127[[#This Row],[Åtgärdskåd]]</f>
        <v>-------Når ej 6 MPa</v>
      </c>
      <c r="E13" s="87" t="str">
        <f>Table128[[#This Row],[Åtgärdskåd]]</f>
        <v>-------Når ej 6 MPa</v>
      </c>
      <c r="F13" t="str">
        <f>Table132[[#This Row],[Åtgärdskåd]]</f>
        <v>-------Når ej 6 MPa</v>
      </c>
      <c r="G13" s="87" t="str">
        <f>Table129[[#This Row],[Åtgärdskåd]]</f>
        <v>-------Når ej 6 MPa</v>
      </c>
      <c r="H13" t="str">
        <f>Table130[[#This Row],[Åtgärdskåd]]</f>
        <v>Bas+0%1510---Plywood 15, oisoleratOK17</v>
      </c>
      <c r="I13" s="90" t="str">
        <f>Table131[[#This Row],[Åtgärdskåd]]</f>
        <v>0,11510---Plywood 15, oisoleratOK17</v>
      </c>
      <c r="N13" t="str">
        <f>Table8[[#This Row],[Column1]]</f>
        <v>0,315150-OK7</v>
      </c>
      <c r="O13">
        <f>Table8[[#This Row],[Jobbighetsnivå]]</f>
        <v>12</v>
      </c>
      <c r="P13" s="127">
        <f t="shared" si="0"/>
        <v>12</v>
      </c>
      <c r="Q13" t="e">
        <f t="shared" si="1"/>
        <v>#N/A</v>
      </c>
      <c r="S13">
        <v>12</v>
      </c>
      <c r="T13" t="s">
        <v>148</v>
      </c>
    </row>
    <row r="14" spans="1:20" x14ac:dyDescent="0.25">
      <c r="A14" s="6">
        <v>10</v>
      </c>
      <c r="B14" s="7">
        <v>7</v>
      </c>
      <c r="C14" s="84" t="str">
        <f>Table1[[#This Row],[Åtgärdskåd]]</f>
        <v>-------Når ej 6 MPa</v>
      </c>
      <c r="D14" t="str">
        <f>Table127[[#This Row],[Åtgärdskåd]]</f>
        <v>-------Når ej 6 MPa</v>
      </c>
      <c r="E14" s="87" t="str">
        <f>Table128[[#This Row],[Åtgärdskåd]]</f>
        <v>-------Når ej 6 MPa</v>
      </c>
      <c r="F14" t="str">
        <f>Table132[[#This Row],[Åtgärdskåd]]</f>
        <v>-------Når ej 6 MPa</v>
      </c>
      <c r="G14" s="87" t="str">
        <f>Table129[[#This Row],[Åtgärdskåd]]</f>
        <v>-------Når ej 6 MPa</v>
      </c>
      <c r="H14" t="str">
        <f>Table130[[#This Row],[Åtgärdskåd]]</f>
        <v>Bas+0%1510--PresenningPlywood 15, oisoleratOK17</v>
      </c>
      <c r="I14" s="90" t="str">
        <f>Table131[[#This Row],[Åtgärdskåd]]</f>
        <v>0,11510--PresenningPlywood 15, oisoleratOK17</v>
      </c>
      <c r="N14" t="str">
        <f>Table8[[#This Row],[Column1]]</f>
        <v>0,315150PresenningOK7</v>
      </c>
      <c r="O14">
        <f>Table8[[#This Row],[Jobbighetsnivå]]</f>
        <v>13</v>
      </c>
      <c r="P14" s="127">
        <f t="shared" si="0"/>
        <v>13</v>
      </c>
      <c r="Q14" t="e">
        <f t="shared" si="1"/>
        <v>#N/A</v>
      </c>
      <c r="S14">
        <v>13</v>
      </c>
      <c r="T14" t="s">
        <v>149</v>
      </c>
    </row>
    <row r="15" spans="1:20" x14ac:dyDescent="0.25">
      <c r="A15" s="6">
        <v>10</v>
      </c>
      <c r="B15" s="7">
        <v>12</v>
      </c>
      <c r="C15" s="84" t="str">
        <f>Table1[[#This Row],[Åtgärdskåd]]</f>
        <v>-------Når ej 6 MPa</v>
      </c>
      <c r="D15" t="str">
        <f>Table127[[#This Row],[Åtgärdskåd]]</f>
        <v>-------Når ej 6 MPa</v>
      </c>
      <c r="E15" s="87" t="str">
        <f>Table128[[#This Row],[Åtgärdskåd]]</f>
        <v>-------Når ej 6 MPa</v>
      </c>
      <c r="F15" t="str">
        <f>Table132[[#This Row],[Åtgärdskåd]]</f>
        <v>-------Når ej 6 MPa</v>
      </c>
      <c r="G15" s="87" t="str">
        <f>Table129[[#This Row],[Åtgärdskåd]]</f>
        <v>-------Når ej 6 MPa</v>
      </c>
      <c r="H15" t="str">
        <f>Table130[[#This Row],[Åtgärdskåd]]</f>
        <v>Bas+0%1510--PresenningPlywood 15, oisoleratOK17</v>
      </c>
      <c r="I15" s="90" t="str">
        <f>Table131[[#This Row],[Åtgärdskåd]]</f>
        <v>0,11510--PresenningPlywood 15, oisoleratOK17</v>
      </c>
      <c r="N15" t="str">
        <f>Table8[[#This Row],[Column1]]</f>
        <v>0,315200PresenningOK7</v>
      </c>
      <c r="O15">
        <f>Table8[[#This Row],[Jobbighetsnivå]]</f>
        <v>14</v>
      </c>
      <c r="P15" s="127">
        <f t="shared" si="0"/>
        <v>14</v>
      </c>
      <c r="Q15" t="e">
        <f t="shared" si="1"/>
        <v>#N/A</v>
      </c>
      <c r="S15">
        <v>14</v>
      </c>
      <c r="T15" t="s">
        <v>150</v>
      </c>
    </row>
    <row r="16" spans="1:20" ht="15.75" thickBot="1" x14ac:dyDescent="0.3">
      <c r="A16" s="8">
        <v>10</v>
      </c>
      <c r="B16" s="10">
        <v>20</v>
      </c>
      <c r="C16" s="85" t="str">
        <f>Table1[[#This Row],[Åtgärdskåd]]</f>
        <v>-------Når ej 6 MPa</v>
      </c>
      <c r="D16" s="9" t="str">
        <f>Table127[[#This Row],[Åtgärdskåd]]</f>
        <v>-------Når ej 6 MPa</v>
      </c>
      <c r="E16" s="88" t="str">
        <f>Table128[[#This Row],[Åtgärdskåd]]</f>
        <v>-------Når ej 6 MPa</v>
      </c>
      <c r="F16" s="9" t="str">
        <f>Table132[[#This Row],[Åtgärdskåd]]</f>
        <v>-------Når ej 6 MPa</v>
      </c>
      <c r="G16" s="88" t="str">
        <f>Table129[[#This Row],[Åtgärdskåd]]</f>
        <v>-------Når ej 6 MPa</v>
      </c>
      <c r="H16" s="9" t="str">
        <f>Table130[[#This Row],[Åtgärdskåd]]</f>
        <v>Bas+0%1510--PresenningPlywood 15, oisoleratOK17</v>
      </c>
      <c r="I16" s="91" t="str">
        <f>Table131[[#This Row],[Åtgärdskåd]]</f>
        <v>0,11510--PresenningPlywood 15, oisoleratOK17</v>
      </c>
      <c r="N16" t="str">
        <f>Table8[[#This Row],[Column1]]</f>
        <v>0,32052010OK7</v>
      </c>
      <c r="O16">
        <f>Table8[[#This Row],[Jobbighetsnivå]]</f>
        <v>15</v>
      </c>
      <c r="P16" s="127">
        <f t="shared" si="0"/>
        <v>15</v>
      </c>
      <c r="Q16" t="e">
        <f t="shared" si="1"/>
        <v>#N/A</v>
      </c>
      <c r="S16">
        <v>15</v>
      </c>
      <c r="T16" t="s">
        <v>151</v>
      </c>
    </row>
    <row r="17" spans="1:20" x14ac:dyDescent="0.25">
      <c r="A17" s="3">
        <v>5</v>
      </c>
      <c r="B17" s="5">
        <v>0</v>
      </c>
      <c r="C17" s="83" t="str">
        <f>Table1[[#This Row],[Åtgärdskåd]]</f>
        <v>Bas+0%205402-Plywood 12-19  cellplast 50OK17</v>
      </c>
      <c r="D17" s="4" t="str">
        <f>Table127[[#This Row],[Åtgärdskåd]]</f>
        <v>0,120540310Plywood 12-19  cellplast 50OK17</v>
      </c>
      <c r="E17" s="86" t="str">
        <f>Table128[[#This Row],[Åtgärdskåd]]</f>
        <v>0,2205402-Plywood 12-19 cellplast 100OK17</v>
      </c>
      <c r="F17" s="4" t="str">
        <f>Table132[[#This Row],[Åtgärdskåd]]</f>
        <v>0,2205402PresenningPlywood 15 cellplast 30OK17</v>
      </c>
      <c r="G17" s="86" t="str">
        <f>Table129[[#This Row],[Åtgärdskåd]]</f>
        <v>0,2205401-Plywood 15 cellplast 30OK17</v>
      </c>
      <c r="H17" s="4" t="str">
        <f>Table130[[#This Row],[Åtgärdskåd]]</f>
        <v>0,3205402PresenningPlywood 15 cellplast 30OK17</v>
      </c>
      <c r="I17" s="89" t="str">
        <f>Table131[[#This Row],[Åtgärdskåd]]</f>
        <v>0,3205401-Plywood 12-19  cellplast 50OK17</v>
      </c>
      <c r="N17" t="str">
        <f>Table8[[#This Row],[Column1]]</f>
        <v>0,32052030OK7</v>
      </c>
      <c r="O17">
        <f>Table8[[#This Row],[Jobbighetsnivå]]</f>
        <v>16</v>
      </c>
      <c r="P17" s="127">
        <f t="shared" si="0"/>
        <v>16</v>
      </c>
      <c r="Q17" t="e">
        <f t="shared" si="1"/>
        <v>#N/A</v>
      </c>
      <c r="S17">
        <v>16</v>
      </c>
      <c r="T17" t="s">
        <v>152</v>
      </c>
    </row>
    <row r="18" spans="1:20" x14ac:dyDescent="0.25">
      <c r="A18" s="6">
        <v>5</v>
      </c>
      <c r="B18" s="7">
        <v>2</v>
      </c>
      <c r="C18" s="84" t="str">
        <f>Table1[[#This Row],[Åtgärdskåd]]</f>
        <v>Bas+0%20540210Plywood 12-19 cellplast 120OK17</v>
      </c>
      <c r="D18" t="str">
        <f>Table127[[#This Row],[Åtgärdskåd]]</f>
        <v>0,120540310Plywood 12-19 cellplast 70OK17</v>
      </c>
      <c r="E18" s="87" t="str">
        <f>Table128[[#This Row],[Åtgärdskåd]]</f>
        <v>0,220540310Plywood 12-19 cellplast 120OK17</v>
      </c>
      <c r="F18" t="str">
        <f>Table132[[#This Row],[Åtgärdskåd]]</f>
        <v>0,220540210Plywood 12-19  cellplast 50OK17</v>
      </c>
      <c r="G18" s="87" t="str">
        <f>Table129[[#This Row],[Åtgärdskåd]]</f>
        <v>0,220540110Plywood 12-19  cellplast 50OK17</v>
      </c>
      <c r="H18" t="str">
        <f>Table130[[#This Row],[Åtgärdskåd]]</f>
        <v>0,320540210Plywood 12-19  cellplast 50OK17</v>
      </c>
      <c r="I18" s="90" t="str">
        <f>Table131[[#This Row],[Åtgärdskåd]]</f>
        <v>0,320540110Plywood 12-19 cellplast 70OK17</v>
      </c>
      <c r="N18" t="str">
        <f>Table8[[#This Row],[Column1]]</f>
        <v>0,32052050OK7</v>
      </c>
      <c r="O18">
        <f>Table8[[#This Row],[Jobbighetsnivå]]</f>
        <v>17</v>
      </c>
      <c r="P18" s="127">
        <f t="shared" si="0"/>
        <v>17</v>
      </c>
      <c r="Q18" t="e">
        <f t="shared" si="1"/>
        <v>#N/A</v>
      </c>
      <c r="S18">
        <v>17</v>
      </c>
      <c r="T18" t="s">
        <v>153</v>
      </c>
    </row>
    <row r="19" spans="1:20" x14ac:dyDescent="0.25">
      <c r="A19" s="6">
        <v>5</v>
      </c>
      <c r="B19" s="7">
        <v>7</v>
      </c>
      <c r="C19" s="84" t="str">
        <f>Table1[[#This Row],[Åtgärdskåd]]</f>
        <v>-------Når ej 6 MPa</v>
      </c>
      <c r="D19" t="str">
        <f>Table127[[#This Row],[Åtgärdskåd]]</f>
        <v>Bas+0%20540110Plywood 12-19  cellplast 50OK17</v>
      </c>
      <c r="E19" s="87" t="str">
        <f>Table128[[#This Row],[Åtgärdskåd]]</f>
        <v>0,120540110Plywood 12-19  cellplast 50OK17</v>
      </c>
      <c r="F19" t="str">
        <f>Table132[[#This Row],[Åtgärdskåd]]</f>
        <v>0,220540210Plywood 12-19 cellplast 100OK17</v>
      </c>
      <c r="G19" s="87" t="str">
        <f>Table129[[#This Row],[Åtgärdskåd]]</f>
        <v>0,220540110Plywood 12-19 cellplast 70OK17</v>
      </c>
      <c r="H19" t="str">
        <f>Table130[[#This Row],[Åtgärdskåd]]</f>
        <v>0,320540210Plywood 12-19 cellplast 100OK17</v>
      </c>
      <c r="I19" s="90" t="str">
        <f>Table131[[#This Row],[Åtgärdskåd]]</f>
        <v>0,320540210Plywood 15 cellplast 30OK17</v>
      </c>
      <c r="N19" t="str">
        <f>Table8[[#This Row],[Column1]]</f>
        <v>0,21510--OK7</v>
      </c>
      <c r="O19">
        <f>Table8[[#This Row],[Jobbighetsnivå]]</f>
        <v>18</v>
      </c>
      <c r="P19" s="127">
        <f t="shared" si="0"/>
        <v>18</v>
      </c>
      <c r="Q19" t="e">
        <f t="shared" si="1"/>
        <v>#N/A</v>
      </c>
      <c r="S19">
        <v>18</v>
      </c>
      <c r="T19" t="s">
        <v>154</v>
      </c>
    </row>
    <row r="20" spans="1:20" x14ac:dyDescent="0.25">
      <c r="A20" s="6">
        <v>5</v>
      </c>
      <c r="B20" s="7">
        <v>12</v>
      </c>
      <c r="C20" s="84" t="str">
        <f>Table1[[#This Row],[Åtgärdskåd]]</f>
        <v>-------Når ej 6 MPa</v>
      </c>
      <c r="D20" t="str">
        <f>Table127[[#This Row],[Åtgärdskåd]]</f>
        <v>Bas+0%20540110Plywood 12-19 cellplast 70OK17</v>
      </c>
      <c r="E20" s="87" t="str">
        <f>Table128[[#This Row],[Åtgärdskåd]]</f>
        <v>0,120540110Plywood 12-19 cellplast 70OK17</v>
      </c>
      <c r="F20" t="str">
        <f>Table132[[#This Row],[Åtgärdskåd]]</f>
        <v>0,120540110Plywood 15 cellplast 30OK17</v>
      </c>
      <c r="G20" s="87" t="str">
        <f>Table129[[#This Row],[Åtgärdskåd]]</f>
        <v>0,220540110Plywood 12-19 cellplast 100OK17</v>
      </c>
      <c r="H20" t="str">
        <f>Table130[[#This Row],[Åtgärdskåd]]</f>
        <v>0,220540110Plywood 15 cellplast 30OK17</v>
      </c>
      <c r="I20" s="90" t="str">
        <f>Table131[[#This Row],[Åtgärdskåd]]</f>
        <v>0,320540210Plywood 15 cellplast 30OK17</v>
      </c>
      <c r="N20" t="str">
        <f>Table8[[#This Row],[Column1]]</f>
        <v>0,21515--OK7</v>
      </c>
      <c r="O20">
        <f>Table8[[#This Row],[Jobbighetsnivå]]</f>
        <v>19</v>
      </c>
      <c r="P20" s="127">
        <f t="shared" si="0"/>
        <v>19</v>
      </c>
      <c r="Q20" t="e">
        <f t="shared" si="1"/>
        <v>#N/A</v>
      </c>
      <c r="S20">
        <v>19</v>
      </c>
      <c r="T20" t="s">
        <v>155</v>
      </c>
    </row>
    <row r="21" spans="1:20" ht="15.75" thickBot="1" x14ac:dyDescent="0.3">
      <c r="A21" s="8">
        <v>5</v>
      </c>
      <c r="B21" s="10">
        <v>20</v>
      </c>
      <c r="C21" s="85" t="str">
        <f>Table1[[#This Row],[Åtgärdskåd]]</f>
        <v>-------Når ej 6 MPa</v>
      </c>
      <c r="D21" s="9" t="str">
        <f>Table127[[#This Row],[Åtgärdskåd]]</f>
        <v>Bas+0%20540110Plywood 12-19 cellplast 100OK17</v>
      </c>
      <c r="E21" s="88" t="str">
        <f>Table128[[#This Row],[Åtgärdskåd]]</f>
        <v>0,120540110Plywood 12-19 cellplast 100OK17</v>
      </c>
      <c r="F21" s="9" t="str">
        <f>Table132[[#This Row],[Åtgärdskåd]]</f>
        <v>0,120540110Plywood 15 cellplast 30OK17</v>
      </c>
      <c r="G21" s="88" t="str">
        <f>Table129[[#This Row],[Åtgärdskåd]]</f>
        <v>0,220540110Plywood 12-19 cellplast 100OK17</v>
      </c>
      <c r="H21" s="9" t="str">
        <f>Table130[[#This Row],[Åtgärdskåd]]</f>
        <v>0,220540110Plywood 15 cellplast 30OK17</v>
      </c>
      <c r="I21" s="91" t="str">
        <f>Table131[[#This Row],[Åtgärdskåd]]</f>
        <v>0,320540210Plywood 12-19  cellplast 50OK17</v>
      </c>
      <c r="N21" t="str">
        <f>Table8[[#This Row],[Column1]]</f>
        <v>0,21520--OK7</v>
      </c>
      <c r="O21">
        <f>Table8[[#This Row],[Jobbighetsnivå]]</f>
        <v>20</v>
      </c>
      <c r="P21" s="127">
        <f t="shared" si="0"/>
        <v>20</v>
      </c>
      <c r="Q21" t="e">
        <f t="shared" si="1"/>
        <v>#N/A</v>
      </c>
      <c r="S21">
        <v>20</v>
      </c>
      <c r="T21" t="s">
        <v>156</v>
      </c>
    </row>
    <row r="22" spans="1:20" x14ac:dyDescent="0.25">
      <c r="A22" s="3">
        <v>0</v>
      </c>
      <c r="B22" s="5">
        <v>0</v>
      </c>
      <c r="C22" s="83" t="str">
        <f>Table1[[#This Row],[Åtgärdskåd]]</f>
        <v>Bas+0%20540310Plywood 12-19 cellplast 70OK17</v>
      </c>
      <c r="D22" s="4" t="str">
        <f>Table127[[#This Row],[Åtgärdskåd]]</f>
        <v>0,120540310Plywood 12-19 cellplast 70OK17</v>
      </c>
      <c r="E22" s="86" t="str">
        <f>Table128[[#This Row],[Åtgärdskåd]]</f>
        <v>0,220540310Plywood 12-19 cellplast 100OK17</v>
      </c>
      <c r="F22" s="4" t="str">
        <f>Table132[[#This Row],[Åtgärdskåd]]</f>
        <v>0,220540210Plywood 12-19 cellplast 70OK17</v>
      </c>
      <c r="G22" s="86" t="str">
        <f>Table129[[#This Row],[Åtgärdskåd]]</f>
        <v>0,2205401PresenningPlywood 12-19  cellplast 50OK17</v>
      </c>
      <c r="H22" s="4" t="str">
        <f>Table130[[#This Row],[Åtgärdskåd]]</f>
        <v>0,2205401-Plywood 15 cellplast 30OK17</v>
      </c>
      <c r="I22" s="89" t="str">
        <f>Table131[[#This Row],[Åtgärdskåd]]</f>
        <v>0,320540210Plywood 15 cellplast 30OK17</v>
      </c>
      <c r="N22" t="str">
        <f>Table8[[#This Row],[Column1]]</f>
        <v>0,215150-OK7</v>
      </c>
      <c r="O22">
        <f>Table8[[#This Row],[Jobbighetsnivå]]</f>
        <v>21</v>
      </c>
      <c r="P22" s="127">
        <f t="shared" si="0"/>
        <v>21</v>
      </c>
      <c r="Q22" t="e">
        <f t="shared" si="1"/>
        <v>#N/A</v>
      </c>
      <c r="S22">
        <v>21</v>
      </c>
      <c r="T22" t="s">
        <v>157</v>
      </c>
    </row>
    <row r="23" spans="1:20" x14ac:dyDescent="0.25">
      <c r="A23" s="6">
        <v>0</v>
      </c>
      <c r="B23" s="7">
        <v>2</v>
      </c>
      <c r="C23" s="84" t="str">
        <f>Table1[[#This Row],[Åtgärdskåd]]</f>
        <v>-------Når ej 6 MPa</v>
      </c>
      <c r="D23" t="str">
        <f>Table127[[#This Row],[Åtgärdskåd]]</f>
        <v>Bas+0%20540110Plywood 12-19 cellplast 120OK17</v>
      </c>
      <c r="E23" s="87" t="str">
        <f>Table128[[#This Row],[Åtgärdskåd]]</f>
        <v>0,120540110Plywood 12-19 cellplast 100OK17</v>
      </c>
      <c r="F23" t="str">
        <f>Table132[[#This Row],[Åtgärdskåd]]</f>
        <v>0,220540310Plywood 12-19 cellplast 70OK17</v>
      </c>
      <c r="G23" s="87" t="str">
        <f>Table129[[#This Row],[Åtgärdskåd]]</f>
        <v>0,220540210Plywood 15 cellplast 30OK17</v>
      </c>
      <c r="H23" t="str">
        <f>Table130[[#This Row],[Åtgärdskåd]]</f>
        <v>0,220540110Plywood 15 cellplast 30OK17</v>
      </c>
      <c r="I23" s="90" t="str">
        <f>Table131[[#This Row],[Åtgärdskåd]]</f>
        <v>0,320540210Plywood 12-19  cellplast 50OK17</v>
      </c>
      <c r="N23" t="str">
        <f>Table8[[#This Row],[Column1]]</f>
        <v>0,215100PresenningOK7</v>
      </c>
      <c r="O23">
        <f>Table8[[#This Row],[Jobbighetsnivå]]</f>
        <v>22</v>
      </c>
      <c r="P23" s="127">
        <f t="shared" si="0"/>
        <v>22</v>
      </c>
      <c r="Q23" t="e">
        <f t="shared" si="1"/>
        <v>#N/A</v>
      </c>
      <c r="S23">
        <v>22</v>
      </c>
      <c r="T23" t="s">
        <v>158</v>
      </c>
    </row>
    <row r="24" spans="1:20" x14ac:dyDescent="0.25">
      <c r="A24" s="6">
        <v>0</v>
      </c>
      <c r="B24" s="7">
        <v>7</v>
      </c>
      <c r="C24" s="84" t="str">
        <f>Table1[[#This Row],[Åtgärdskåd]]</f>
        <v>-------Når ej 6 MPa</v>
      </c>
      <c r="D24" t="str">
        <f>Table127[[#This Row],[Åtgärdskåd]]</f>
        <v>Bas+0%20540210Plywood 12-19 cellplast 70OK17</v>
      </c>
      <c r="E24" s="87" t="str">
        <f>Table128[[#This Row],[Åtgärdskåd]]</f>
        <v>0,120540210Plywood 12-19  cellplast 50OK17</v>
      </c>
      <c r="F24" t="str">
        <f>Table132[[#This Row],[Åtgärdskåd]]</f>
        <v>0,120540110Plywood 12-19 cellplast 70OK17</v>
      </c>
      <c r="G24" s="87" t="str">
        <f>Table129[[#This Row],[Åtgärdskåd]]</f>
        <v>0,220540210Plywood 12-19 cellplast 70OK17</v>
      </c>
      <c r="H24" t="str">
        <f>Table130[[#This Row],[Åtgärdskåd]]</f>
        <v>0,220540110Plywood 15 cellplast 30OK17</v>
      </c>
      <c r="I24" s="90" t="str">
        <f>Table131[[#This Row],[Åtgärdskåd]]</f>
        <v>0,320540310Plywood 12-19 cellplast 120OK17</v>
      </c>
      <c r="N24" t="str">
        <f>Table8[[#This Row],[Column1]]</f>
        <v>0,215150PresenningOK7</v>
      </c>
      <c r="O24">
        <f>Table8[[#This Row],[Jobbighetsnivå]]</f>
        <v>23</v>
      </c>
      <c r="P24" s="127">
        <f t="shared" si="0"/>
        <v>23</v>
      </c>
      <c r="Q24" t="e">
        <f t="shared" si="1"/>
        <v>#N/A</v>
      </c>
      <c r="S24">
        <v>23</v>
      </c>
      <c r="T24" t="s">
        <v>159</v>
      </c>
    </row>
    <row r="25" spans="1:20" x14ac:dyDescent="0.25">
      <c r="A25" s="6">
        <v>0</v>
      </c>
      <c r="B25" s="7">
        <v>12</v>
      </c>
      <c r="C25" s="84" t="str">
        <f>Table1[[#This Row],[Åtgärdskåd]]</f>
        <v>-------Når ej 6 MPa</v>
      </c>
      <c r="D25" t="str">
        <f>Table127[[#This Row],[Åtgärdskåd]]</f>
        <v>Bas+0%20540210Plywood 12-19 cellplast 120OK17</v>
      </c>
      <c r="E25" s="87" t="str">
        <f>Table128[[#This Row],[Åtgärdskåd]]</f>
        <v>0,120540210Plywood 12-19 cellplast 100OK17</v>
      </c>
      <c r="F25" t="str">
        <f>Table132[[#This Row],[Åtgärdskåd]]</f>
        <v>0,120540110Plywood 12-19 cellplast 100OK17</v>
      </c>
      <c r="G25" s="87" t="str">
        <f>Table129[[#This Row],[Åtgärdskåd]]</f>
        <v>0,220540310Plywood 12-19 cellplast 100OK17</v>
      </c>
      <c r="H25" t="str">
        <f>Table130[[#This Row],[Åtgärdskåd]]</f>
        <v>0,220540110Plywood 12-19  cellplast 50OK17</v>
      </c>
      <c r="I25" s="90" t="str">
        <f>Table131[[#This Row],[Åtgärdskåd]]</f>
        <v>0,220540110Plywood 15 cellplast 30OK17</v>
      </c>
      <c r="N25" t="str">
        <f>Table8[[#This Row],[Column1]]</f>
        <v>0,22052020OK7</v>
      </c>
      <c r="O25">
        <f>Table8[[#This Row],[Jobbighetsnivå]]</f>
        <v>24</v>
      </c>
      <c r="P25" s="127">
        <f t="shared" si="0"/>
        <v>24</v>
      </c>
      <c r="Q25" t="e">
        <f t="shared" si="1"/>
        <v>#N/A</v>
      </c>
      <c r="S25">
        <v>24</v>
      </c>
      <c r="T25" t="s">
        <v>160</v>
      </c>
    </row>
    <row r="26" spans="1:20" ht="15.75" thickBot="1" x14ac:dyDescent="0.3">
      <c r="A26" s="8">
        <v>0</v>
      </c>
      <c r="B26" s="10">
        <v>20</v>
      </c>
      <c r="C26" s="85" t="str">
        <f>Table1[[#This Row],[Åtgärdskåd]]</f>
        <v>-------Når ej 6 MPa</v>
      </c>
      <c r="D26" s="9" t="str">
        <f>Table127[[#This Row],[Åtgärdskåd]]</f>
        <v>-------Når ej 6 MPa</v>
      </c>
      <c r="E26" s="88" t="str">
        <f>Table128[[#This Row],[Åtgärdskåd]]</f>
        <v>0,120540210Plywood 12-19 cellplast 120OK17</v>
      </c>
      <c r="F26" s="9" t="str">
        <f>Table132[[#This Row],[Åtgärdskåd]]</f>
        <v>0,120540210Plywood 12-19  cellplast 50OK17</v>
      </c>
      <c r="G26" s="88" t="str">
        <f>Table129[[#This Row],[Åtgärdskåd]]</f>
        <v>0,120540110Plywood 15 cellplast 30OK17</v>
      </c>
      <c r="H26" s="9" t="str">
        <f>Table130[[#This Row],[Åtgärdskåd]]</f>
        <v>0,220540110Plywood 12-19  cellplast 50OK17</v>
      </c>
      <c r="I26" s="91" t="str">
        <f>Table131[[#This Row],[Åtgärdskåd]]</f>
        <v>0,220540110Plywood 15 cellplast 30OK17</v>
      </c>
      <c r="N26" t="str">
        <f>Table8[[#This Row],[Column1]]</f>
        <v>0,22052030OK7</v>
      </c>
      <c r="O26">
        <f>Table8[[#This Row],[Jobbighetsnivå]]</f>
        <v>25</v>
      </c>
      <c r="P26" s="127">
        <f t="shared" si="0"/>
        <v>25</v>
      </c>
      <c r="Q26" t="e">
        <f t="shared" si="1"/>
        <v>#N/A</v>
      </c>
      <c r="S26">
        <v>25</v>
      </c>
      <c r="T26" t="s">
        <v>161</v>
      </c>
    </row>
    <row r="27" spans="1:20" x14ac:dyDescent="0.25">
      <c r="A27" s="3">
        <v>-5</v>
      </c>
      <c r="B27" s="5">
        <v>0</v>
      </c>
      <c r="C27" s="83" t="str">
        <f>Table1[[#This Row],[Åtgärdskåd]]</f>
        <v>-------Når ej 6 MPa</v>
      </c>
      <c r="D27" s="4" t="str">
        <f>Table127[[#This Row],[Åtgärdskåd]]</f>
        <v>Bas+0%20540110Plywood 12-19 cellplast 100OK17</v>
      </c>
      <c r="E27" s="86" t="str">
        <f>Table128[[#This Row],[Åtgärdskåd]]</f>
        <v>0,120540110Plywood 12-19 cellplast 100OK17</v>
      </c>
      <c r="F27" s="4" t="str">
        <f>Table132[[#This Row],[Åtgärdskåd]]</f>
        <v>0,220540310Plywood 12-19 cellplast 70OK17</v>
      </c>
      <c r="G27" s="86" t="str">
        <f>Table129[[#This Row],[Åtgärdskåd]]</f>
        <v>0,220540210Plywood 15 cellplast 30OK17</v>
      </c>
      <c r="H27" s="4" t="str">
        <f>Table130[[#This Row],[Åtgärdskåd]]</f>
        <v>0,220540110Plywood 15 cellplast 30OK17</v>
      </c>
      <c r="I27" s="89" t="str">
        <f>Table131[[#This Row],[Åtgärdskåd]]</f>
        <v>0,2205---Plywood 12-19 cellplast 100OK17</v>
      </c>
      <c r="N27" t="str">
        <f>Table8[[#This Row],[Column1]]</f>
        <v>0,22052050OK7</v>
      </c>
      <c r="O27">
        <f>Table8[[#This Row],[Jobbighetsnivå]]</f>
        <v>26</v>
      </c>
      <c r="P27" s="127">
        <f t="shared" si="0"/>
        <v>26</v>
      </c>
      <c r="Q27" t="e">
        <f t="shared" si="1"/>
        <v>#N/A</v>
      </c>
      <c r="S27">
        <v>26</v>
      </c>
      <c r="T27" t="s">
        <v>162</v>
      </c>
    </row>
    <row r="28" spans="1:20" x14ac:dyDescent="0.25">
      <c r="A28" s="6">
        <v>-5</v>
      </c>
      <c r="B28" s="7">
        <v>2</v>
      </c>
      <c r="C28" s="84" t="str">
        <f>Table1[[#This Row],[Åtgärdskåd]]</f>
        <v>-------Når ej 6 MPa</v>
      </c>
      <c r="D28" t="str">
        <f>Table127[[#This Row],[Åtgärdskåd]]</f>
        <v>Bas+0%20540210Plywood 12-19 cellplast 70OK17</v>
      </c>
      <c r="E28" s="87" t="str">
        <f>Table128[[#This Row],[Åtgärdskåd]]</f>
        <v>0,120540210Plywood 12-19  cellplast 50OK17</v>
      </c>
      <c r="F28" t="str">
        <f>Table132[[#This Row],[Åtgärdskåd]]</f>
        <v>0,120540110Plywood 12-19 cellplast 100OK17</v>
      </c>
      <c r="G28" s="87" t="str">
        <f>Table129[[#This Row],[Åtgärdskåd]]</f>
        <v>0,220540210Plywood 12-19 cellplast 70OK17</v>
      </c>
      <c r="H28" t="str">
        <f>Table130[[#This Row],[Åtgärdskåd]]</f>
        <v>0,220540110Plywood 12-19  cellplast 50OK17</v>
      </c>
      <c r="I28" s="90" t="str">
        <f>Table131[[#This Row],[Åtgärdskåd]]</f>
        <v>0,220540110Plywood 15 cellplast 30OK17</v>
      </c>
      <c r="N28" t="str">
        <f>Table8[[#This Row],[Column1]]</f>
        <v>0,11515--OK7</v>
      </c>
      <c r="O28">
        <f>Table8[[#This Row],[Jobbighetsnivå]]</f>
        <v>27</v>
      </c>
      <c r="P28" s="127">
        <f t="shared" si="0"/>
        <v>27</v>
      </c>
      <c r="Q28" t="e">
        <f t="shared" si="1"/>
        <v>#N/A</v>
      </c>
      <c r="S28">
        <v>27</v>
      </c>
      <c r="T28" t="s">
        <v>163</v>
      </c>
    </row>
    <row r="29" spans="1:20" x14ac:dyDescent="0.25">
      <c r="A29" s="6">
        <v>-5</v>
      </c>
      <c r="B29" s="7">
        <v>7</v>
      </c>
      <c r="C29" s="84" t="str">
        <f>Table1[[#This Row],[Åtgärdskåd]]</f>
        <v>-------Når ej 6 MPa</v>
      </c>
      <c r="D29" t="str">
        <f>Table127[[#This Row],[Åtgärdskåd]]</f>
        <v>-------Når ej 6 MPa</v>
      </c>
      <c r="E29" s="87" t="str">
        <f>Table128[[#This Row],[Åtgärdskåd]]</f>
        <v>Bas+0%20540110Plywood 12-19 cellplast 100OK17</v>
      </c>
      <c r="F29" t="str">
        <f>Table132[[#This Row],[Åtgärdskåd]]</f>
        <v>0,120540210Plywood 12-19 cellplast 70OK17</v>
      </c>
      <c r="G29" s="87" t="str">
        <f>Table129[[#This Row],[Åtgärdskåd]]</f>
        <v>0,120540110Plywood 12-19 cellplast 70OK17</v>
      </c>
      <c r="H29" t="str">
        <f>Table130[[#This Row],[Åtgärdskåd]]</f>
        <v>0,220540110Plywood 12-19 cellplast 120OK17</v>
      </c>
      <c r="I29" s="90" t="str">
        <f>Table131[[#This Row],[Åtgärdskåd]]</f>
        <v>0,220540110Plywood 12-19  cellplast 50OK17</v>
      </c>
      <c r="N29" t="str">
        <f>Table8[[#This Row],[Column1]]</f>
        <v>0,11510--OK7</v>
      </c>
      <c r="O29">
        <f>Table8[[#This Row],[Jobbighetsnivå]]</f>
        <v>28</v>
      </c>
      <c r="P29" s="127">
        <f t="shared" si="0"/>
        <v>28</v>
      </c>
      <c r="Q29" t="e">
        <f t="shared" si="1"/>
        <v>#N/A</v>
      </c>
      <c r="S29">
        <v>28</v>
      </c>
      <c r="T29" t="s">
        <v>164</v>
      </c>
    </row>
    <row r="30" spans="1:20" x14ac:dyDescent="0.25">
      <c r="A30" s="6">
        <v>-5</v>
      </c>
      <c r="B30" s="7">
        <v>12</v>
      </c>
      <c r="C30" s="84" t="str">
        <f>Table1[[#This Row],[Åtgärdskåd]]</f>
        <v>-------Når ej 6 MPa</v>
      </c>
      <c r="D30" t="str">
        <f>Table127[[#This Row],[Åtgärdskåd]]</f>
        <v>-------Når ej 6 MPa</v>
      </c>
      <c r="E30" s="87" t="str">
        <f>Table128[[#This Row],[Åtgärdskåd]]</f>
        <v>Bas+0%20540210Plywood 12-19  cellplast 50OK17</v>
      </c>
      <c r="F30" t="str">
        <f>Table132[[#This Row],[Åtgärdskåd]]</f>
        <v>0,120540210Plywood 12-19 cellplast 120OK17</v>
      </c>
      <c r="G30" s="87" t="str">
        <f>Table129[[#This Row],[Åtgärdskåd]]</f>
        <v>0,120540110Plywood 12-19 cellplast 100OK17</v>
      </c>
      <c r="H30" t="str">
        <f>Table130[[#This Row],[Åtgärdskåd]]</f>
        <v>0,220540210Plywood 12-19 cellplast 70OK17</v>
      </c>
      <c r="I30" s="90" t="str">
        <f>Table131[[#This Row],[Åtgärdskåd]]</f>
        <v>0,220540110Plywood 12-19 cellplast 70OK17</v>
      </c>
      <c r="N30" t="str">
        <f>Table8[[#This Row],[Column1]]</f>
        <v>0,115150-OK7</v>
      </c>
      <c r="O30">
        <f>Table8[[#This Row],[Jobbighetsnivå]]</f>
        <v>29</v>
      </c>
      <c r="P30" s="127">
        <f t="shared" si="0"/>
        <v>29</v>
      </c>
      <c r="Q30" t="e">
        <f t="shared" si="1"/>
        <v>#N/A</v>
      </c>
      <c r="S30">
        <v>29</v>
      </c>
      <c r="T30" t="s">
        <v>165</v>
      </c>
    </row>
    <row r="31" spans="1:20" ht="15.75" thickBot="1" x14ac:dyDescent="0.3">
      <c r="A31" s="8">
        <v>-5</v>
      </c>
      <c r="B31" s="10">
        <v>20</v>
      </c>
      <c r="C31" s="85" t="str">
        <f>Table1[[#This Row],[Åtgärdskåd]]</f>
        <v>-------Fryser innan täck</v>
      </c>
      <c r="D31" s="9" t="str">
        <f>Table127[[#This Row],[Åtgärdskåd]]</f>
        <v>-------Fryser innan täck</v>
      </c>
      <c r="E31" s="88" t="str">
        <f>Table128[[#This Row],[Åtgärdskåd]]</f>
        <v>-------Fryser innan täck</v>
      </c>
      <c r="F31" s="9" t="str">
        <f>Table132[[#This Row],[Åtgärdskåd]]</f>
        <v>-------Fryser innan täck</v>
      </c>
      <c r="G31" s="88" t="str">
        <f>Table129[[#This Row],[Åtgärdskåd]]</f>
        <v>-------Fryser innan täck</v>
      </c>
      <c r="H31" s="9" t="str">
        <f>Table130[[#This Row],[Åtgärdskåd]]</f>
        <v>-------Fryser innan täck</v>
      </c>
      <c r="I31" s="91" t="str">
        <f>Table131[[#This Row],[Åtgärdskåd]]</f>
        <v>-------Fryser innan täck</v>
      </c>
      <c r="N31" t="str">
        <f>Table8[[#This Row],[Column1]]</f>
        <v>0,115150PresenningOK7</v>
      </c>
      <c r="O31">
        <f>Table8[[#This Row],[Jobbighetsnivå]]</f>
        <v>30</v>
      </c>
      <c r="P31" s="127">
        <f t="shared" si="0"/>
        <v>30</v>
      </c>
      <c r="Q31" t="e">
        <f t="shared" si="1"/>
        <v>#N/A</v>
      </c>
      <c r="S31">
        <v>30</v>
      </c>
      <c r="T31" t="s">
        <v>166</v>
      </c>
    </row>
    <row r="32" spans="1:20" x14ac:dyDescent="0.25">
      <c r="A32" s="3">
        <v>-10</v>
      </c>
      <c r="B32" s="5">
        <v>0</v>
      </c>
      <c r="C32" s="83" t="str">
        <f>Table1[[#This Row],[Åtgärdskåd]]</f>
        <v>-------Når ej 6 MPa</v>
      </c>
      <c r="D32" s="4" t="str">
        <f>Table127[[#This Row],[Åtgärdskåd]]</f>
        <v>Bas+0%20540210Plywood 12-19  cellplast 50OK17</v>
      </c>
      <c r="E32" s="86" t="str">
        <f>Table128[[#This Row],[Åtgärdskåd]]</f>
        <v>0,120540210Plywood 12-19  cellplast 50OK17</v>
      </c>
      <c r="F32" s="4" t="str">
        <f>Table132[[#This Row],[Åtgärdskåd]]</f>
        <v>0,220540310Plywood 12-19 cellplast 100OK17</v>
      </c>
      <c r="G32" s="86" t="str">
        <f>Table129[[#This Row],[Åtgärdskåd]]</f>
        <v>0,220540210Plywood 12-19  cellplast 50OK17</v>
      </c>
      <c r="H32" s="4" t="str">
        <f>Table130[[#This Row],[Åtgärdskåd]]</f>
        <v>0,220540110Plywood 12-19  cellplast 50OK17</v>
      </c>
      <c r="I32" s="89" t="str">
        <f>Table131[[#This Row],[Åtgärdskåd]]</f>
        <v>0,220540110Plywood 15 cellplast 30OK17</v>
      </c>
      <c r="N32" t="str">
        <f>Table8[[#This Row],[Column1]]</f>
        <v>0,115100PresenningOK7</v>
      </c>
      <c r="O32">
        <f>Table8[[#This Row],[Jobbighetsnivå]]</f>
        <v>31</v>
      </c>
      <c r="P32" s="127">
        <f t="shared" si="0"/>
        <v>31</v>
      </c>
      <c r="Q32" t="e">
        <f t="shared" si="1"/>
        <v>#N/A</v>
      </c>
      <c r="S32">
        <v>31</v>
      </c>
      <c r="T32" t="s">
        <v>167</v>
      </c>
    </row>
    <row r="33" spans="1:20" x14ac:dyDescent="0.25">
      <c r="A33" s="6">
        <v>-10</v>
      </c>
      <c r="B33" s="7">
        <v>2</v>
      </c>
      <c r="C33" s="84" t="str">
        <f>Table1[[#This Row],[Åtgärdskåd]]</f>
        <v>-------Når ej 6 MPa</v>
      </c>
      <c r="D33" t="str">
        <f>Table127[[#This Row],[Åtgärdskåd]]</f>
        <v>Bas+0%20540310Plywood 12-19 cellplast 120OK17</v>
      </c>
      <c r="E33" s="87" t="str">
        <f>Table128[[#This Row],[Åtgärdskåd]]</f>
        <v>0,120540310Plywood 12-19 cellplast 100OK17</v>
      </c>
      <c r="F33" t="str">
        <f>Table132[[#This Row],[Åtgärdskåd]]</f>
        <v>0,120540210Plywood 12-19 cellplast 70OK17</v>
      </c>
      <c r="G33" s="87" t="str">
        <f>Table129[[#This Row],[Åtgärdskåd]]</f>
        <v>0,120540110Plywood 12-19 cellplast 70OK17</v>
      </c>
      <c r="H33" t="str">
        <f>Table130[[#This Row],[Åtgärdskåd]]</f>
        <v>0,220540110Plywood 12-19 cellplast 120OK17</v>
      </c>
      <c r="I33" s="90" t="str">
        <f>Table131[[#This Row],[Åtgärdskåd]]</f>
        <v>0,220540110Plywood 12-19  cellplast 50OK17</v>
      </c>
      <c r="N33" t="str">
        <f>Table8[[#This Row],[Column1]]</f>
        <v>0,12052030OK7</v>
      </c>
      <c r="O33">
        <f>Table8[[#This Row],[Jobbighetsnivå]]</f>
        <v>32</v>
      </c>
      <c r="P33" s="127">
        <f t="shared" si="0"/>
        <v>32</v>
      </c>
      <c r="Q33" t="e">
        <f t="shared" si="1"/>
        <v>#N/A</v>
      </c>
      <c r="S33">
        <v>32</v>
      </c>
      <c r="T33" t="s">
        <v>168</v>
      </c>
    </row>
    <row r="34" spans="1:20" x14ac:dyDescent="0.25">
      <c r="A34" s="6">
        <v>-10</v>
      </c>
      <c r="B34" s="7">
        <v>7</v>
      </c>
      <c r="C34" s="84" t="str">
        <f>Table1[[#This Row],[Åtgärdskåd]]</f>
        <v>-------Når ej 6 MPa</v>
      </c>
      <c r="D34" t="str">
        <f>Table127[[#This Row],[Åtgärdskåd]]</f>
        <v>-------Når ej 6 MPa</v>
      </c>
      <c r="E34" s="87" t="str">
        <f>Table128[[#This Row],[Åtgärdskåd]]</f>
        <v>Bas+0%20540210Plywood 12-19 cellplast 70OK17</v>
      </c>
      <c r="F34" t="str">
        <f>Table132[[#This Row],[Åtgärdskåd]]</f>
        <v>Bas+0%20540210Plywood 12-19 cellplast 70OK17</v>
      </c>
      <c r="G34" s="87" t="str">
        <f>Table129[[#This Row],[Åtgärdskåd]]</f>
        <v>0,120540210Plywood 12-19 cellplast 100OK17</v>
      </c>
      <c r="H34" t="str">
        <f>Table130[[#This Row],[Åtgärdskåd]]</f>
        <v>0,220540310Plywood 12-19 cellplast 120OK17</v>
      </c>
      <c r="I34" s="90" t="str">
        <f>Table131[[#This Row],[Åtgärdskåd]]</f>
        <v>0,220540210Plywood 12-19  cellplast 50OK17</v>
      </c>
      <c r="N34" t="str">
        <f>Table8[[#This Row],[Column1]]</f>
        <v>0,11552030OK7</v>
      </c>
      <c r="O34">
        <f>Table8[[#This Row],[Jobbighetsnivå]]</f>
        <v>33</v>
      </c>
      <c r="P34" s="127">
        <f t="shared" si="0"/>
        <v>33</v>
      </c>
      <c r="Q34" t="e">
        <f t="shared" si="1"/>
        <v>#N/A</v>
      </c>
      <c r="S34">
        <v>33</v>
      </c>
      <c r="T34" t="s">
        <v>169</v>
      </c>
    </row>
    <row r="35" spans="1:20" x14ac:dyDescent="0.25">
      <c r="A35" s="6">
        <v>-10</v>
      </c>
      <c r="B35" s="7">
        <v>12</v>
      </c>
      <c r="C35" s="84" t="str">
        <f>Table1[[#This Row],[Åtgärdskåd]]</f>
        <v>-------Fryser innan täck</v>
      </c>
      <c r="D35" t="str">
        <f>Table127[[#This Row],[Åtgärdskåd]]</f>
        <v>-------Fryser innan täck</v>
      </c>
      <c r="E35" s="87" t="str">
        <f>Table128[[#This Row],[Åtgärdskåd]]</f>
        <v>-------Fryser innan täck</v>
      </c>
      <c r="F35" t="str">
        <f>Table132[[#This Row],[Åtgärdskåd]]</f>
        <v>-------Fryser innan täck</v>
      </c>
      <c r="G35" s="87" t="str">
        <f>Table129[[#This Row],[Åtgärdskåd]]</f>
        <v>-------Fryser innan täck</v>
      </c>
      <c r="H35" t="str">
        <f>Table130[[#This Row],[Åtgärdskåd]]</f>
        <v>-------Fryser innan täck</v>
      </c>
      <c r="I35" s="90" t="str">
        <f>Table131[[#This Row],[Åtgärdskåd]]</f>
        <v>-------Fryser innan täck</v>
      </c>
      <c r="N35" t="str">
        <f>Table8[[#This Row],[Column1]]</f>
        <v>0,12052050OK7</v>
      </c>
      <c r="O35">
        <f>Table8[[#This Row],[Jobbighetsnivå]]</f>
        <v>34</v>
      </c>
      <c r="P35" s="127">
        <f t="shared" si="0"/>
        <v>34</v>
      </c>
      <c r="Q35" t="e">
        <f t="shared" si="1"/>
        <v>#N/A</v>
      </c>
      <c r="S35">
        <v>34</v>
      </c>
      <c r="T35" t="s">
        <v>170</v>
      </c>
    </row>
    <row r="36" spans="1:20" ht="15.75" thickBot="1" x14ac:dyDescent="0.3">
      <c r="A36" s="8">
        <v>-10</v>
      </c>
      <c r="B36" s="10">
        <v>20</v>
      </c>
      <c r="C36" s="85" t="str">
        <f>Table1[[#This Row],[Åtgärdskåd]]</f>
        <v>-------Fryser innan täck</v>
      </c>
      <c r="D36" s="9" t="str">
        <f>Table127[[#This Row],[Åtgärdskåd]]</f>
        <v>-------Fryser innan täck</v>
      </c>
      <c r="E36" s="88" t="str">
        <f>Table128[[#This Row],[Åtgärdskåd]]</f>
        <v>-------Fryser innan täck</v>
      </c>
      <c r="F36" s="9" t="str">
        <f>Table132[[#This Row],[Åtgärdskåd]]</f>
        <v>-------Fryser innan täck</v>
      </c>
      <c r="G36" s="88" t="str">
        <f>Table129[[#This Row],[Åtgärdskåd]]</f>
        <v>-------Fryser innan täck</v>
      </c>
      <c r="H36" s="9" t="str">
        <f>Table130[[#This Row],[Åtgärdskåd]]</f>
        <v>-------Fryser innan täck</v>
      </c>
      <c r="I36" s="91" t="str">
        <f>Table131[[#This Row],[Åtgärdskåd]]</f>
        <v>-------Fryser innan täck</v>
      </c>
      <c r="N36" t="str">
        <f>Table8[[#This Row],[Column1]]</f>
        <v>0,11552050OK7</v>
      </c>
      <c r="O36">
        <f>Table8[[#This Row],[Jobbighetsnivå]]</f>
        <v>35</v>
      </c>
      <c r="P36" s="127">
        <f t="shared" si="0"/>
        <v>35</v>
      </c>
      <c r="Q36" t="e">
        <f t="shared" si="1"/>
        <v>#N/A</v>
      </c>
      <c r="S36">
        <v>35</v>
      </c>
      <c r="T36" t="s">
        <v>171</v>
      </c>
    </row>
    <row r="37" spans="1:20" x14ac:dyDescent="0.25">
      <c r="A37" s="3">
        <v>-15</v>
      </c>
      <c r="B37" s="5">
        <v>0</v>
      </c>
      <c r="C37" s="83" t="str">
        <f>Table1[[#This Row],[Åtgärdskåd]]</f>
        <v>-------Når ej 6 MPa</v>
      </c>
      <c r="D37" s="4" t="str">
        <f>Table127[[#This Row],[Åtgärdskåd]]</f>
        <v>-------Når ej 6 MPa</v>
      </c>
      <c r="E37" s="86" t="str">
        <f>Table128[[#This Row],[Åtgärdskåd]]</f>
        <v>Bas+0%15540350Plywood 12-19 cellplast 70OK17</v>
      </c>
      <c r="F37" s="4" t="str">
        <f>Table132[[#This Row],[Åtgärdskåd]]</f>
        <v>Bas+0%15540220Plywood 12-19 cellplast 100OK17</v>
      </c>
      <c r="G37" s="86" t="str">
        <f>Table129[[#This Row],[Åtgärdskåd]]</f>
        <v>0,115540220Plywood 12-19 cellplast 120OK17</v>
      </c>
      <c r="H37" s="4" t="str">
        <f>Table130[[#This Row],[Åtgärdskåd]]</f>
        <v>0,215540330Plywood 12-19 cellplast 100OK17</v>
      </c>
      <c r="I37" s="89" t="str">
        <f>Table131[[#This Row],[Åtgärdskåd]]</f>
        <v>0,215540230Plywood 12-19 cellplast 70OK17</v>
      </c>
      <c r="N37" t="str">
        <f>Table8[[#This Row],[Column1]]</f>
        <v>0,11052050OK7</v>
      </c>
      <c r="O37">
        <f>Table8[[#This Row],[Jobbighetsnivå]]</f>
        <v>36</v>
      </c>
      <c r="P37" s="127">
        <f t="shared" si="0"/>
        <v>36</v>
      </c>
      <c r="Q37" t="e">
        <f t="shared" si="1"/>
        <v>#N/A</v>
      </c>
      <c r="S37">
        <v>36</v>
      </c>
      <c r="T37" t="s">
        <v>172</v>
      </c>
    </row>
    <row r="38" spans="1:20" x14ac:dyDescent="0.25">
      <c r="A38" s="6">
        <v>-15</v>
      </c>
      <c r="B38" s="7">
        <v>2</v>
      </c>
      <c r="C38" s="84" t="str">
        <f>Table1[[#This Row],[Åtgärdskåd]]</f>
        <v>-------Når ej 6 MPa</v>
      </c>
      <c r="D38" t="str">
        <f>Table127[[#This Row],[Åtgärdskåd]]</f>
        <v>-------Når ej 6 MPa</v>
      </c>
      <c r="E38" s="87" t="str">
        <f>Table128[[#This Row],[Åtgärdskåd]]</f>
        <v>-------Når ej 6 MPa</v>
      </c>
      <c r="F38" t="str">
        <f>Table132[[#This Row],[Åtgärdskåd]]</f>
        <v>-------Når ej 6 MPa</v>
      </c>
      <c r="G38" s="87" t="str">
        <f>Table129[[#This Row],[Åtgärdskåd]]</f>
        <v>Bas+0%15540320Plywood 12-19 cellplast 120OK17</v>
      </c>
      <c r="H38" t="str">
        <f>Table130[[#This Row],[Åtgärdskåd]]</f>
        <v>Bas+0%15540220Plywood 12-19 cellplast 100OK17</v>
      </c>
      <c r="I38" s="90" t="str">
        <f>Table131[[#This Row],[Åtgärdskåd]]</f>
        <v>0,115540220Plywood 12-19 cellplast 100OK17</v>
      </c>
      <c r="N38" t="str">
        <f>Table8[[#This Row],[Column1]]</f>
        <v>Bas+0%+0%1510--OK7</v>
      </c>
      <c r="O38">
        <f>Table8[[#This Row],[Jobbighetsnivå]]</f>
        <v>37</v>
      </c>
      <c r="P38" s="127">
        <f t="shared" si="0"/>
        <v>37</v>
      </c>
      <c r="Q38" t="e">
        <f t="shared" si="1"/>
        <v>#N/A</v>
      </c>
      <c r="S38">
        <v>37</v>
      </c>
      <c r="T38" t="s">
        <v>173</v>
      </c>
    </row>
    <row r="39" spans="1:20" x14ac:dyDescent="0.25">
      <c r="A39" s="6">
        <v>-15</v>
      </c>
      <c r="B39" s="7">
        <v>7</v>
      </c>
      <c r="C39" s="84" t="str">
        <f>Table1[[#This Row],[Åtgärdskåd]]</f>
        <v>-------Fryser innan täck</v>
      </c>
      <c r="D39" t="str">
        <f>Table127[[#This Row],[Åtgärdskåd]]</f>
        <v>-------Fryser innan täck</v>
      </c>
      <c r="E39" s="87" t="str">
        <f>Table128[[#This Row],[Åtgärdskåd]]</f>
        <v>-------Fryser innan täck</v>
      </c>
      <c r="F39" t="str">
        <f>Table132[[#This Row],[Åtgärdskåd]]</f>
        <v>-------Fryser innan täck</v>
      </c>
      <c r="G39" s="87" t="str">
        <f>Table129[[#This Row],[Åtgärdskåd]]</f>
        <v>-------Fryser innan täck</v>
      </c>
      <c r="H39" t="str">
        <f>Table130[[#This Row],[Åtgärdskåd]]</f>
        <v>-------Fryser innan täck</v>
      </c>
      <c r="I39" s="90" t="str">
        <f>Table131[[#This Row],[Åtgärdskåd]]</f>
        <v>-------Fryser innan täck</v>
      </c>
      <c r="N39" t="str">
        <f>Table8[[#This Row],[Column1]]</f>
        <v>Bas+0%+0%15100-OK7</v>
      </c>
      <c r="O39">
        <f>Table8[[#This Row],[Jobbighetsnivå]]</f>
        <v>38</v>
      </c>
      <c r="P39" s="127">
        <f t="shared" si="0"/>
        <v>38</v>
      </c>
      <c r="Q39" t="e">
        <f t="shared" si="1"/>
        <v>#N/A</v>
      </c>
      <c r="S39">
        <v>38</v>
      </c>
      <c r="T39" t="s">
        <v>174</v>
      </c>
    </row>
    <row r="40" spans="1:20" x14ac:dyDescent="0.25">
      <c r="A40" s="6">
        <v>-15</v>
      </c>
      <c r="B40" s="7">
        <v>12</v>
      </c>
      <c r="C40" s="84" t="str">
        <f>Table1[[#This Row],[Åtgärdskåd]]</f>
        <v>-------Fryser innan täck</v>
      </c>
      <c r="D40" t="str">
        <f>Table127[[#This Row],[Åtgärdskåd]]</f>
        <v>-------Fryser innan täck</v>
      </c>
      <c r="E40" s="87" t="str">
        <f>Table128[[#This Row],[Åtgärdskåd]]</f>
        <v>-------Fryser innan täck</v>
      </c>
      <c r="F40" t="str">
        <f>Table132[[#This Row],[Åtgärdskåd]]</f>
        <v>-------Fryser innan täck</v>
      </c>
      <c r="G40" s="87" t="str">
        <f>Table129[[#This Row],[Åtgärdskåd]]</f>
        <v>-------Fryser innan täck</v>
      </c>
      <c r="H40" t="str">
        <f>Table130[[#This Row],[Åtgärdskåd]]</f>
        <v>-------Fryser innan täck</v>
      </c>
      <c r="I40" s="90" t="str">
        <f>Table131[[#This Row],[Åtgärdskåd]]</f>
        <v>-------Fryser innan täck</v>
      </c>
      <c r="N40" t="str">
        <f>Table8[[#This Row],[Column1]]</f>
        <v>Bas+0%+0%2052030OK7</v>
      </c>
      <c r="O40">
        <f>Table8[[#This Row],[Jobbighetsnivå]]</f>
        <v>39</v>
      </c>
      <c r="P40" s="127">
        <f t="shared" si="0"/>
        <v>39</v>
      </c>
      <c r="Q40" t="e">
        <f t="shared" si="1"/>
        <v>#N/A</v>
      </c>
      <c r="S40">
        <v>39</v>
      </c>
      <c r="T40" t="s">
        <v>175</v>
      </c>
    </row>
    <row r="41" spans="1:20" ht="15.75" thickBot="1" x14ac:dyDescent="0.3">
      <c r="A41" s="8">
        <v>-15</v>
      </c>
      <c r="B41" s="10">
        <v>20</v>
      </c>
      <c r="C41" s="85" t="str">
        <f>Table1[[#This Row],[Åtgärdskåd]]</f>
        <v>-------Fryser innan täck</v>
      </c>
      <c r="D41" s="9" t="str">
        <f>Table127[[#This Row],[Åtgärdskåd]]</f>
        <v>-------Fryser innan täck</v>
      </c>
      <c r="E41" s="88" t="str">
        <f>Table128[[#This Row],[Åtgärdskåd]]</f>
        <v>-------Fryser innan täck</v>
      </c>
      <c r="F41" s="9" t="str">
        <f>Table132[[#This Row],[Åtgärdskåd]]</f>
        <v>-------Fryser innan täck</v>
      </c>
      <c r="G41" s="88" t="str">
        <f>Table129[[#This Row],[Åtgärdskåd]]</f>
        <v>-------Fryser innan täck</v>
      </c>
      <c r="H41" s="9" t="str">
        <f>Table130[[#This Row],[Åtgärdskåd]]</f>
        <v>-------Fryser innan täck</v>
      </c>
      <c r="I41" s="91" t="str">
        <f>Table131[[#This Row],[Åtgärdskåd]]</f>
        <v>-------Fryser innan täck</v>
      </c>
      <c r="N41" t="str">
        <f>Table8[[#This Row],[Column1]]</f>
        <v>Bas+0%+0%1552030OK7</v>
      </c>
      <c r="O41">
        <f>Table8[[#This Row],[Jobbighetsnivå]]</f>
        <v>40</v>
      </c>
      <c r="P41" s="127">
        <f t="shared" si="0"/>
        <v>40</v>
      </c>
      <c r="Q41" t="e">
        <f t="shared" si="1"/>
        <v>#N/A</v>
      </c>
      <c r="S41">
        <v>40</v>
      </c>
      <c r="T41" t="s">
        <v>176</v>
      </c>
    </row>
    <row r="42" spans="1:20" x14ac:dyDescent="0.25">
      <c r="A42" s="6">
        <v>-20</v>
      </c>
      <c r="B42" s="7">
        <v>0</v>
      </c>
      <c r="C42" s="84" t="str">
        <f>Table1[[#This Row],[Åtgärdskåd]]</f>
        <v>-------Når ej 6 MPa</v>
      </c>
      <c r="D42" t="str">
        <f>Table127[[#This Row],[Åtgärdskåd]]</f>
        <v>-------Når ej 6 MPa</v>
      </c>
      <c r="E42" s="87" t="str">
        <f>Table128[[#This Row],[Åtgärdskåd]]</f>
        <v>-------Når ej 6 MPa</v>
      </c>
      <c r="F42" t="str">
        <f>Table132[[#This Row],[Åtgärdskåd]]</f>
        <v>-------Når ej 6 MPa</v>
      </c>
      <c r="G42" s="87" t="str">
        <f>Table129[[#This Row],[Åtgärdskåd]]</f>
        <v>-------Når ej 6 MPa</v>
      </c>
      <c r="H42" t="str">
        <f>Table130[[#This Row],[Åtgärdskåd]]</f>
        <v>-------Når ej 6 MPa</v>
      </c>
      <c r="I42" s="90" t="str">
        <f>Table131[[#This Row],[Åtgärdskåd]]</f>
        <v>-------Når ej 6 MPa</v>
      </c>
      <c r="N42" t="str">
        <f>Table8[[#This Row],[Column1]]</f>
        <v>Bas+0%+0%2052050OK7</v>
      </c>
      <c r="O42">
        <f>Table8[[#This Row],[Jobbighetsnivå]]</f>
        <v>41</v>
      </c>
      <c r="P42" s="127">
        <f t="shared" si="0"/>
        <v>41</v>
      </c>
      <c r="Q42" t="e">
        <f t="shared" si="1"/>
        <v>#N/A</v>
      </c>
      <c r="S42">
        <v>41</v>
      </c>
      <c r="T42" t="s">
        <v>177</v>
      </c>
    </row>
    <row r="43" spans="1:20" x14ac:dyDescent="0.25">
      <c r="A43" s="6">
        <v>-20</v>
      </c>
      <c r="B43" s="7">
        <v>2</v>
      </c>
      <c r="C43" s="84" t="str">
        <f>Table1[[#This Row],[Åtgärdskåd]]</f>
        <v>-------Fryser innan täck</v>
      </c>
      <c r="D43" t="str">
        <f>Table127[[#This Row],[Åtgärdskåd]]</f>
        <v>-------Fryser innan täck</v>
      </c>
      <c r="E43" s="87" t="str">
        <f>Table128[[#This Row],[Åtgärdskåd]]</f>
        <v>-------Fryser innan täck</v>
      </c>
      <c r="F43" t="str">
        <f>Table132[[#This Row],[Åtgärdskåd]]</f>
        <v>-------Fryser innan täck</v>
      </c>
      <c r="G43" s="87" t="str">
        <f>Table129[[#This Row],[Åtgärdskåd]]</f>
        <v>-------Fryser innan täck</v>
      </c>
      <c r="H43" t="str">
        <f>Table130[[#This Row],[Åtgärdskåd]]</f>
        <v>-------Fryser innan täck</v>
      </c>
      <c r="I43" s="90" t="str">
        <f>Table131[[#This Row],[Åtgärdskåd]]</f>
        <v>-------Fryser innan täck</v>
      </c>
      <c r="N43" t="str">
        <f>Table8[[#This Row],[Column1]]</f>
        <v>Bas+0%+0%1552050OK7</v>
      </c>
      <c r="O43">
        <f>Table8[[#This Row],[Jobbighetsnivå]]</f>
        <v>42</v>
      </c>
      <c r="P43" s="127">
        <f t="shared" si="0"/>
        <v>42</v>
      </c>
      <c r="Q43" t="e">
        <f t="shared" si="1"/>
        <v>#N/A</v>
      </c>
      <c r="S43">
        <v>42</v>
      </c>
      <c r="T43" t="s">
        <v>178</v>
      </c>
    </row>
    <row r="44" spans="1:20" x14ac:dyDescent="0.25">
      <c r="A44" s="6">
        <v>-20</v>
      </c>
      <c r="B44" s="7">
        <v>7</v>
      </c>
      <c r="C44" s="84" t="str">
        <f>Table1[[#This Row],[Åtgärdskåd]]</f>
        <v>-------Fryser innan täck</v>
      </c>
      <c r="D44" t="str">
        <f>Table127[[#This Row],[Åtgärdskåd]]</f>
        <v>-------Fryser innan täck</v>
      </c>
      <c r="E44" s="87" t="str">
        <f>Table128[[#This Row],[Åtgärdskåd]]</f>
        <v>-------Fryser innan täck</v>
      </c>
      <c r="F44" t="str">
        <f>Table132[[#This Row],[Åtgärdskåd]]</f>
        <v>-------Fryser innan täck</v>
      </c>
      <c r="G44" s="87" t="str">
        <f>Table129[[#This Row],[Åtgärdskåd]]</f>
        <v>-------Fryser innan täck</v>
      </c>
      <c r="H44" t="str">
        <f>Table130[[#This Row],[Åtgärdskåd]]</f>
        <v>-------Fryser innan täck</v>
      </c>
      <c r="I44" s="90" t="str">
        <f>Table131[[#This Row],[Åtgärdskåd]]</f>
        <v>-------Fryser innan täck</v>
      </c>
      <c r="N44" t="str">
        <f>Table8[[#This Row],[Column1]]</f>
        <v>Bas+0%+0%1052050OK7</v>
      </c>
      <c r="O44">
        <f>Table8[[#This Row],[Jobbighetsnivå]]</f>
        <v>43</v>
      </c>
      <c r="P44" s="127">
        <f t="shared" si="0"/>
        <v>43</v>
      </c>
      <c r="Q44" t="e">
        <f t="shared" si="1"/>
        <v>#N/A</v>
      </c>
      <c r="S44">
        <v>43</v>
      </c>
      <c r="T44" t="s">
        <v>179</v>
      </c>
    </row>
    <row r="45" spans="1:20" x14ac:dyDescent="0.25">
      <c r="A45" s="6">
        <v>-20</v>
      </c>
      <c r="B45" s="7">
        <v>12</v>
      </c>
      <c r="C45" s="84" t="str">
        <f>Table1[[#This Row],[Åtgärdskåd]]</f>
        <v>-------Fryser innan täck</v>
      </c>
      <c r="D45" t="str">
        <f>Table127[[#This Row],[Åtgärdskåd]]</f>
        <v>-------Fryser innan täck</v>
      </c>
      <c r="E45" s="87" t="str">
        <f>Table128[[#This Row],[Åtgärdskåd]]</f>
        <v>-------Fryser innan täck</v>
      </c>
      <c r="F45" t="str">
        <f>Table132[[#This Row],[Åtgärdskåd]]</f>
        <v>-------Fryser innan täck</v>
      </c>
      <c r="G45" s="87" t="str">
        <f>Table129[[#This Row],[Åtgärdskåd]]</f>
        <v>-------Fryser innan täck</v>
      </c>
      <c r="H45" t="str">
        <f>Table130[[#This Row],[Åtgärdskåd]]</f>
        <v>-------Fryser innan täck</v>
      </c>
      <c r="I45" s="90" t="str">
        <f>Table131[[#This Row],[Åtgärdskåd]]</f>
        <v>-------Fryser innan täck</v>
      </c>
      <c r="N45" t="str">
        <f>Table8[[#This Row],[Column1]]</f>
        <v>-----Når ej 70%</v>
      </c>
      <c r="O45">
        <f>Table8[[#This Row],[Jobbighetsnivå]]</f>
        <v>44</v>
      </c>
      <c r="P45" s="127">
        <f t="shared" si="0"/>
        <v>44</v>
      </c>
      <c r="Q45" t="e">
        <f t="shared" si="1"/>
        <v>#N/A</v>
      </c>
      <c r="S45">
        <v>44</v>
      </c>
      <c r="T45" t="s">
        <v>180</v>
      </c>
    </row>
    <row r="46" spans="1:20" ht="15.75" thickBot="1" x14ac:dyDescent="0.3">
      <c r="A46" s="8">
        <v>-20</v>
      </c>
      <c r="B46" s="10">
        <v>20</v>
      </c>
      <c r="C46" s="85" t="str">
        <f>Table1[[#This Row],[Åtgärdskåd]]</f>
        <v>-------Fryser innan täck</v>
      </c>
      <c r="D46" s="9" t="str">
        <f>Table127[[#This Row],[Åtgärdskåd]]</f>
        <v>-------Fryser innan täck</v>
      </c>
      <c r="E46" s="88" t="str">
        <f>Table128[[#This Row],[Åtgärdskåd]]</f>
        <v>-------Fryser innan täck</v>
      </c>
      <c r="F46" s="9" t="str">
        <f>Table132[[#This Row],[Åtgärdskåd]]</f>
        <v>-------Fryser innan täck</v>
      </c>
      <c r="G46" s="88" t="str">
        <f>Table129[[#This Row],[Åtgärdskåd]]</f>
        <v>-------Fryser innan täck</v>
      </c>
      <c r="H46" s="9" t="str">
        <f>Table130[[#This Row],[Åtgärdskåd]]</f>
        <v>-------Fryser innan täck</v>
      </c>
      <c r="I46" s="91" t="str">
        <f>Table131[[#This Row],[Åtgärdskåd]]</f>
        <v>-------Fryser innan täck</v>
      </c>
      <c r="N46" t="str">
        <f>Table8[[#This Row],[Column1]]</f>
        <v>-----Frys innan täck</v>
      </c>
      <c r="O46">
        <f>Table8[[#This Row],[Jobbighetsnivå]]</f>
        <v>45</v>
      </c>
      <c r="P46" s="127">
        <f t="shared" si="0"/>
        <v>45</v>
      </c>
      <c r="Q46" t="e">
        <f t="shared" si="1"/>
        <v>#N/A</v>
      </c>
      <c r="S46">
        <v>45</v>
      </c>
      <c r="T46" t="s">
        <v>181</v>
      </c>
    </row>
    <row r="47" spans="1:20" x14ac:dyDescent="0.25">
      <c r="K47" s="3">
        <v>20</v>
      </c>
      <c r="L47" s="4">
        <v>0</v>
      </c>
      <c r="M47" s="82" t="str">
        <f>Table6[[#Headers],[C20/25]]</f>
        <v>C20/25</v>
      </c>
      <c r="N47" s="4" t="str">
        <f>C2</f>
        <v>--------Når ej 6 MPa</v>
      </c>
      <c r="O47" s="4"/>
      <c r="P47" s="128">
        <f t="shared" si="0"/>
        <v>46</v>
      </c>
      <c r="Q47">
        <f t="shared" si="1"/>
        <v>1</v>
      </c>
      <c r="S47">
        <v>46</v>
      </c>
      <c r="T47" t="s">
        <v>182</v>
      </c>
    </row>
    <row r="48" spans="1:20" x14ac:dyDescent="0.25">
      <c r="K48" s="6">
        <v>20</v>
      </c>
      <c r="L48">
        <v>2</v>
      </c>
      <c r="M48" s="7"/>
      <c r="N48" t="str">
        <f t="shared" ref="N48:N81" si="2">C3</f>
        <v>-------Når ej 6 MPa</v>
      </c>
      <c r="P48" s="129">
        <f t="shared" si="0"/>
        <v>47</v>
      </c>
      <c r="Q48">
        <f t="shared" si="1"/>
        <v>2</v>
      </c>
      <c r="S48">
        <v>47</v>
      </c>
      <c r="T48" t="s">
        <v>183</v>
      </c>
    </row>
    <row r="49" spans="11:20" x14ac:dyDescent="0.25">
      <c r="K49" s="6">
        <v>20</v>
      </c>
      <c r="L49">
        <v>7</v>
      </c>
      <c r="M49" s="7"/>
      <c r="N49" t="str">
        <f t="shared" si="2"/>
        <v>-------Når ej 6 MPa</v>
      </c>
      <c r="P49" s="129">
        <f t="shared" si="0"/>
        <v>47</v>
      </c>
      <c r="Q49">
        <f t="shared" si="1"/>
        <v>2</v>
      </c>
      <c r="S49">
        <v>48</v>
      </c>
      <c r="T49" t="s">
        <v>184</v>
      </c>
    </row>
    <row r="50" spans="11:20" x14ac:dyDescent="0.25">
      <c r="K50" s="6">
        <v>20</v>
      </c>
      <c r="L50">
        <v>12</v>
      </c>
      <c r="M50" s="7"/>
      <c r="N50" t="str">
        <f t="shared" si="2"/>
        <v>-------Når ej 6 MPa</v>
      </c>
      <c r="P50" s="129">
        <f t="shared" si="0"/>
        <v>47</v>
      </c>
      <c r="Q50">
        <f t="shared" si="1"/>
        <v>2</v>
      </c>
      <c r="S50">
        <v>49</v>
      </c>
      <c r="T50" t="s">
        <v>185</v>
      </c>
    </row>
    <row r="51" spans="11:20" ht="15.75" thickBot="1" x14ac:dyDescent="0.3">
      <c r="K51" s="8">
        <v>20</v>
      </c>
      <c r="L51" s="9">
        <v>20</v>
      </c>
      <c r="M51" s="10"/>
      <c r="N51" s="9" t="str">
        <f t="shared" si="2"/>
        <v>-------Når ej 6 MPa</v>
      </c>
      <c r="O51" s="9"/>
      <c r="P51" s="130">
        <f t="shared" si="0"/>
        <v>47</v>
      </c>
      <c r="Q51">
        <f t="shared" si="1"/>
        <v>2</v>
      </c>
      <c r="S51">
        <v>50</v>
      </c>
      <c r="T51" t="s">
        <v>186</v>
      </c>
    </row>
    <row r="52" spans="11:20" x14ac:dyDescent="0.25">
      <c r="K52" s="3">
        <v>15</v>
      </c>
      <c r="L52" s="4">
        <v>0</v>
      </c>
      <c r="M52" s="5"/>
      <c r="N52" s="4" t="str">
        <f t="shared" si="2"/>
        <v>-------Når ej 6 MPa</v>
      </c>
      <c r="O52" s="4"/>
      <c r="P52" s="128">
        <f t="shared" si="0"/>
        <v>47</v>
      </c>
      <c r="Q52">
        <f t="shared" si="1"/>
        <v>2</v>
      </c>
      <c r="S52">
        <v>51</v>
      </c>
      <c r="T52" t="s">
        <v>187</v>
      </c>
    </row>
    <row r="53" spans="11:20" x14ac:dyDescent="0.25">
      <c r="K53" s="6">
        <v>15</v>
      </c>
      <c r="L53">
        <v>2</v>
      </c>
      <c r="M53" s="7"/>
      <c r="N53" t="str">
        <f t="shared" si="2"/>
        <v>-------Når ej 6 MPa</v>
      </c>
      <c r="P53" s="129">
        <f t="shared" si="0"/>
        <v>47</v>
      </c>
      <c r="Q53">
        <f t="shared" si="1"/>
        <v>2</v>
      </c>
      <c r="S53">
        <v>52</v>
      </c>
      <c r="T53" t="s">
        <v>188</v>
      </c>
    </row>
    <row r="54" spans="11:20" x14ac:dyDescent="0.25">
      <c r="K54" s="6">
        <v>15</v>
      </c>
      <c r="L54">
        <v>7</v>
      </c>
      <c r="M54" s="7"/>
      <c r="N54" t="str">
        <f t="shared" si="2"/>
        <v>-------Når ej 6 MPa</v>
      </c>
      <c r="P54" s="129">
        <f t="shared" si="0"/>
        <v>47</v>
      </c>
      <c r="Q54">
        <f t="shared" si="1"/>
        <v>2</v>
      </c>
      <c r="S54">
        <v>53</v>
      </c>
      <c r="T54" t="s">
        <v>189</v>
      </c>
    </row>
    <row r="55" spans="11:20" x14ac:dyDescent="0.25">
      <c r="K55" s="6">
        <v>15</v>
      </c>
      <c r="L55">
        <v>12</v>
      </c>
      <c r="M55" s="7"/>
      <c r="N55" t="str">
        <f t="shared" si="2"/>
        <v>-------Når ej 6 MPa</v>
      </c>
      <c r="P55" s="129">
        <f t="shared" si="0"/>
        <v>47</v>
      </c>
      <c r="Q55">
        <f t="shared" si="1"/>
        <v>2</v>
      </c>
      <c r="S55">
        <v>54</v>
      </c>
      <c r="T55" t="s">
        <v>190</v>
      </c>
    </row>
    <row r="56" spans="11:20" ht="15.75" thickBot="1" x14ac:dyDescent="0.3">
      <c r="K56" s="8">
        <v>15</v>
      </c>
      <c r="L56" s="9">
        <v>20</v>
      </c>
      <c r="M56" s="10"/>
      <c r="N56" s="9" t="str">
        <f t="shared" si="2"/>
        <v>-------Når ej 6 MPa</v>
      </c>
      <c r="O56" s="9"/>
      <c r="P56" s="130">
        <f t="shared" si="0"/>
        <v>47</v>
      </c>
      <c r="Q56">
        <f t="shared" si="1"/>
        <v>2</v>
      </c>
      <c r="S56">
        <v>55</v>
      </c>
      <c r="T56" t="s">
        <v>191</v>
      </c>
    </row>
    <row r="57" spans="11:20" x14ac:dyDescent="0.25">
      <c r="K57" s="6">
        <v>10</v>
      </c>
      <c r="L57">
        <v>0</v>
      </c>
      <c r="M57" s="7"/>
      <c r="N57" t="str">
        <f t="shared" si="2"/>
        <v>-------Når ej 6 MPa</v>
      </c>
      <c r="P57" s="129">
        <f t="shared" si="0"/>
        <v>47</v>
      </c>
      <c r="Q57">
        <f t="shared" si="1"/>
        <v>2</v>
      </c>
      <c r="S57">
        <v>56</v>
      </c>
      <c r="T57" t="s">
        <v>192</v>
      </c>
    </row>
    <row r="58" spans="11:20" x14ac:dyDescent="0.25">
      <c r="K58" s="6">
        <v>10</v>
      </c>
      <c r="L58">
        <v>2</v>
      </c>
      <c r="M58" s="7"/>
      <c r="N58" t="str">
        <f t="shared" si="2"/>
        <v>-------Når ej 6 MPa</v>
      </c>
      <c r="P58" s="129">
        <f t="shared" si="0"/>
        <v>47</v>
      </c>
      <c r="Q58">
        <f t="shared" si="1"/>
        <v>2</v>
      </c>
      <c r="S58">
        <v>57</v>
      </c>
      <c r="T58" t="s">
        <v>193</v>
      </c>
    </row>
    <row r="59" spans="11:20" x14ac:dyDescent="0.25">
      <c r="K59" s="6">
        <v>10</v>
      </c>
      <c r="L59">
        <v>7</v>
      </c>
      <c r="M59" s="7"/>
      <c r="N59" t="str">
        <f t="shared" si="2"/>
        <v>-------Når ej 6 MPa</v>
      </c>
      <c r="P59" s="129">
        <f t="shared" si="0"/>
        <v>47</v>
      </c>
      <c r="Q59">
        <f t="shared" si="1"/>
        <v>2</v>
      </c>
      <c r="S59">
        <v>58</v>
      </c>
      <c r="T59" t="s">
        <v>194</v>
      </c>
    </row>
    <row r="60" spans="11:20" x14ac:dyDescent="0.25">
      <c r="K60" s="6">
        <v>10</v>
      </c>
      <c r="L60">
        <v>12</v>
      </c>
      <c r="M60" s="7"/>
      <c r="N60" t="str">
        <f t="shared" si="2"/>
        <v>-------Når ej 6 MPa</v>
      </c>
      <c r="P60" s="129">
        <f t="shared" si="0"/>
        <v>47</v>
      </c>
      <c r="Q60">
        <f t="shared" si="1"/>
        <v>2</v>
      </c>
      <c r="S60">
        <v>59</v>
      </c>
      <c r="T60" t="s">
        <v>195</v>
      </c>
    </row>
    <row r="61" spans="11:20" ht="15.75" thickBot="1" x14ac:dyDescent="0.3">
      <c r="K61" s="6">
        <v>10</v>
      </c>
      <c r="L61">
        <v>20</v>
      </c>
      <c r="M61" s="7"/>
      <c r="N61" t="str">
        <f t="shared" si="2"/>
        <v>-------Når ej 6 MPa</v>
      </c>
      <c r="P61" s="129">
        <f t="shared" si="0"/>
        <v>47</v>
      </c>
      <c r="Q61">
        <f t="shared" si="1"/>
        <v>2</v>
      </c>
      <c r="S61">
        <v>60</v>
      </c>
      <c r="T61" t="s">
        <v>196</v>
      </c>
    </row>
    <row r="62" spans="11:20" x14ac:dyDescent="0.25">
      <c r="K62" s="3">
        <v>5</v>
      </c>
      <c r="L62" s="4">
        <v>0</v>
      </c>
      <c r="M62" s="5"/>
      <c r="N62" s="4" t="str">
        <f t="shared" si="2"/>
        <v>Bas+0%205402-Plywood 12-19  cellplast 50OK17</v>
      </c>
      <c r="O62" s="4"/>
      <c r="P62" s="128">
        <f t="shared" si="0"/>
        <v>48</v>
      </c>
      <c r="Q62">
        <f t="shared" si="1"/>
        <v>3</v>
      </c>
      <c r="S62">
        <v>61</v>
      </c>
      <c r="T62" t="s">
        <v>197</v>
      </c>
    </row>
    <row r="63" spans="11:20" x14ac:dyDescent="0.25">
      <c r="K63" s="6">
        <v>5</v>
      </c>
      <c r="L63">
        <v>2</v>
      </c>
      <c r="M63" s="7"/>
      <c r="N63" t="str">
        <f t="shared" si="2"/>
        <v>Bas+0%20540210Plywood 12-19 cellplast 120OK17</v>
      </c>
      <c r="P63" s="129">
        <f t="shared" si="0"/>
        <v>49</v>
      </c>
      <c r="Q63">
        <f t="shared" si="1"/>
        <v>4</v>
      </c>
      <c r="S63">
        <v>62</v>
      </c>
      <c r="T63" t="s">
        <v>198</v>
      </c>
    </row>
    <row r="64" spans="11:20" x14ac:dyDescent="0.25">
      <c r="K64" s="6">
        <v>5</v>
      </c>
      <c r="L64">
        <v>7</v>
      </c>
      <c r="M64" s="7"/>
      <c r="N64" t="str">
        <f t="shared" si="2"/>
        <v>-------Når ej 6 MPa</v>
      </c>
      <c r="P64" s="129">
        <f t="shared" si="0"/>
        <v>47</v>
      </c>
      <c r="Q64">
        <f t="shared" si="1"/>
        <v>2</v>
      </c>
      <c r="S64">
        <v>63</v>
      </c>
      <c r="T64" t="s">
        <v>199</v>
      </c>
    </row>
    <row r="65" spans="11:20" x14ac:dyDescent="0.25">
      <c r="K65" s="6">
        <v>5</v>
      </c>
      <c r="L65">
        <v>12</v>
      </c>
      <c r="M65" s="7"/>
      <c r="N65" t="str">
        <f t="shared" si="2"/>
        <v>-------Når ej 6 MPa</v>
      </c>
      <c r="P65" s="129">
        <f t="shared" si="0"/>
        <v>47</v>
      </c>
      <c r="Q65">
        <f t="shared" si="1"/>
        <v>2</v>
      </c>
      <c r="S65">
        <v>64</v>
      </c>
      <c r="T65" t="s">
        <v>200</v>
      </c>
    </row>
    <row r="66" spans="11:20" ht="15.75" thickBot="1" x14ac:dyDescent="0.3">
      <c r="K66" s="8">
        <v>5</v>
      </c>
      <c r="L66" s="9">
        <v>20</v>
      </c>
      <c r="M66" s="10"/>
      <c r="N66" s="9" t="str">
        <f t="shared" si="2"/>
        <v>-------Når ej 6 MPa</v>
      </c>
      <c r="O66" s="9"/>
      <c r="P66" s="130">
        <f t="shared" ref="P66:P129" si="3">MATCH(N66, _xlfn.UNIQUE($N$2:$N$361), 0)</f>
        <v>47</v>
      </c>
      <c r="Q66">
        <f t="shared" ref="Q66:Q129" si="4">MATCH(N66, _xlfn.UNIQUE($N$47:$N$361), 0)</f>
        <v>2</v>
      </c>
      <c r="S66">
        <v>65</v>
      </c>
      <c r="T66" t="s">
        <v>201</v>
      </c>
    </row>
    <row r="67" spans="11:20" x14ac:dyDescent="0.25">
      <c r="K67" s="6">
        <v>0</v>
      </c>
      <c r="L67">
        <v>0</v>
      </c>
      <c r="M67" s="7"/>
      <c r="N67" t="str">
        <f t="shared" si="2"/>
        <v>Bas+0%20540310Plywood 12-19 cellplast 70OK17</v>
      </c>
      <c r="P67" s="129">
        <f t="shared" si="3"/>
        <v>50</v>
      </c>
      <c r="Q67">
        <f t="shared" si="4"/>
        <v>5</v>
      </c>
      <c r="S67">
        <v>66</v>
      </c>
      <c r="T67" t="s">
        <v>202</v>
      </c>
    </row>
    <row r="68" spans="11:20" x14ac:dyDescent="0.25">
      <c r="K68" s="6">
        <v>0</v>
      </c>
      <c r="L68">
        <v>2</v>
      </c>
      <c r="M68" s="7"/>
      <c r="N68" t="str">
        <f t="shared" si="2"/>
        <v>-------Når ej 6 MPa</v>
      </c>
      <c r="P68" s="129">
        <f t="shared" si="3"/>
        <v>47</v>
      </c>
      <c r="Q68">
        <f t="shared" si="4"/>
        <v>2</v>
      </c>
      <c r="S68">
        <v>67</v>
      </c>
      <c r="T68" t="s">
        <v>203</v>
      </c>
    </row>
    <row r="69" spans="11:20" x14ac:dyDescent="0.25">
      <c r="K69" s="6">
        <v>0</v>
      </c>
      <c r="L69">
        <v>7</v>
      </c>
      <c r="M69" s="7"/>
      <c r="N69" t="str">
        <f t="shared" si="2"/>
        <v>-------Når ej 6 MPa</v>
      </c>
      <c r="P69" s="129">
        <f t="shared" si="3"/>
        <v>47</v>
      </c>
      <c r="Q69">
        <f t="shared" si="4"/>
        <v>2</v>
      </c>
    </row>
    <row r="70" spans="11:20" x14ac:dyDescent="0.25">
      <c r="K70" s="6">
        <v>0</v>
      </c>
      <c r="L70">
        <v>12</v>
      </c>
      <c r="M70" s="7"/>
      <c r="N70" t="str">
        <f t="shared" si="2"/>
        <v>-------Når ej 6 MPa</v>
      </c>
      <c r="P70" s="129">
        <f t="shared" si="3"/>
        <v>47</v>
      </c>
      <c r="Q70">
        <f t="shared" si="4"/>
        <v>2</v>
      </c>
    </row>
    <row r="71" spans="11:20" ht="15.75" thickBot="1" x14ac:dyDescent="0.3">
      <c r="K71" s="6">
        <v>0</v>
      </c>
      <c r="L71">
        <v>20</v>
      </c>
      <c r="M71" s="7"/>
      <c r="N71" t="str">
        <f t="shared" si="2"/>
        <v>-------Når ej 6 MPa</v>
      </c>
      <c r="P71" s="129">
        <f t="shared" si="3"/>
        <v>47</v>
      </c>
      <c r="Q71">
        <f t="shared" si="4"/>
        <v>2</v>
      </c>
    </row>
    <row r="72" spans="11:20" x14ac:dyDescent="0.25">
      <c r="K72" s="3">
        <v>-5</v>
      </c>
      <c r="L72" s="4">
        <v>0</v>
      </c>
      <c r="M72" s="5"/>
      <c r="N72" s="4" t="str">
        <f t="shared" si="2"/>
        <v>-------Når ej 6 MPa</v>
      </c>
      <c r="O72" s="4"/>
      <c r="P72" s="128">
        <f t="shared" si="3"/>
        <v>47</v>
      </c>
      <c r="Q72">
        <f t="shared" si="4"/>
        <v>2</v>
      </c>
    </row>
    <row r="73" spans="11:20" x14ac:dyDescent="0.25">
      <c r="K73" s="6">
        <v>-5</v>
      </c>
      <c r="L73">
        <v>2</v>
      </c>
      <c r="M73" s="7"/>
      <c r="N73" t="str">
        <f t="shared" si="2"/>
        <v>-------Når ej 6 MPa</v>
      </c>
      <c r="P73" s="129">
        <f t="shared" si="3"/>
        <v>47</v>
      </c>
      <c r="Q73">
        <f t="shared" si="4"/>
        <v>2</v>
      </c>
    </row>
    <row r="74" spans="11:20" x14ac:dyDescent="0.25">
      <c r="K74" s="6">
        <v>-5</v>
      </c>
      <c r="L74">
        <v>7</v>
      </c>
      <c r="M74" s="7"/>
      <c r="N74" t="str">
        <f t="shared" si="2"/>
        <v>-------Når ej 6 MPa</v>
      </c>
      <c r="P74" s="129">
        <f t="shared" si="3"/>
        <v>47</v>
      </c>
      <c r="Q74">
        <f t="shared" si="4"/>
        <v>2</v>
      </c>
    </row>
    <row r="75" spans="11:20" x14ac:dyDescent="0.25">
      <c r="K75" s="6">
        <v>-5</v>
      </c>
      <c r="L75">
        <v>12</v>
      </c>
      <c r="M75" s="7"/>
      <c r="N75" t="str">
        <f t="shared" si="2"/>
        <v>-------Når ej 6 MPa</v>
      </c>
      <c r="P75" s="129">
        <f t="shared" si="3"/>
        <v>47</v>
      </c>
      <c r="Q75">
        <f t="shared" si="4"/>
        <v>2</v>
      </c>
    </row>
    <row r="76" spans="11:20" ht="15.75" thickBot="1" x14ac:dyDescent="0.3">
      <c r="K76" s="8">
        <v>-5</v>
      </c>
      <c r="L76" s="9">
        <v>20</v>
      </c>
      <c r="M76" s="10"/>
      <c r="N76" s="9" t="str">
        <f t="shared" si="2"/>
        <v>-------Fryser innan täck</v>
      </c>
      <c r="O76" s="9"/>
      <c r="P76" s="130">
        <f t="shared" si="3"/>
        <v>51</v>
      </c>
      <c r="Q76">
        <f t="shared" si="4"/>
        <v>6</v>
      </c>
    </row>
    <row r="77" spans="11:20" x14ac:dyDescent="0.25">
      <c r="K77" s="6">
        <v>-10</v>
      </c>
      <c r="L77">
        <v>0</v>
      </c>
      <c r="M77" s="7"/>
      <c r="N77" t="str">
        <f t="shared" si="2"/>
        <v>-------Når ej 6 MPa</v>
      </c>
      <c r="P77" s="129">
        <f t="shared" si="3"/>
        <v>47</v>
      </c>
      <c r="Q77">
        <f t="shared" si="4"/>
        <v>2</v>
      </c>
    </row>
    <row r="78" spans="11:20" x14ac:dyDescent="0.25">
      <c r="K78" s="6">
        <v>-10</v>
      </c>
      <c r="L78">
        <v>2</v>
      </c>
      <c r="M78" s="7"/>
      <c r="N78" t="str">
        <f t="shared" si="2"/>
        <v>-------Når ej 6 MPa</v>
      </c>
      <c r="P78" s="129">
        <f t="shared" si="3"/>
        <v>47</v>
      </c>
      <c r="Q78">
        <f t="shared" si="4"/>
        <v>2</v>
      </c>
    </row>
    <row r="79" spans="11:20" x14ac:dyDescent="0.25">
      <c r="K79" s="6">
        <v>-10</v>
      </c>
      <c r="L79">
        <v>7</v>
      </c>
      <c r="M79" s="7"/>
      <c r="N79" t="str">
        <f t="shared" si="2"/>
        <v>-------Når ej 6 MPa</v>
      </c>
      <c r="P79" s="129">
        <f t="shared" si="3"/>
        <v>47</v>
      </c>
      <c r="Q79">
        <f t="shared" si="4"/>
        <v>2</v>
      </c>
    </row>
    <row r="80" spans="11:20" x14ac:dyDescent="0.25">
      <c r="K80" s="6">
        <v>-10</v>
      </c>
      <c r="L80">
        <v>12</v>
      </c>
      <c r="M80" s="7"/>
      <c r="N80" t="str">
        <f t="shared" si="2"/>
        <v>-------Fryser innan täck</v>
      </c>
      <c r="P80" s="129">
        <f t="shared" si="3"/>
        <v>51</v>
      </c>
      <c r="Q80">
        <f t="shared" si="4"/>
        <v>6</v>
      </c>
    </row>
    <row r="81" spans="11:17" ht="15.75" thickBot="1" x14ac:dyDescent="0.3">
      <c r="K81" s="6">
        <v>-10</v>
      </c>
      <c r="L81">
        <v>20</v>
      </c>
      <c r="M81" s="7"/>
      <c r="N81" t="str">
        <f t="shared" si="2"/>
        <v>-------Fryser innan täck</v>
      </c>
      <c r="P81" s="129">
        <f t="shared" si="3"/>
        <v>51</v>
      </c>
      <c r="Q81">
        <f t="shared" si="4"/>
        <v>6</v>
      </c>
    </row>
    <row r="82" spans="11:17" x14ac:dyDescent="0.25">
      <c r="K82" s="3">
        <v>-15</v>
      </c>
      <c r="L82" s="4">
        <v>0</v>
      </c>
      <c r="M82" s="5"/>
      <c r="N82" s="4" t="str">
        <f t="shared" ref="N82:N91" si="5">C37</f>
        <v>-------Når ej 6 MPa</v>
      </c>
      <c r="O82" s="4"/>
      <c r="P82" s="128">
        <f t="shared" si="3"/>
        <v>47</v>
      </c>
      <c r="Q82">
        <f t="shared" si="4"/>
        <v>2</v>
      </c>
    </row>
    <row r="83" spans="11:17" x14ac:dyDescent="0.25">
      <c r="K83" s="6">
        <v>-15</v>
      </c>
      <c r="L83">
        <v>2</v>
      </c>
      <c r="M83" s="7"/>
      <c r="N83" t="str">
        <f t="shared" si="5"/>
        <v>-------Når ej 6 MPa</v>
      </c>
      <c r="P83" s="129">
        <f t="shared" si="3"/>
        <v>47</v>
      </c>
      <c r="Q83">
        <f t="shared" si="4"/>
        <v>2</v>
      </c>
    </row>
    <row r="84" spans="11:17" x14ac:dyDescent="0.25">
      <c r="K84" s="6">
        <v>-15</v>
      </c>
      <c r="L84">
        <v>7</v>
      </c>
      <c r="M84" s="7"/>
      <c r="N84" t="str">
        <f t="shared" si="5"/>
        <v>-------Fryser innan täck</v>
      </c>
      <c r="P84" s="129">
        <f t="shared" si="3"/>
        <v>51</v>
      </c>
      <c r="Q84">
        <f t="shared" si="4"/>
        <v>6</v>
      </c>
    </row>
    <row r="85" spans="11:17" x14ac:dyDescent="0.25">
      <c r="K85" s="6">
        <v>-15</v>
      </c>
      <c r="L85">
        <v>12</v>
      </c>
      <c r="M85" s="7"/>
      <c r="N85" t="str">
        <f t="shared" si="5"/>
        <v>-------Fryser innan täck</v>
      </c>
      <c r="P85" s="129">
        <f t="shared" si="3"/>
        <v>51</v>
      </c>
      <c r="Q85">
        <f t="shared" si="4"/>
        <v>6</v>
      </c>
    </row>
    <row r="86" spans="11:17" ht="15.75" thickBot="1" x14ac:dyDescent="0.3">
      <c r="K86" s="8">
        <v>-15</v>
      </c>
      <c r="L86" s="9">
        <v>20</v>
      </c>
      <c r="M86" s="10"/>
      <c r="N86" s="9" t="str">
        <f t="shared" si="5"/>
        <v>-------Fryser innan täck</v>
      </c>
      <c r="O86" s="9"/>
      <c r="P86" s="130">
        <f t="shared" si="3"/>
        <v>51</v>
      </c>
      <c r="Q86">
        <f t="shared" si="4"/>
        <v>6</v>
      </c>
    </row>
    <row r="87" spans="11:17" x14ac:dyDescent="0.25">
      <c r="K87" s="6">
        <v>-20</v>
      </c>
      <c r="L87">
        <v>0</v>
      </c>
      <c r="M87" s="7"/>
      <c r="N87" t="str">
        <f t="shared" si="5"/>
        <v>-------Når ej 6 MPa</v>
      </c>
      <c r="P87" s="129">
        <f t="shared" si="3"/>
        <v>47</v>
      </c>
      <c r="Q87">
        <f t="shared" si="4"/>
        <v>2</v>
      </c>
    </row>
    <row r="88" spans="11:17" x14ac:dyDescent="0.25">
      <c r="K88" s="6">
        <v>-20</v>
      </c>
      <c r="L88">
        <v>2</v>
      </c>
      <c r="M88" s="7"/>
      <c r="N88" t="str">
        <f t="shared" si="5"/>
        <v>-------Fryser innan täck</v>
      </c>
      <c r="P88" s="129">
        <f t="shared" si="3"/>
        <v>51</v>
      </c>
      <c r="Q88">
        <f t="shared" si="4"/>
        <v>6</v>
      </c>
    </row>
    <row r="89" spans="11:17" x14ac:dyDescent="0.25">
      <c r="K89" s="6">
        <v>-20</v>
      </c>
      <c r="L89">
        <v>7</v>
      </c>
      <c r="M89" s="7"/>
      <c r="N89" t="str">
        <f t="shared" si="5"/>
        <v>-------Fryser innan täck</v>
      </c>
      <c r="P89" s="129">
        <f t="shared" si="3"/>
        <v>51</v>
      </c>
      <c r="Q89">
        <f t="shared" si="4"/>
        <v>6</v>
      </c>
    </row>
    <row r="90" spans="11:17" x14ac:dyDescent="0.25">
      <c r="K90" s="6">
        <v>-20</v>
      </c>
      <c r="L90">
        <v>12</v>
      </c>
      <c r="M90" s="7"/>
      <c r="N90" t="str">
        <f t="shared" si="5"/>
        <v>-------Fryser innan täck</v>
      </c>
      <c r="P90" s="129">
        <f t="shared" si="3"/>
        <v>51</v>
      </c>
      <c r="Q90">
        <f t="shared" si="4"/>
        <v>6</v>
      </c>
    </row>
    <row r="91" spans="11:17" ht="15.75" thickBot="1" x14ac:dyDescent="0.3">
      <c r="K91" s="8">
        <v>-20</v>
      </c>
      <c r="L91" s="9">
        <v>20</v>
      </c>
      <c r="M91" s="10"/>
      <c r="N91" s="9" t="str">
        <f t="shared" si="5"/>
        <v>-------Fryser innan täck</v>
      </c>
      <c r="O91" s="9"/>
      <c r="P91" s="130">
        <f t="shared" si="3"/>
        <v>51</v>
      </c>
      <c r="Q91">
        <f t="shared" si="4"/>
        <v>6</v>
      </c>
    </row>
    <row r="92" spans="11:17" x14ac:dyDescent="0.25">
      <c r="K92" s="3">
        <v>20</v>
      </c>
      <c r="L92" s="4">
        <v>0</v>
      </c>
      <c r="M92" s="5" t="s">
        <v>14</v>
      </c>
      <c r="N92" s="4" t="str">
        <f t="shared" ref="N92:N136" si="6">D2</f>
        <v>Bas+0%1520---Plywood 15, oisoleratOK17</v>
      </c>
      <c r="O92" s="4"/>
      <c r="P92" s="128">
        <f t="shared" si="3"/>
        <v>52</v>
      </c>
      <c r="Q92">
        <f t="shared" si="4"/>
        <v>7</v>
      </c>
    </row>
    <row r="93" spans="11:17" x14ac:dyDescent="0.25">
      <c r="K93" s="6">
        <v>20</v>
      </c>
      <c r="L93">
        <v>2</v>
      </c>
      <c r="M93" s="7"/>
      <c r="N93" t="str">
        <f t="shared" si="6"/>
        <v>Bas+0%1520---Plywood 15, oisoleratOK17</v>
      </c>
      <c r="P93" s="129">
        <f t="shared" si="3"/>
        <v>52</v>
      </c>
      <c r="Q93">
        <f t="shared" si="4"/>
        <v>7</v>
      </c>
    </row>
    <row r="94" spans="11:17" x14ac:dyDescent="0.25">
      <c r="K94" s="6">
        <v>20</v>
      </c>
      <c r="L94">
        <v>7</v>
      </c>
      <c r="M94" s="7"/>
      <c r="N94" t="str">
        <f t="shared" si="6"/>
        <v>Bas+0%1520---Plywood 15, oisoleratOK17</v>
      </c>
      <c r="P94" s="129">
        <f t="shared" si="3"/>
        <v>52</v>
      </c>
      <c r="Q94">
        <f t="shared" si="4"/>
        <v>7</v>
      </c>
    </row>
    <row r="95" spans="11:17" x14ac:dyDescent="0.25">
      <c r="K95" s="6">
        <v>20</v>
      </c>
      <c r="L95">
        <v>12</v>
      </c>
      <c r="M95" s="7"/>
      <c r="N95" t="str">
        <f t="shared" si="6"/>
        <v>Bas+0%1520---Plywood 15, oisoleratOK17</v>
      </c>
      <c r="P95" s="129">
        <f t="shared" si="3"/>
        <v>52</v>
      </c>
      <c r="Q95">
        <f t="shared" si="4"/>
        <v>7</v>
      </c>
    </row>
    <row r="96" spans="11:17" ht="15.75" thickBot="1" x14ac:dyDescent="0.3">
      <c r="K96" s="6">
        <v>20</v>
      </c>
      <c r="L96">
        <v>20</v>
      </c>
      <c r="M96" s="7"/>
      <c r="N96" t="str">
        <f t="shared" si="6"/>
        <v>Bas+0%1520---Plywood 15, oisoleratOK17</v>
      </c>
      <c r="P96" s="129">
        <f t="shared" si="3"/>
        <v>52</v>
      </c>
      <c r="Q96">
        <f t="shared" si="4"/>
        <v>7</v>
      </c>
    </row>
    <row r="97" spans="11:17" x14ac:dyDescent="0.25">
      <c r="K97" s="3">
        <v>15</v>
      </c>
      <c r="L97" s="4">
        <v>0</v>
      </c>
      <c r="M97" s="5"/>
      <c r="N97" s="4" t="str">
        <f t="shared" si="6"/>
        <v>-------Når ej 6 MPa</v>
      </c>
      <c r="O97" s="4"/>
      <c r="P97" s="128">
        <f t="shared" si="3"/>
        <v>47</v>
      </c>
      <c r="Q97">
        <f t="shared" si="4"/>
        <v>2</v>
      </c>
    </row>
    <row r="98" spans="11:17" x14ac:dyDescent="0.25">
      <c r="K98" s="6">
        <v>15</v>
      </c>
      <c r="L98">
        <v>2</v>
      </c>
      <c r="M98" s="7"/>
      <c r="N98" t="str">
        <f t="shared" si="6"/>
        <v>-------Når ej 6 MPa</v>
      </c>
      <c r="P98" s="129">
        <f t="shared" si="3"/>
        <v>47</v>
      </c>
      <c r="Q98">
        <f t="shared" si="4"/>
        <v>2</v>
      </c>
    </row>
    <row r="99" spans="11:17" x14ac:dyDescent="0.25">
      <c r="K99" s="6">
        <v>15</v>
      </c>
      <c r="L99">
        <v>7</v>
      </c>
      <c r="M99" s="7"/>
      <c r="N99" t="str">
        <f t="shared" si="6"/>
        <v>-------Når ej 6 MPa</v>
      </c>
      <c r="P99" s="129">
        <f t="shared" si="3"/>
        <v>47</v>
      </c>
      <c r="Q99">
        <f t="shared" si="4"/>
        <v>2</v>
      </c>
    </row>
    <row r="100" spans="11:17" x14ac:dyDescent="0.25">
      <c r="K100" s="6">
        <v>15</v>
      </c>
      <c r="L100">
        <v>12</v>
      </c>
      <c r="M100" s="7"/>
      <c r="N100" t="str">
        <f t="shared" si="6"/>
        <v>-------Når ej 6 MPa</v>
      </c>
      <c r="P100" s="129">
        <f t="shared" si="3"/>
        <v>47</v>
      </c>
      <c r="Q100">
        <f t="shared" si="4"/>
        <v>2</v>
      </c>
    </row>
    <row r="101" spans="11:17" ht="15.75" thickBot="1" x14ac:dyDescent="0.3">
      <c r="K101" s="8">
        <v>15</v>
      </c>
      <c r="L101" s="9">
        <v>20</v>
      </c>
      <c r="M101" s="10"/>
      <c r="N101" s="9" t="str">
        <f t="shared" si="6"/>
        <v>-------Når ej 6 MPa</v>
      </c>
      <c r="O101" s="9"/>
      <c r="P101" s="130">
        <f t="shared" si="3"/>
        <v>47</v>
      </c>
      <c r="Q101">
        <f t="shared" si="4"/>
        <v>2</v>
      </c>
    </row>
    <row r="102" spans="11:17" x14ac:dyDescent="0.25">
      <c r="K102" s="6">
        <v>10</v>
      </c>
      <c r="L102">
        <v>0</v>
      </c>
      <c r="M102" s="7"/>
      <c r="N102" t="str">
        <f t="shared" si="6"/>
        <v>-------Når ej 6 MPa</v>
      </c>
      <c r="P102" s="129">
        <f t="shared" si="3"/>
        <v>47</v>
      </c>
      <c r="Q102">
        <f t="shared" si="4"/>
        <v>2</v>
      </c>
    </row>
    <row r="103" spans="11:17" x14ac:dyDescent="0.25">
      <c r="K103" s="6">
        <v>10</v>
      </c>
      <c r="L103">
        <v>2</v>
      </c>
      <c r="M103" s="7"/>
      <c r="N103" t="str">
        <f t="shared" si="6"/>
        <v>-------Når ej 6 MPa</v>
      </c>
      <c r="P103" s="129">
        <f t="shared" si="3"/>
        <v>47</v>
      </c>
      <c r="Q103">
        <f t="shared" si="4"/>
        <v>2</v>
      </c>
    </row>
    <row r="104" spans="11:17" x14ac:dyDescent="0.25">
      <c r="K104" s="6">
        <v>10</v>
      </c>
      <c r="L104">
        <v>7</v>
      </c>
      <c r="M104" s="7"/>
      <c r="N104" t="str">
        <f t="shared" si="6"/>
        <v>-------Når ej 6 MPa</v>
      </c>
      <c r="P104" s="129">
        <f t="shared" si="3"/>
        <v>47</v>
      </c>
      <c r="Q104">
        <f t="shared" si="4"/>
        <v>2</v>
      </c>
    </row>
    <row r="105" spans="11:17" x14ac:dyDescent="0.25">
      <c r="K105" s="6">
        <v>10</v>
      </c>
      <c r="L105">
        <v>12</v>
      </c>
      <c r="M105" s="7"/>
      <c r="N105" t="str">
        <f t="shared" si="6"/>
        <v>-------Når ej 6 MPa</v>
      </c>
      <c r="P105" s="129">
        <f t="shared" si="3"/>
        <v>47</v>
      </c>
      <c r="Q105">
        <f t="shared" si="4"/>
        <v>2</v>
      </c>
    </row>
    <row r="106" spans="11:17" ht="15.75" thickBot="1" x14ac:dyDescent="0.3">
      <c r="K106" s="6">
        <v>10</v>
      </c>
      <c r="L106">
        <v>20</v>
      </c>
      <c r="M106" s="7"/>
      <c r="N106" t="str">
        <f t="shared" si="6"/>
        <v>-------Når ej 6 MPa</v>
      </c>
      <c r="P106" s="129">
        <f t="shared" si="3"/>
        <v>47</v>
      </c>
      <c r="Q106">
        <f t="shared" si="4"/>
        <v>2</v>
      </c>
    </row>
    <row r="107" spans="11:17" x14ac:dyDescent="0.25">
      <c r="K107" s="3">
        <v>5</v>
      </c>
      <c r="L107" s="4">
        <v>0</v>
      </c>
      <c r="M107" s="5"/>
      <c r="N107" s="4" t="str">
        <f t="shared" si="6"/>
        <v>0,120540310Plywood 12-19  cellplast 50OK17</v>
      </c>
      <c r="O107" s="4"/>
      <c r="P107" s="128">
        <f t="shared" si="3"/>
        <v>53</v>
      </c>
      <c r="Q107">
        <f t="shared" si="4"/>
        <v>8</v>
      </c>
    </row>
    <row r="108" spans="11:17" x14ac:dyDescent="0.25">
      <c r="K108" s="6">
        <v>5</v>
      </c>
      <c r="L108">
        <v>2</v>
      </c>
      <c r="M108" s="7"/>
      <c r="N108" t="str">
        <f t="shared" si="6"/>
        <v>0,120540310Plywood 12-19 cellplast 70OK17</v>
      </c>
      <c r="P108" s="129">
        <f t="shared" si="3"/>
        <v>54</v>
      </c>
      <c r="Q108">
        <f t="shared" si="4"/>
        <v>9</v>
      </c>
    </row>
    <row r="109" spans="11:17" x14ac:dyDescent="0.25">
      <c r="K109" s="6">
        <v>5</v>
      </c>
      <c r="L109">
        <v>7</v>
      </c>
      <c r="M109" s="7"/>
      <c r="N109" t="str">
        <f t="shared" si="6"/>
        <v>Bas+0%20540110Plywood 12-19  cellplast 50OK17</v>
      </c>
      <c r="P109" s="129">
        <f t="shared" si="3"/>
        <v>55</v>
      </c>
      <c r="Q109">
        <f t="shared" si="4"/>
        <v>10</v>
      </c>
    </row>
    <row r="110" spans="11:17" x14ac:dyDescent="0.25">
      <c r="K110" s="6">
        <v>5</v>
      </c>
      <c r="L110">
        <v>12</v>
      </c>
      <c r="M110" s="7"/>
      <c r="N110" t="str">
        <f t="shared" si="6"/>
        <v>Bas+0%20540110Plywood 12-19 cellplast 70OK17</v>
      </c>
      <c r="P110" s="129">
        <f t="shared" si="3"/>
        <v>56</v>
      </c>
      <c r="Q110">
        <f t="shared" si="4"/>
        <v>11</v>
      </c>
    </row>
    <row r="111" spans="11:17" ht="15.75" thickBot="1" x14ac:dyDescent="0.3">
      <c r="K111" s="8">
        <v>5</v>
      </c>
      <c r="L111" s="9">
        <v>20</v>
      </c>
      <c r="M111" s="10"/>
      <c r="N111" s="9" t="str">
        <f t="shared" si="6"/>
        <v>Bas+0%20540110Plywood 12-19 cellplast 100OK17</v>
      </c>
      <c r="O111" s="9"/>
      <c r="P111" s="130">
        <f t="shared" si="3"/>
        <v>57</v>
      </c>
      <c r="Q111">
        <f t="shared" si="4"/>
        <v>12</v>
      </c>
    </row>
    <row r="112" spans="11:17" x14ac:dyDescent="0.25">
      <c r="K112" s="6">
        <v>0</v>
      </c>
      <c r="L112">
        <v>0</v>
      </c>
      <c r="M112" s="7"/>
      <c r="N112" t="str">
        <f t="shared" si="6"/>
        <v>0,120540310Plywood 12-19 cellplast 70OK17</v>
      </c>
      <c r="P112" s="129">
        <f t="shared" si="3"/>
        <v>54</v>
      </c>
      <c r="Q112">
        <f t="shared" si="4"/>
        <v>9</v>
      </c>
    </row>
    <row r="113" spans="11:17" x14ac:dyDescent="0.25">
      <c r="K113" s="6">
        <v>0</v>
      </c>
      <c r="L113">
        <v>2</v>
      </c>
      <c r="M113" s="7"/>
      <c r="N113" t="str">
        <f t="shared" si="6"/>
        <v>Bas+0%20540110Plywood 12-19 cellplast 120OK17</v>
      </c>
      <c r="P113" s="129">
        <f t="shared" si="3"/>
        <v>58</v>
      </c>
      <c r="Q113">
        <f t="shared" si="4"/>
        <v>13</v>
      </c>
    </row>
    <row r="114" spans="11:17" x14ac:dyDescent="0.25">
      <c r="K114" s="6">
        <v>0</v>
      </c>
      <c r="L114">
        <v>7</v>
      </c>
      <c r="M114" s="7"/>
      <c r="N114" t="str">
        <f t="shared" si="6"/>
        <v>Bas+0%20540210Plywood 12-19 cellplast 70OK17</v>
      </c>
      <c r="P114" s="129">
        <f t="shared" si="3"/>
        <v>59</v>
      </c>
      <c r="Q114">
        <f t="shared" si="4"/>
        <v>14</v>
      </c>
    </row>
    <row r="115" spans="11:17" x14ac:dyDescent="0.25">
      <c r="K115" s="6">
        <v>0</v>
      </c>
      <c r="L115">
        <v>12</v>
      </c>
      <c r="M115" s="7"/>
      <c r="N115" t="str">
        <f t="shared" si="6"/>
        <v>Bas+0%20540210Plywood 12-19 cellplast 120OK17</v>
      </c>
      <c r="P115" s="129">
        <f t="shared" si="3"/>
        <v>49</v>
      </c>
      <c r="Q115">
        <f t="shared" si="4"/>
        <v>4</v>
      </c>
    </row>
    <row r="116" spans="11:17" ht="15.75" thickBot="1" x14ac:dyDescent="0.3">
      <c r="K116" s="6">
        <v>0</v>
      </c>
      <c r="L116">
        <v>20</v>
      </c>
      <c r="M116" s="7"/>
      <c r="N116" t="str">
        <f t="shared" si="6"/>
        <v>-------Når ej 6 MPa</v>
      </c>
      <c r="P116" s="129">
        <f t="shared" si="3"/>
        <v>47</v>
      </c>
      <c r="Q116">
        <f t="shared" si="4"/>
        <v>2</v>
      </c>
    </row>
    <row r="117" spans="11:17" x14ac:dyDescent="0.25">
      <c r="K117" s="3">
        <v>-5</v>
      </c>
      <c r="L117" s="4">
        <v>0</v>
      </c>
      <c r="M117" s="5"/>
      <c r="N117" s="4" t="str">
        <f t="shared" si="6"/>
        <v>Bas+0%20540110Plywood 12-19 cellplast 100OK17</v>
      </c>
      <c r="O117" s="4"/>
      <c r="P117" s="128">
        <f t="shared" si="3"/>
        <v>57</v>
      </c>
      <c r="Q117">
        <f t="shared" si="4"/>
        <v>12</v>
      </c>
    </row>
    <row r="118" spans="11:17" x14ac:dyDescent="0.25">
      <c r="K118" s="6">
        <v>-5</v>
      </c>
      <c r="L118">
        <v>2</v>
      </c>
      <c r="M118" s="7"/>
      <c r="N118" t="str">
        <f t="shared" si="6"/>
        <v>Bas+0%20540210Plywood 12-19 cellplast 70OK17</v>
      </c>
      <c r="P118" s="129">
        <f t="shared" si="3"/>
        <v>59</v>
      </c>
      <c r="Q118">
        <f t="shared" si="4"/>
        <v>14</v>
      </c>
    </row>
    <row r="119" spans="11:17" x14ac:dyDescent="0.25">
      <c r="K119" s="6">
        <v>-5</v>
      </c>
      <c r="L119">
        <v>7</v>
      </c>
      <c r="M119" s="7"/>
      <c r="N119" t="str">
        <f t="shared" si="6"/>
        <v>-------Når ej 6 MPa</v>
      </c>
      <c r="P119" s="129">
        <f t="shared" si="3"/>
        <v>47</v>
      </c>
      <c r="Q119">
        <f t="shared" si="4"/>
        <v>2</v>
      </c>
    </row>
    <row r="120" spans="11:17" x14ac:dyDescent="0.25">
      <c r="K120" s="6">
        <v>-5</v>
      </c>
      <c r="L120">
        <v>12</v>
      </c>
      <c r="M120" s="7"/>
      <c r="N120" t="str">
        <f t="shared" si="6"/>
        <v>-------Når ej 6 MPa</v>
      </c>
      <c r="P120" s="129">
        <f t="shared" si="3"/>
        <v>47</v>
      </c>
      <c r="Q120">
        <f t="shared" si="4"/>
        <v>2</v>
      </c>
    </row>
    <row r="121" spans="11:17" ht="15.75" thickBot="1" x14ac:dyDescent="0.3">
      <c r="K121" s="8">
        <v>-5</v>
      </c>
      <c r="L121" s="9">
        <v>20</v>
      </c>
      <c r="M121" s="10"/>
      <c r="N121" s="9" t="str">
        <f t="shared" si="6"/>
        <v>-------Fryser innan täck</v>
      </c>
      <c r="O121" s="9"/>
      <c r="P121" s="130">
        <f t="shared" si="3"/>
        <v>51</v>
      </c>
      <c r="Q121">
        <f t="shared" si="4"/>
        <v>6</v>
      </c>
    </row>
    <row r="122" spans="11:17" x14ac:dyDescent="0.25">
      <c r="K122" s="6">
        <v>-10</v>
      </c>
      <c r="L122">
        <v>0</v>
      </c>
      <c r="M122" s="7"/>
      <c r="N122" t="str">
        <f t="shared" si="6"/>
        <v>Bas+0%20540210Plywood 12-19  cellplast 50OK17</v>
      </c>
      <c r="P122" s="129">
        <f t="shared" si="3"/>
        <v>60</v>
      </c>
      <c r="Q122">
        <f t="shared" si="4"/>
        <v>15</v>
      </c>
    </row>
    <row r="123" spans="11:17" x14ac:dyDescent="0.25">
      <c r="K123" s="6">
        <v>-10</v>
      </c>
      <c r="L123">
        <v>2</v>
      </c>
      <c r="M123" s="7"/>
      <c r="N123" t="str">
        <f t="shared" si="6"/>
        <v>Bas+0%20540310Plywood 12-19 cellplast 120OK17</v>
      </c>
      <c r="P123" s="129">
        <f t="shared" si="3"/>
        <v>61</v>
      </c>
      <c r="Q123">
        <f t="shared" si="4"/>
        <v>16</v>
      </c>
    </row>
    <row r="124" spans="11:17" x14ac:dyDescent="0.25">
      <c r="K124" s="6">
        <v>-10</v>
      </c>
      <c r="L124">
        <v>7</v>
      </c>
      <c r="M124" s="7"/>
      <c r="N124" t="str">
        <f t="shared" si="6"/>
        <v>-------Når ej 6 MPa</v>
      </c>
      <c r="P124" s="129">
        <f t="shared" si="3"/>
        <v>47</v>
      </c>
      <c r="Q124">
        <f t="shared" si="4"/>
        <v>2</v>
      </c>
    </row>
    <row r="125" spans="11:17" x14ac:dyDescent="0.25">
      <c r="K125" s="6">
        <v>-10</v>
      </c>
      <c r="L125">
        <v>12</v>
      </c>
      <c r="M125" s="7"/>
      <c r="N125" t="str">
        <f t="shared" si="6"/>
        <v>-------Fryser innan täck</v>
      </c>
      <c r="P125" s="129">
        <f t="shared" si="3"/>
        <v>51</v>
      </c>
      <c r="Q125">
        <f t="shared" si="4"/>
        <v>6</v>
      </c>
    </row>
    <row r="126" spans="11:17" ht="15.75" thickBot="1" x14ac:dyDescent="0.3">
      <c r="K126" s="6">
        <v>-10</v>
      </c>
      <c r="L126">
        <v>20</v>
      </c>
      <c r="M126" s="7"/>
      <c r="N126" t="str">
        <f t="shared" si="6"/>
        <v>-------Fryser innan täck</v>
      </c>
      <c r="P126" s="129">
        <f t="shared" si="3"/>
        <v>51</v>
      </c>
      <c r="Q126">
        <f t="shared" si="4"/>
        <v>6</v>
      </c>
    </row>
    <row r="127" spans="11:17" x14ac:dyDescent="0.25">
      <c r="K127" s="3">
        <v>-15</v>
      </c>
      <c r="L127" s="4">
        <v>0</v>
      </c>
      <c r="M127" s="5"/>
      <c r="N127" s="4" t="str">
        <f t="shared" si="6"/>
        <v>-------Når ej 6 MPa</v>
      </c>
      <c r="O127" s="4"/>
      <c r="P127" s="128">
        <f t="shared" si="3"/>
        <v>47</v>
      </c>
      <c r="Q127">
        <f t="shared" si="4"/>
        <v>2</v>
      </c>
    </row>
    <row r="128" spans="11:17" x14ac:dyDescent="0.25">
      <c r="K128" s="6">
        <v>-15</v>
      </c>
      <c r="L128">
        <v>2</v>
      </c>
      <c r="M128" s="7"/>
      <c r="N128" t="str">
        <f t="shared" si="6"/>
        <v>-------Når ej 6 MPa</v>
      </c>
      <c r="P128" s="129">
        <f t="shared" si="3"/>
        <v>47</v>
      </c>
      <c r="Q128">
        <f t="shared" si="4"/>
        <v>2</v>
      </c>
    </row>
    <row r="129" spans="11:17" x14ac:dyDescent="0.25">
      <c r="K129" s="6">
        <v>-15</v>
      </c>
      <c r="L129">
        <v>7</v>
      </c>
      <c r="M129" s="7"/>
      <c r="N129" t="str">
        <f t="shared" si="6"/>
        <v>-------Fryser innan täck</v>
      </c>
      <c r="P129" s="129">
        <f t="shared" si="3"/>
        <v>51</v>
      </c>
      <c r="Q129">
        <f t="shared" si="4"/>
        <v>6</v>
      </c>
    </row>
    <row r="130" spans="11:17" x14ac:dyDescent="0.25">
      <c r="K130" s="6">
        <v>-15</v>
      </c>
      <c r="L130">
        <v>12</v>
      </c>
      <c r="M130" s="7"/>
      <c r="N130" t="str">
        <f t="shared" si="6"/>
        <v>-------Fryser innan täck</v>
      </c>
      <c r="P130" s="129">
        <f t="shared" ref="P130:P193" si="7">MATCH(N130, _xlfn.UNIQUE($N$2:$N$361), 0)</f>
        <v>51</v>
      </c>
      <c r="Q130">
        <f t="shared" ref="Q130:Q193" si="8">MATCH(N130, _xlfn.UNIQUE($N$47:$N$361), 0)</f>
        <v>6</v>
      </c>
    </row>
    <row r="131" spans="11:17" ht="15.75" thickBot="1" x14ac:dyDescent="0.3">
      <c r="K131" s="8">
        <v>-15</v>
      </c>
      <c r="L131" s="9">
        <v>20</v>
      </c>
      <c r="M131" s="10"/>
      <c r="N131" s="9" t="str">
        <f t="shared" si="6"/>
        <v>-------Fryser innan täck</v>
      </c>
      <c r="O131" s="9"/>
      <c r="P131" s="130">
        <f t="shared" si="7"/>
        <v>51</v>
      </c>
      <c r="Q131">
        <f t="shared" si="8"/>
        <v>6</v>
      </c>
    </row>
    <row r="132" spans="11:17" x14ac:dyDescent="0.25">
      <c r="K132" s="6">
        <v>-20</v>
      </c>
      <c r="L132">
        <v>0</v>
      </c>
      <c r="M132" s="7"/>
      <c r="N132" t="str">
        <f t="shared" si="6"/>
        <v>-------Når ej 6 MPa</v>
      </c>
      <c r="P132" s="129">
        <f t="shared" si="7"/>
        <v>47</v>
      </c>
      <c r="Q132">
        <f t="shared" si="8"/>
        <v>2</v>
      </c>
    </row>
    <row r="133" spans="11:17" x14ac:dyDescent="0.25">
      <c r="K133" s="6">
        <v>-20</v>
      </c>
      <c r="L133">
        <v>2</v>
      </c>
      <c r="M133" s="7"/>
      <c r="N133" t="str">
        <f t="shared" si="6"/>
        <v>-------Fryser innan täck</v>
      </c>
      <c r="P133" s="129">
        <f t="shared" si="7"/>
        <v>51</v>
      </c>
      <c r="Q133">
        <f t="shared" si="8"/>
        <v>6</v>
      </c>
    </row>
    <row r="134" spans="11:17" x14ac:dyDescent="0.25">
      <c r="K134" s="6">
        <v>-20</v>
      </c>
      <c r="L134">
        <v>7</v>
      </c>
      <c r="M134" s="7"/>
      <c r="N134" t="str">
        <f t="shared" si="6"/>
        <v>-------Fryser innan täck</v>
      </c>
      <c r="P134" s="129">
        <f t="shared" si="7"/>
        <v>51</v>
      </c>
      <c r="Q134">
        <f t="shared" si="8"/>
        <v>6</v>
      </c>
    </row>
    <row r="135" spans="11:17" x14ac:dyDescent="0.25">
      <c r="K135" s="6">
        <v>-20</v>
      </c>
      <c r="L135">
        <v>12</v>
      </c>
      <c r="M135" s="7"/>
      <c r="N135" t="str">
        <f t="shared" si="6"/>
        <v>-------Fryser innan täck</v>
      </c>
      <c r="P135" s="129">
        <f t="shared" si="7"/>
        <v>51</v>
      </c>
      <c r="Q135">
        <f t="shared" si="8"/>
        <v>6</v>
      </c>
    </row>
    <row r="136" spans="11:17" ht="15.75" thickBot="1" x14ac:dyDescent="0.3">
      <c r="K136" s="8">
        <v>-20</v>
      </c>
      <c r="L136" s="9">
        <v>20</v>
      </c>
      <c r="M136" s="10"/>
      <c r="N136" s="9" t="str">
        <f t="shared" si="6"/>
        <v>-------Fryser innan täck</v>
      </c>
      <c r="O136" s="9"/>
      <c r="P136" s="130">
        <f t="shared" si="7"/>
        <v>51</v>
      </c>
      <c r="Q136">
        <f t="shared" si="8"/>
        <v>6</v>
      </c>
    </row>
    <row r="137" spans="11:17" x14ac:dyDescent="0.25">
      <c r="K137" s="3">
        <v>20</v>
      </c>
      <c r="L137" s="4">
        <v>0</v>
      </c>
      <c r="M137" s="5" t="s">
        <v>39</v>
      </c>
      <c r="N137" s="4" t="str">
        <f t="shared" ref="N137:N181" si="9">E2</f>
        <v>0,11520---Plywood 15, oisoleratOK17</v>
      </c>
      <c r="O137" s="4"/>
      <c r="P137" s="128">
        <f t="shared" si="7"/>
        <v>62</v>
      </c>
      <c r="Q137">
        <f t="shared" si="8"/>
        <v>17</v>
      </c>
    </row>
    <row r="138" spans="11:17" x14ac:dyDescent="0.25">
      <c r="K138" s="6">
        <v>20</v>
      </c>
      <c r="L138">
        <v>2</v>
      </c>
      <c r="M138" s="7"/>
      <c r="N138" t="str">
        <f t="shared" si="9"/>
        <v>0,11520---Plywood 15, oisoleratOK17</v>
      </c>
      <c r="P138" s="129">
        <f t="shared" si="7"/>
        <v>62</v>
      </c>
      <c r="Q138">
        <f t="shared" si="8"/>
        <v>17</v>
      </c>
    </row>
    <row r="139" spans="11:17" x14ac:dyDescent="0.25">
      <c r="K139" s="6">
        <v>20</v>
      </c>
      <c r="L139">
        <v>7</v>
      </c>
      <c r="M139" s="7"/>
      <c r="N139" t="str">
        <f t="shared" si="9"/>
        <v>0,11520---Plywood 15, oisoleratOK17</v>
      </c>
      <c r="P139" s="129">
        <f t="shared" si="7"/>
        <v>62</v>
      </c>
      <c r="Q139">
        <f t="shared" si="8"/>
        <v>17</v>
      </c>
    </row>
    <row r="140" spans="11:17" x14ac:dyDescent="0.25">
      <c r="K140" s="6">
        <v>20</v>
      </c>
      <c r="L140">
        <v>12</v>
      </c>
      <c r="M140" s="7"/>
      <c r="N140" t="str">
        <f t="shared" si="9"/>
        <v>0,11520---Plywood 15, oisoleratOK17</v>
      </c>
      <c r="P140" s="129">
        <f t="shared" si="7"/>
        <v>62</v>
      </c>
      <c r="Q140">
        <f t="shared" si="8"/>
        <v>17</v>
      </c>
    </row>
    <row r="141" spans="11:17" ht="15.75" thickBot="1" x14ac:dyDescent="0.3">
      <c r="K141" s="6">
        <v>20</v>
      </c>
      <c r="L141">
        <v>20</v>
      </c>
      <c r="M141" s="7"/>
      <c r="N141" t="str">
        <f t="shared" si="9"/>
        <v>0,11520---Plywood 15, oisoleratOK17</v>
      </c>
      <c r="P141" s="129">
        <f t="shared" si="7"/>
        <v>62</v>
      </c>
      <c r="Q141">
        <f t="shared" si="8"/>
        <v>17</v>
      </c>
    </row>
    <row r="142" spans="11:17" x14ac:dyDescent="0.25">
      <c r="K142" s="3">
        <v>15</v>
      </c>
      <c r="L142" s="4">
        <v>0</v>
      </c>
      <c r="M142" s="5"/>
      <c r="N142" s="4" t="str">
        <f t="shared" si="9"/>
        <v>Bas+0%1515---Plywood 15, oisoleratOK17</v>
      </c>
      <c r="O142" s="4"/>
      <c r="P142" s="128">
        <f t="shared" si="7"/>
        <v>63</v>
      </c>
      <c r="Q142">
        <f t="shared" si="8"/>
        <v>18</v>
      </c>
    </row>
    <row r="143" spans="11:17" x14ac:dyDescent="0.25">
      <c r="K143" s="6">
        <v>15</v>
      </c>
      <c r="L143">
        <v>2</v>
      </c>
      <c r="M143" s="7"/>
      <c r="N143" t="str">
        <f t="shared" si="9"/>
        <v>Bas+0%1515---Plywood 15, oisoleratOK17</v>
      </c>
      <c r="P143" s="129">
        <f t="shared" si="7"/>
        <v>63</v>
      </c>
      <c r="Q143">
        <f t="shared" si="8"/>
        <v>18</v>
      </c>
    </row>
    <row r="144" spans="11:17" x14ac:dyDescent="0.25">
      <c r="K144" s="6">
        <v>15</v>
      </c>
      <c r="L144">
        <v>7</v>
      </c>
      <c r="M144" s="7"/>
      <c r="N144" t="str">
        <f t="shared" si="9"/>
        <v>Bas+0%1515---Plywood 15, oisoleratOK17</v>
      </c>
      <c r="P144" s="129">
        <f t="shared" si="7"/>
        <v>63</v>
      </c>
      <c r="Q144">
        <f t="shared" si="8"/>
        <v>18</v>
      </c>
    </row>
    <row r="145" spans="11:17" x14ac:dyDescent="0.25">
      <c r="K145" s="6">
        <v>15</v>
      </c>
      <c r="L145">
        <v>12</v>
      </c>
      <c r="M145" s="7"/>
      <c r="N145" t="str">
        <f t="shared" si="9"/>
        <v>Bas+0%1515---Plywood 15, oisoleratOK17</v>
      </c>
      <c r="P145" s="129">
        <f t="shared" si="7"/>
        <v>63</v>
      </c>
      <c r="Q145">
        <f t="shared" si="8"/>
        <v>18</v>
      </c>
    </row>
    <row r="146" spans="11:17" ht="15.75" thickBot="1" x14ac:dyDescent="0.3">
      <c r="K146" s="8">
        <v>15</v>
      </c>
      <c r="L146" s="9">
        <v>20</v>
      </c>
      <c r="M146" s="10"/>
      <c r="N146" s="9" t="str">
        <f t="shared" si="9"/>
        <v>Bas+0%1515---Plywood 15, oisoleratOK17</v>
      </c>
      <c r="O146" s="9"/>
      <c r="P146" s="130">
        <f t="shared" si="7"/>
        <v>63</v>
      </c>
      <c r="Q146">
        <f t="shared" si="8"/>
        <v>18</v>
      </c>
    </row>
    <row r="147" spans="11:17" x14ac:dyDescent="0.25">
      <c r="K147" s="6">
        <v>10</v>
      </c>
      <c r="L147">
        <v>0</v>
      </c>
      <c r="M147" s="7"/>
      <c r="N147" t="str">
        <f t="shared" si="9"/>
        <v>-------Når ej 6 MPa</v>
      </c>
      <c r="P147" s="129">
        <f t="shared" si="7"/>
        <v>47</v>
      </c>
      <c r="Q147">
        <f t="shared" si="8"/>
        <v>2</v>
      </c>
    </row>
    <row r="148" spans="11:17" x14ac:dyDescent="0.25">
      <c r="K148" s="6">
        <v>10</v>
      </c>
      <c r="L148">
        <v>2</v>
      </c>
      <c r="M148" s="7"/>
      <c r="N148" t="str">
        <f t="shared" si="9"/>
        <v>-------Når ej 6 MPa</v>
      </c>
      <c r="P148" s="129">
        <f t="shared" si="7"/>
        <v>47</v>
      </c>
      <c r="Q148">
        <f t="shared" si="8"/>
        <v>2</v>
      </c>
    </row>
    <row r="149" spans="11:17" x14ac:dyDescent="0.25">
      <c r="K149" s="6">
        <v>10</v>
      </c>
      <c r="L149">
        <v>7</v>
      </c>
      <c r="M149" s="7"/>
      <c r="N149" t="str">
        <f t="shared" si="9"/>
        <v>-------Når ej 6 MPa</v>
      </c>
      <c r="P149" s="129">
        <f t="shared" si="7"/>
        <v>47</v>
      </c>
      <c r="Q149">
        <f t="shared" si="8"/>
        <v>2</v>
      </c>
    </row>
    <row r="150" spans="11:17" x14ac:dyDescent="0.25">
      <c r="K150" s="6">
        <v>10</v>
      </c>
      <c r="L150">
        <v>12</v>
      </c>
      <c r="M150" s="7"/>
      <c r="N150" t="str">
        <f t="shared" si="9"/>
        <v>-------Når ej 6 MPa</v>
      </c>
      <c r="P150" s="129">
        <f t="shared" si="7"/>
        <v>47</v>
      </c>
      <c r="Q150">
        <f t="shared" si="8"/>
        <v>2</v>
      </c>
    </row>
    <row r="151" spans="11:17" ht="15.75" thickBot="1" x14ac:dyDescent="0.3">
      <c r="K151" s="6">
        <v>10</v>
      </c>
      <c r="L151">
        <v>20</v>
      </c>
      <c r="M151" s="7"/>
      <c r="N151" t="str">
        <f t="shared" si="9"/>
        <v>-------Når ej 6 MPa</v>
      </c>
      <c r="P151" s="129">
        <f t="shared" si="7"/>
        <v>47</v>
      </c>
      <c r="Q151">
        <f t="shared" si="8"/>
        <v>2</v>
      </c>
    </row>
    <row r="152" spans="11:17" x14ac:dyDescent="0.25">
      <c r="K152" s="3">
        <v>5</v>
      </c>
      <c r="L152" s="4">
        <v>0</v>
      </c>
      <c r="M152" s="5"/>
      <c r="N152" s="4" t="str">
        <f t="shared" si="9"/>
        <v>0,2205402-Plywood 12-19 cellplast 100OK17</v>
      </c>
      <c r="O152" s="4"/>
      <c r="P152" s="128">
        <f t="shared" si="7"/>
        <v>64</v>
      </c>
      <c r="Q152">
        <f t="shared" si="8"/>
        <v>19</v>
      </c>
    </row>
    <row r="153" spans="11:17" x14ac:dyDescent="0.25">
      <c r="K153" s="6">
        <v>5</v>
      </c>
      <c r="L153">
        <v>2</v>
      </c>
      <c r="M153" s="7"/>
      <c r="N153" t="str">
        <f t="shared" si="9"/>
        <v>0,220540310Plywood 12-19 cellplast 120OK17</v>
      </c>
      <c r="P153" s="129">
        <f t="shared" si="7"/>
        <v>65</v>
      </c>
      <c r="Q153">
        <f t="shared" si="8"/>
        <v>20</v>
      </c>
    </row>
    <row r="154" spans="11:17" x14ac:dyDescent="0.25">
      <c r="K154" s="6">
        <v>5</v>
      </c>
      <c r="L154">
        <v>7</v>
      </c>
      <c r="M154" s="7"/>
      <c r="N154" t="str">
        <f t="shared" si="9"/>
        <v>0,120540110Plywood 12-19  cellplast 50OK17</v>
      </c>
      <c r="P154" s="129">
        <f t="shared" si="7"/>
        <v>66</v>
      </c>
      <c r="Q154">
        <f t="shared" si="8"/>
        <v>21</v>
      </c>
    </row>
    <row r="155" spans="11:17" x14ac:dyDescent="0.25">
      <c r="K155" s="6">
        <v>5</v>
      </c>
      <c r="L155">
        <v>12</v>
      </c>
      <c r="M155" s="7"/>
      <c r="N155" t="str">
        <f t="shared" si="9"/>
        <v>0,120540110Plywood 12-19 cellplast 70OK17</v>
      </c>
      <c r="P155" s="129">
        <f t="shared" si="7"/>
        <v>67</v>
      </c>
      <c r="Q155">
        <f t="shared" si="8"/>
        <v>22</v>
      </c>
    </row>
    <row r="156" spans="11:17" ht="15.75" thickBot="1" x14ac:dyDescent="0.3">
      <c r="K156" s="8">
        <v>5</v>
      </c>
      <c r="L156" s="9">
        <v>20</v>
      </c>
      <c r="M156" s="10"/>
      <c r="N156" s="9" t="str">
        <f t="shared" si="9"/>
        <v>0,120540110Plywood 12-19 cellplast 100OK17</v>
      </c>
      <c r="O156" s="9"/>
      <c r="P156" s="130">
        <f t="shared" si="7"/>
        <v>68</v>
      </c>
      <c r="Q156">
        <f t="shared" si="8"/>
        <v>23</v>
      </c>
    </row>
    <row r="157" spans="11:17" x14ac:dyDescent="0.25">
      <c r="K157" s="6">
        <v>0</v>
      </c>
      <c r="L157">
        <v>0</v>
      </c>
      <c r="M157" s="7"/>
      <c r="N157" t="str">
        <f t="shared" si="9"/>
        <v>0,220540310Plywood 12-19 cellplast 100OK17</v>
      </c>
      <c r="P157" s="129">
        <f t="shared" si="7"/>
        <v>69</v>
      </c>
      <c r="Q157">
        <f t="shared" si="8"/>
        <v>24</v>
      </c>
    </row>
    <row r="158" spans="11:17" x14ac:dyDescent="0.25">
      <c r="K158" s="6">
        <v>0</v>
      </c>
      <c r="L158">
        <v>2</v>
      </c>
      <c r="M158" s="7"/>
      <c r="N158" t="str">
        <f t="shared" si="9"/>
        <v>0,120540110Plywood 12-19 cellplast 100OK17</v>
      </c>
      <c r="P158" s="129">
        <f t="shared" si="7"/>
        <v>68</v>
      </c>
      <c r="Q158">
        <f t="shared" si="8"/>
        <v>23</v>
      </c>
    </row>
    <row r="159" spans="11:17" x14ac:dyDescent="0.25">
      <c r="K159" s="6">
        <v>0</v>
      </c>
      <c r="L159">
        <v>7</v>
      </c>
      <c r="M159" s="7"/>
      <c r="N159" t="str">
        <f t="shared" si="9"/>
        <v>0,120540210Plywood 12-19  cellplast 50OK17</v>
      </c>
      <c r="P159" s="129">
        <f t="shared" si="7"/>
        <v>70</v>
      </c>
      <c r="Q159">
        <f t="shared" si="8"/>
        <v>25</v>
      </c>
    </row>
    <row r="160" spans="11:17" x14ac:dyDescent="0.25">
      <c r="K160" s="6">
        <v>0</v>
      </c>
      <c r="L160">
        <v>12</v>
      </c>
      <c r="M160" s="7"/>
      <c r="N160" t="str">
        <f t="shared" si="9"/>
        <v>0,120540210Plywood 12-19 cellplast 100OK17</v>
      </c>
      <c r="P160" s="129">
        <f t="shared" si="7"/>
        <v>71</v>
      </c>
      <c r="Q160">
        <f t="shared" si="8"/>
        <v>26</v>
      </c>
    </row>
    <row r="161" spans="11:17" ht="15.75" thickBot="1" x14ac:dyDescent="0.3">
      <c r="K161" s="6">
        <v>0</v>
      </c>
      <c r="L161">
        <v>20</v>
      </c>
      <c r="M161" s="7"/>
      <c r="N161" t="str">
        <f t="shared" si="9"/>
        <v>0,120540210Plywood 12-19 cellplast 120OK17</v>
      </c>
      <c r="P161" s="129">
        <f t="shared" si="7"/>
        <v>72</v>
      </c>
      <c r="Q161">
        <f t="shared" si="8"/>
        <v>27</v>
      </c>
    </row>
    <row r="162" spans="11:17" x14ac:dyDescent="0.25">
      <c r="K162" s="3">
        <v>-5</v>
      </c>
      <c r="L162" s="4">
        <v>0</v>
      </c>
      <c r="M162" s="5"/>
      <c r="N162" s="4" t="str">
        <f t="shared" si="9"/>
        <v>0,120540110Plywood 12-19 cellplast 100OK17</v>
      </c>
      <c r="O162" s="4"/>
      <c r="P162" s="128">
        <f t="shared" si="7"/>
        <v>68</v>
      </c>
      <c r="Q162">
        <f t="shared" si="8"/>
        <v>23</v>
      </c>
    </row>
    <row r="163" spans="11:17" x14ac:dyDescent="0.25">
      <c r="K163" s="6">
        <v>-5</v>
      </c>
      <c r="L163">
        <v>2</v>
      </c>
      <c r="M163" s="7"/>
      <c r="N163" t="str">
        <f t="shared" si="9"/>
        <v>0,120540210Plywood 12-19  cellplast 50OK17</v>
      </c>
      <c r="P163" s="129">
        <f t="shared" si="7"/>
        <v>70</v>
      </c>
      <c r="Q163">
        <f t="shared" si="8"/>
        <v>25</v>
      </c>
    </row>
    <row r="164" spans="11:17" x14ac:dyDescent="0.25">
      <c r="K164" s="6">
        <v>-5</v>
      </c>
      <c r="L164">
        <v>7</v>
      </c>
      <c r="M164" s="7"/>
      <c r="N164" t="str">
        <f t="shared" si="9"/>
        <v>Bas+0%20540110Plywood 12-19 cellplast 100OK17</v>
      </c>
      <c r="P164" s="129">
        <f t="shared" si="7"/>
        <v>57</v>
      </c>
      <c r="Q164">
        <f t="shared" si="8"/>
        <v>12</v>
      </c>
    </row>
    <row r="165" spans="11:17" x14ac:dyDescent="0.25">
      <c r="K165" s="6">
        <v>-5</v>
      </c>
      <c r="L165">
        <v>12</v>
      </c>
      <c r="M165" s="7"/>
      <c r="N165" t="str">
        <f t="shared" si="9"/>
        <v>Bas+0%20540210Plywood 12-19  cellplast 50OK17</v>
      </c>
      <c r="P165" s="129">
        <f t="shared" si="7"/>
        <v>60</v>
      </c>
      <c r="Q165">
        <f t="shared" si="8"/>
        <v>15</v>
      </c>
    </row>
    <row r="166" spans="11:17" ht="15.75" thickBot="1" x14ac:dyDescent="0.3">
      <c r="K166" s="8">
        <v>-5</v>
      </c>
      <c r="L166" s="9">
        <v>20</v>
      </c>
      <c r="M166" s="10"/>
      <c r="N166" s="9" t="str">
        <f t="shared" si="9"/>
        <v>-------Fryser innan täck</v>
      </c>
      <c r="O166" s="9"/>
      <c r="P166" s="130">
        <f t="shared" si="7"/>
        <v>51</v>
      </c>
      <c r="Q166">
        <f t="shared" si="8"/>
        <v>6</v>
      </c>
    </row>
    <row r="167" spans="11:17" x14ac:dyDescent="0.25">
      <c r="K167" s="6">
        <v>-10</v>
      </c>
      <c r="L167">
        <v>0</v>
      </c>
      <c r="M167" s="7"/>
      <c r="N167" t="str">
        <f t="shared" si="9"/>
        <v>0,120540210Plywood 12-19  cellplast 50OK17</v>
      </c>
      <c r="P167" s="129">
        <f t="shared" si="7"/>
        <v>70</v>
      </c>
      <c r="Q167">
        <f t="shared" si="8"/>
        <v>25</v>
      </c>
    </row>
    <row r="168" spans="11:17" x14ac:dyDescent="0.25">
      <c r="K168" s="6">
        <v>-10</v>
      </c>
      <c r="L168">
        <v>2</v>
      </c>
      <c r="M168" s="7"/>
      <c r="N168" t="str">
        <f t="shared" si="9"/>
        <v>0,120540310Plywood 12-19 cellplast 100OK17</v>
      </c>
      <c r="P168" s="129">
        <f t="shared" si="7"/>
        <v>73</v>
      </c>
      <c r="Q168">
        <f t="shared" si="8"/>
        <v>28</v>
      </c>
    </row>
    <row r="169" spans="11:17" x14ac:dyDescent="0.25">
      <c r="K169" s="6">
        <v>-10</v>
      </c>
      <c r="L169">
        <v>7</v>
      </c>
      <c r="M169" s="7"/>
      <c r="N169" t="str">
        <f t="shared" si="9"/>
        <v>Bas+0%20540210Plywood 12-19 cellplast 70OK17</v>
      </c>
      <c r="P169" s="129">
        <f t="shared" si="7"/>
        <v>59</v>
      </c>
      <c r="Q169">
        <f t="shared" si="8"/>
        <v>14</v>
      </c>
    </row>
    <row r="170" spans="11:17" x14ac:dyDescent="0.25">
      <c r="K170" s="6">
        <v>-10</v>
      </c>
      <c r="L170">
        <v>12</v>
      </c>
      <c r="M170" s="7"/>
      <c r="N170" t="str">
        <f t="shared" si="9"/>
        <v>-------Fryser innan täck</v>
      </c>
      <c r="P170" s="129">
        <f t="shared" si="7"/>
        <v>51</v>
      </c>
      <c r="Q170">
        <f t="shared" si="8"/>
        <v>6</v>
      </c>
    </row>
    <row r="171" spans="11:17" ht="15.75" thickBot="1" x14ac:dyDescent="0.3">
      <c r="K171" s="6">
        <v>-10</v>
      </c>
      <c r="L171">
        <v>20</v>
      </c>
      <c r="M171" s="7"/>
      <c r="N171" t="str">
        <f t="shared" si="9"/>
        <v>-------Fryser innan täck</v>
      </c>
      <c r="P171" s="129">
        <f t="shared" si="7"/>
        <v>51</v>
      </c>
      <c r="Q171">
        <f t="shared" si="8"/>
        <v>6</v>
      </c>
    </row>
    <row r="172" spans="11:17" x14ac:dyDescent="0.25">
      <c r="K172" s="3">
        <v>-15</v>
      </c>
      <c r="L172" s="4">
        <v>0</v>
      </c>
      <c r="M172" s="5"/>
      <c r="N172" s="4" t="str">
        <f t="shared" si="9"/>
        <v>Bas+0%15540350Plywood 12-19 cellplast 70OK17</v>
      </c>
      <c r="O172" s="4"/>
      <c r="P172" s="128">
        <f t="shared" si="7"/>
        <v>74</v>
      </c>
      <c r="Q172">
        <f t="shared" si="8"/>
        <v>29</v>
      </c>
    </row>
    <row r="173" spans="11:17" x14ac:dyDescent="0.25">
      <c r="K173" s="6">
        <v>-15</v>
      </c>
      <c r="L173">
        <v>2</v>
      </c>
      <c r="M173" s="7"/>
      <c r="N173" t="str">
        <f t="shared" si="9"/>
        <v>-------Når ej 6 MPa</v>
      </c>
      <c r="P173" s="129">
        <f t="shared" si="7"/>
        <v>47</v>
      </c>
      <c r="Q173">
        <f t="shared" si="8"/>
        <v>2</v>
      </c>
    </row>
    <row r="174" spans="11:17" x14ac:dyDescent="0.25">
      <c r="K174" s="6">
        <v>-15</v>
      </c>
      <c r="L174">
        <v>7</v>
      </c>
      <c r="M174" s="7"/>
      <c r="N174" t="str">
        <f t="shared" si="9"/>
        <v>-------Fryser innan täck</v>
      </c>
      <c r="P174" s="129">
        <f t="shared" si="7"/>
        <v>51</v>
      </c>
      <c r="Q174">
        <f t="shared" si="8"/>
        <v>6</v>
      </c>
    </row>
    <row r="175" spans="11:17" x14ac:dyDescent="0.25">
      <c r="K175" s="6">
        <v>-15</v>
      </c>
      <c r="L175">
        <v>12</v>
      </c>
      <c r="M175" s="7"/>
      <c r="N175" t="str">
        <f t="shared" si="9"/>
        <v>-------Fryser innan täck</v>
      </c>
      <c r="P175" s="129">
        <f t="shared" si="7"/>
        <v>51</v>
      </c>
      <c r="Q175">
        <f t="shared" si="8"/>
        <v>6</v>
      </c>
    </row>
    <row r="176" spans="11:17" ht="15.75" thickBot="1" x14ac:dyDescent="0.3">
      <c r="K176" s="8">
        <v>-15</v>
      </c>
      <c r="L176" s="9">
        <v>20</v>
      </c>
      <c r="M176" s="10"/>
      <c r="N176" s="9" t="str">
        <f t="shared" si="9"/>
        <v>-------Fryser innan täck</v>
      </c>
      <c r="O176" s="9"/>
      <c r="P176" s="130">
        <f t="shared" si="7"/>
        <v>51</v>
      </c>
      <c r="Q176">
        <f t="shared" si="8"/>
        <v>6</v>
      </c>
    </row>
    <row r="177" spans="11:17" x14ac:dyDescent="0.25">
      <c r="K177" s="6">
        <v>-20</v>
      </c>
      <c r="L177">
        <v>0</v>
      </c>
      <c r="M177" s="7"/>
      <c r="N177" t="str">
        <f t="shared" si="9"/>
        <v>-------Når ej 6 MPa</v>
      </c>
      <c r="P177" s="129">
        <f t="shared" si="7"/>
        <v>47</v>
      </c>
      <c r="Q177">
        <f t="shared" si="8"/>
        <v>2</v>
      </c>
    </row>
    <row r="178" spans="11:17" x14ac:dyDescent="0.25">
      <c r="K178" s="6">
        <v>-20</v>
      </c>
      <c r="L178">
        <v>2</v>
      </c>
      <c r="M178" s="7"/>
      <c r="N178" t="str">
        <f t="shared" si="9"/>
        <v>-------Fryser innan täck</v>
      </c>
      <c r="P178" s="129">
        <f t="shared" si="7"/>
        <v>51</v>
      </c>
      <c r="Q178">
        <f t="shared" si="8"/>
        <v>6</v>
      </c>
    </row>
    <row r="179" spans="11:17" x14ac:dyDescent="0.25">
      <c r="K179" s="6">
        <v>-20</v>
      </c>
      <c r="L179">
        <v>7</v>
      </c>
      <c r="M179" s="7"/>
      <c r="N179" t="str">
        <f t="shared" si="9"/>
        <v>-------Fryser innan täck</v>
      </c>
      <c r="P179" s="129">
        <f t="shared" si="7"/>
        <v>51</v>
      </c>
      <c r="Q179">
        <f t="shared" si="8"/>
        <v>6</v>
      </c>
    </row>
    <row r="180" spans="11:17" x14ac:dyDescent="0.25">
      <c r="K180" s="6">
        <v>-20</v>
      </c>
      <c r="L180">
        <v>12</v>
      </c>
      <c r="M180" s="7"/>
      <c r="N180" t="str">
        <f t="shared" si="9"/>
        <v>-------Fryser innan täck</v>
      </c>
      <c r="P180" s="129">
        <f t="shared" si="7"/>
        <v>51</v>
      </c>
      <c r="Q180">
        <f t="shared" si="8"/>
        <v>6</v>
      </c>
    </row>
    <row r="181" spans="11:17" ht="15.75" thickBot="1" x14ac:dyDescent="0.3">
      <c r="K181" s="8">
        <v>-20</v>
      </c>
      <c r="L181" s="9">
        <v>20</v>
      </c>
      <c r="M181" s="10"/>
      <c r="N181" s="9" t="str">
        <f t="shared" si="9"/>
        <v>-------Fryser innan täck</v>
      </c>
      <c r="O181" s="9"/>
      <c r="P181" s="130">
        <f t="shared" si="7"/>
        <v>51</v>
      </c>
      <c r="Q181">
        <f t="shared" si="8"/>
        <v>6</v>
      </c>
    </row>
    <row r="182" spans="11:17" x14ac:dyDescent="0.25">
      <c r="K182" s="3">
        <v>20</v>
      </c>
      <c r="L182" s="4">
        <v>0</v>
      </c>
      <c r="M182" s="5" t="s">
        <v>34</v>
      </c>
      <c r="N182" s="4" t="str">
        <f t="shared" ref="N182:N226" si="10">F2</f>
        <v>0,21520---Plywood 15, oisoleratOK17</v>
      </c>
      <c r="O182" s="4"/>
      <c r="P182" s="128">
        <f t="shared" si="7"/>
        <v>75</v>
      </c>
      <c r="Q182">
        <f t="shared" si="8"/>
        <v>30</v>
      </c>
    </row>
    <row r="183" spans="11:17" x14ac:dyDescent="0.25">
      <c r="K183" s="6">
        <v>20</v>
      </c>
      <c r="L183">
        <v>2</v>
      </c>
      <c r="M183" s="7"/>
      <c r="N183" t="str">
        <f t="shared" si="10"/>
        <v>0,21520---Plywood 15, oisoleratOK17</v>
      </c>
      <c r="P183" s="129">
        <f t="shared" si="7"/>
        <v>75</v>
      </c>
      <c r="Q183">
        <f t="shared" si="8"/>
        <v>30</v>
      </c>
    </row>
    <row r="184" spans="11:17" x14ac:dyDescent="0.25">
      <c r="K184" s="6">
        <v>20</v>
      </c>
      <c r="L184">
        <v>7</v>
      </c>
      <c r="M184" s="7"/>
      <c r="N184" t="str">
        <f t="shared" si="10"/>
        <v>0,21520---Plywood 15, oisoleratOK17</v>
      </c>
      <c r="P184" s="129">
        <f t="shared" si="7"/>
        <v>75</v>
      </c>
      <c r="Q184">
        <f t="shared" si="8"/>
        <v>30</v>
      </c>
    </row>
    <row r="185" spans="11:17" x14ac:dyDescent="0.25">
      <c r="K185" s="6">
        <v>20</v>
      </c>
      <c r="L185">
        <v>12</v>
      </c>
      <c r="M185" s="7"/>
      <c r="N185" t="str">
        <f t="shared" si="10"/>
        <v>0,21520---Plywood 15, oisoleratOK17</v>
      </c>
      <c r="P185" s="129">
        <f t="shared" si="7"/>
        <v>75</v>
      </c>
      <c r="Q185">
        <f t="shared" si="8"/>
        <v>30</v>
      </c>
    </row>
    <row r="186" spans="11:17" ht="15.75" thickBot="1" x14ac:dyDescent="0.3">
      <c r="K186" s="6">
        <v>20</v>
      </c>
      <c r="L186">
        <v>20</v>
      </c>
      <c r="M186" s="7"/>
      <c r="N186" t="str">
        <f t="shared" si="10"/>
        <v>0,21520---Plywood 15, oisoleratOK17</v>
      </c>
      <c r="P186" s="129">
        <f t="shared" si="7"/>
        <v>75</v>
      </c>
      <c r="Q186">
        <f t="shared" si="8"/>
        <v>30</v>
      </c>
    </row>
    <row r="187" spans="11:17" x14ac:dyDescent="0.25">
      <c r="K187" s="3">
        <v>15</v>
      </c>
      <c r="L187" s="4">
        <v>0</v>
      </c>
      <c r="M187" s="5"/>
      <c r="N187" s="4" t="str">
        <f t="shared" si="10"/>
        <v>0,11515---Plywood 15, oisoleratOK17</v>
      </c>
      <c r="O187" s="4"/>
      <c r="P187" s="128">
        <f t="shared" si="7"/>
        <v>76</v>
      </c>
      <c r="Q187">
        <f t="shared" si="8"/>
        <v>31</v>
      </c>
    </row>
    <row r="188" spans="11:17" x14ac:dyDescent="0.25">
      <c r="K188" s="6">
        <v>15</v>
      </c>
      <c r="L188">
        <v>2</v>
      </c>
      <c r="M188" s="7"/>
      <c r="N188" t="str">
        <f t="shared" si="10"/>
        <v>0,11515---Plywood 15, oisoleratOK17</v>
      </c>
      <c r="P188" s="129">
        <f t="shared" si="7"/>
        <v>76</v>
      </c>
      <c r="Q188">
        <f t="shared" si="8"/>
        <v>31</v>
      </c>
    </row>
    <row r="189" spans="11:17" x14ac:dyDescent="0.25">
      <c r="K189" s="6">
        <v>15</v>
      </c>
      <c r="L189">
        <v>7</v>
      </c>
      <c r="M189" s="7"/>
      <c r="N189" t="str">
        <f t="shared" si="10"/>
        <v>0,11515---Plywood 15, oisoleratOK17</v>
      </c>
      <c r="P189" s="129">
        <f t="shared" si="7"/>
        <v>76</v>
      </c>
      <c r="Q189">
        <f t="shared" si="8"/>
        <v>31</v>
      </c>
    </row>
    <row r="190" spans="11:17" x14ac:dyDescent="0.25">
      <c r="K190" s="6">
        <v>15</v>
      </c>
      <c r="L190">
        <v>12</v>
      </c>
      <c r="M190" s="7"/>
      <c r="N190" t="str">
        <f t="shared" si="10"/>
        <v>0,11515--PresenningPlywood 15, oisoleratOK17</v>
      </c>
      <c r="P190" s="129">
        <f t="shared" si="7"/>
        <v>77</v>
      </c>
      <c r="Q190">
        <f t="shared" si="8"/>
        <v>32</v>
      </c>
    </row>
    <row r="191" spans="11:17" ht="15.75" thickBot="1" x14ac:dyDescent="0.3">
      <c r="K191" s="8">
        <v>15</v>
      </c>
      <c r="L191" s="9">
        <v>20</v>
      </c>
      <c r="M191" s="10"/>
      <c r="N191" s="9" t="str">
        <f t="shared" si="10"/>
        <v>0,11515--PresenningPlywood 15, oisoleratOK17</v>
      </c>
      <c r="O191" s="9"/>
      <c r="P191" s="130">
        <f t="shared" si="7"/>
        <v>77</v>
      </c>
      <c r="Q191">
        <f t="shared" si="8"/>
        <v>32</v>
      </c>
    </row>
    <row r="192" spans="11:17" x14ac:dyDescent="0.25">
      <c r="K192" s="6">
        <v>10</v>
      </c>
      <c r="L192">
        <v>0</v>
      </c>
      <c r="M192" s="7"/>
      <c r="N192" t="str">
        <f t="shared" si="10"/>
        <v>-------Når ej 6 MPa</v>
      </c>
      <c r="P192" s="129">
        <f t="shared" si="7"/>
        <v>47</v>
      </c>
      <c r="Q192">
        <f t="shared" si="8"/>
        <v>2</v>
      </c>
    </row>
    <row r="193" spans="11:17" x14ac:dyDescent="0.25">
      <c r="K193" s="6">
        <v>10</v>
      </c>
      <c r="L193">
        <v>2</v>
      </c>
      <c r="M193" s="7"/>
      <c r="N193" t="str">
        <f t="shared" si="10"/>
        <v>-------Når ej 6 MPa</v>
      </c>
      <c r="P193" s="129">
        <f t="shared" si="7"/>
        <v>47</v>
      </c>
      <c r="Q193">
        <f t="shared" si="8"/>
        <v>2</v>
      </c>
    </row>
    <row r="194" spans="11:17" x14ac:dyDescent="0.25">
      <c r="K194" s="6">
        <v>10</v>
      </c>
      <c r="L194">
        <v>7</v>
      </c>
      <c r="M194" s="7"/>
      <c r="N194" t="str">
        <f t="shared" si="10"/>
        <v>-------Når ej 6 MPa</v>
      </c>
      <c r="P194" s="129">
        <f t="shared" ref="P194:P257" si="11">MATCH(N194, _xlfn.UNIQUE($N$2:$N$361), 0)</f>
        <v>47</v>
      </c>
      <c r="Q194">
        <f t="shared" ref="Q194:Q257" si="12">MATCH(N194, _xlfn.UNIQUE($N$47:$N$361), 0)</f>
        <v>2</v>
      </c>
    </row>
    <row r="195" spans="11:17" x14ac:dyDescent="0.25">
      <c r="K195" s="6">
        <v>10</v>
      </c>
      <c r="L195">
        <v>12</v>
      </c>
      <c r="M195" s="7"/>
      <c r="N195" t="str">
        <f t="shared" si="10"/>
        <v>-------Når ej 6 MPa</v>
      </c>
      <c r="P195" s="129">
        <f t="shared" si="11"/>
        <v>47</v>
      </c>
      <c r="Q195">
        <f t="shared" si="12"/>
        <v>2</v>
      </c>
    </row>
    <row r="196" spans="11:17" ht="15.75" thickBot="1" x14ac:dyDescent="0.3">
      <c r="K196" s="6">
        <v>10</v>
      </c>
      <c r="L196">
        <v>20</v>
      </c>
      <c r="M196" s="7"/>
      <c r="N196" t="str">
        <f t="shared" si="10"/>
        <v>-------Når ej 6 MPa</v>
      </c>
      <c r="P196" s="129">
        <f t="shared" si="11"/>
        <v>47</v>
      </c>
      <c r="Q196">
        <f t="shared" si="12"/>
        <v>2</v>
      </c>
    </row>
    <row r="197" spans="11:17" x14ac:dyDescent="0.25">
      <c r="K197" s="3">
        <v>5</v>
      </c>
      <c r="L197" s="4">
        <v>0</v>
      </c>
      <c r="M197" s="5"/>
      <c r="N197" s="4" t="str">
        <f t="shared" si="10"/>
        <v>0,2205402PresenningPlywood 15 cellplast 30OK17</v>
      </c>
      <c r="O197" s="4"/>
      <c r="P197" s="128">
        <f t="shared" si="11"/>
        <v>78</v>
      </c>
      <c r="Q197">
        <f t="shared" si="12"/>
        <v>33</v>
      </c>
    </row>
    <row r="198" spans="11:17" x14ac:dyDescent="0.25">
      <c r="K198" s="6">
        <v>5</v>
      </c>
      <c r="L198">
        <v>2</v>
      </c>
      <c r="M198" s="7"/>
      <c r="N198" t="str">
        <f t="shared" si="10"/>
        <v>0,220540210Plywood 12-19  cellplast 50OK17</v>
      </c>
      <c r="P198" s="129">
        <f t="shared" si="11"/>
        <v>79</v>
      </c>
      <c r="Q198">
        <f t="shared" si="12"/>
        <v>34</v>
      </c>
    </row>
    <row r="199" spans="11:17" x14ac:dyDescent="0.25">
      <c r="K199" s="6">
        <v>5</v>
      </c>
      <c r="L199">
        <v>7</v>
      </c>
      <c r="M199" s="7"/>
      <c r="N199" t="str">
        <f t="shared" si="10"/>
        <v>0,220540210Plywood 12-19 cellplast 100OK17</v>
      </c>
      <c r="P199" s="129">
        <f t="shared" si="11"/>
        <v>80</v>
      </c>
      <c r="Q199">
        <f t="shared" si="12"/>
        <v>35</v>
      </c>
    </row>
    <row r="200" spans="11:17" x14ac:dyDescent="0.25">
      <c r="K200" s="6">
        <v>5</v>
      </c>
      <c r="L200">
        <v>12</v>
      </c>
      <c r="M200" s="7"/>
      <c r="N200" t="str">
        <f t="shared" si="10"/>
        <v>0,120540110Plywood 15 cellplast 30OK17</v>
      </c>
      <c r="P200" s="129">
        <f t="shared" si="11"/>
        <v>81</v>
      </c>
      <c r="Q200">
        <f t="shared" si="12"/>
        <v>36</v>
      </c>
    </row>
    <row r="201" spans="11:17" ht="15.75" thickBot="1" x14ac:dyDescent="0.3">
      <c r="K201" s="8">
        <v>5</v>
      </c>
      <c r="L201" s="9">
        <v>20</v>
      </c>
      <c r="M201" s="10"/>
      <c r="N201" s="9" t="str">
        <f t="shared" si="10"/>
        <v>0,120540110Plywood 15 cellplast 30OK17</v>
      </c>
      <c r="O201" s="9"/>
      <c r="P201" s="130">
        <f t="shared" si="11"/>
        <v>81</v>
      </c>
      <c r="Q201">
        <f t="shared" si="12"/>
        <v>36</v>
      </c>
    </row>
    <row r="202" spans="11:17" x14ac:dyDescent="0.25">
      <c r="K202" s="6">
        <v>0</v>
      </c>
      <c r="L202">
        <v>0</v>
      </c>
      <c r="M202" s="7"/>
      <c r="N202" t="str">
        <f t="shared" si="10"/>
        <v>0,220540210Plywood 12-19 cellplast 70OK17</v>
      </c>
      <c r="P202" s="129">
        <f t="shared" si="11"/>
        <v>82</v>
      </c>
      <c r="Q202">
        <f t="shared" si="12"/>
        <v>37</v>
      </c>
    </row>
    <row r="203" spans="11:17" x14ac:dyDescent="0.25">
      <c r="K203" s="6">
        <v>0</v>
      </c>
      <c r="L203">
        <v>2</v>
      </c>
      <c r="M203" s="7"/>
      <c r="N203" t="str">
        <f t="shared" si="10"/>
        <v>0,220540310Plywood 12-19 cellplast 70OK17</v>
      </c>
      <c r="P203" s="129">
        <f t="shared" si="11"/>
        <v>83</v>
      </c>
      <c r="Q203">
        <f t="shared" si="12"/>
        <v>38</v>
      </c>
    </row>
    <row r="204" spans="11:17" x14ac:dyDescent="0.25">
      <c r="K204" s="6">
        <v>0</v>
      </c>
      <c r="L204">
        <v>7</v>
      </c>
      <c r="M204" s="7"/>
      <c r="N204" t="str">
        <f t="shared" si="10"/>
        <v>0,120540110Plywood 12-19 cellplast 70OK17</v>
      </c>
      <c r="P204" s="129">
        <f t="shared" si="11"/>
        <v>67</v>
      </c>
      <c r="Q204">
        <f t="shared" si="12"/>
        <v>22</v>
      </c>
    </row>
    <row r="205" spans="11:17" x14ac:dyDescent="0.25">
      <c r="K205" s="6">
        <v>0</v>
      </c>
      <c r="L205">
        <v>12</v>
      </c>
      <c r="M205" s="7"/>
      <c r="N205" t="str">
        <f t="shared" si="10"/>
        <v>0,120540110Plywood 12-19 cellplast 100OK17</v>
      </c>
      <c r="P205" s="129">
        <f t="shared" si="11"/>
        <v>68</v>
      </c>
      <c r="Q205">
        <f t="shared" si="12"/>
        <v>23</v>
      </c>
    </row>
    <row r="206" spans="11:17" ht="15.75" thickBot="1" x14ac:dyDescent="0.3">
      <c r="K206" s="6">
        <v>0</v>
      </c>
      <c r="L206">
        <v>20</v>
      </c>
      <c r="M206" s="7"/>
      <c r="N206" t="str">
        <f t="shared" si="10"/>
        <v>0,120540210Plywood 12-19  cellplast 50OK17</v>
      </c>
      <c r="P206" s="129">
        <f t="shared" si="11"/>
        <v>70</v>
      </c>
      <c r="Q206">
        <f t="shared" si="12"/>
        <v>25</v>
      </c>
    </row>
    <row r="207" spans="11:17" x14ac:dyDescent="0.25">
      <c r="K207" s="3">
        <v>-5</v>
      </c>
      <c r="L207" s="4">
        <v>0</v>
      </c>
      <c r="M207" s="5"/>
      <c r="N207" s="4" t="str">
        <f t="shared" si="10"/>
        <v>0,220540310Plywood 12-19 cellplast 70OK17</v>
      </c>
      <c r="O207" s="4"/>
      <c r="P207" s="128">
        <f t="shared" si="11"/>
        <v>83</v>
      </c>
      <c r="Q207">
        <f t="shared" si="12"/>
        <v>38</v>
      </c>
    </row>
    <row r="208" spans="11:17" x14ac:dyDescent="0.25">
      <c r="K208" s="6">
        <v>-5</v>
      </c>
      <c r="L208">
        <v>2</v>
      </c>
      <c r="M208" s="7"/>
      <c r="N208" t="str">
        <f t="shared" si="10"/>
        <v>0,120540110Plywood 12-19 cellplast 100OK17</v>
      </c>
      <c r="P208" s="129">
        <f t="shared" si="11"/>
        <v>68</v>
      </c>
      <c r="Q208">
        <f t="shared" si="12"/>
        <v>23</v>
      </c>
    </row>
    <row r="209" spans="11:17" x14ac:dyDescent="0.25">
      <c r="K209" s="6">
        <v>-5</v>
      </c>
      <c r="L209">
        <v>7</v>
      </c>
      <c r="M209" s="7"/>
      <c r="N209" t="str">
        <f t="shared" si="10"/>
        <v>0,120540210Plywood 12-19 cellplast 70OK17</v>
      </c>
      <c r="P209" s="129">
        <f t="shared" si="11"/>
        <v>84</v>
      </c>
      <c r="Q209">
        <f t="shared" si="12"/>
        <v>39</v>
      </c>
    </row>
    <row r="210" spans="11:17" x14ac:dyDescent="0.25">
      <c r="K210" s="6">
        <v>-5</v>
      </c>
      <c r="L210">
        <v>12</v>
      </c>
      <c r="M210" s="7"/>
      <c r="N210" t="str">
        <f t="shared" si="10"/>
        <v>0,120540210Plywood 12-19 cellplast 120OK17</v>
      </c>
      <c r="P210" s="129">
        <f t="shared" si="11"/>
        <v>72</v>
      </c>
      <c r="Q210">
        <f t="shared" si="12"/>
        <v>27</v>
      </c>
    </row>
    <row r="211" spans="11:17" ht="15.75" thickBot="1" x14ac:dyDescent="0.3">
      <c r="K211" s="8">
        <v>-5</v>
      </c>
      <c r="L211" s="9">
        <v>20</v>
      </c>
      <c r="M211" s="10"/>
      <c r="N211" s="9" t="str">
        <f t="shared" si="10"/>
        <v>-------Fryser innan täck</v>
      </c>
      <c r="O211" s="9"/>
      <c r="P211" s="130">
        <f t="shared" si="11"/>
        <v>51</v>
      </c>
      <c r="Q211">
        <f t="shared" si="12"/>
        <v>6</v>
      </c>
    </row>
    <row r="212" spans="11:17" x14ac:dyDescent="0.25">
      <c r="K212" s="6">
        <v>-10</v>
      </c>
      <c r="L212">
        <v>0</v>
      </c>
      <c r="M212" s="7"/>
      <c r="N212" t="str">
        <f t="shared" si="10"/>
        <v>0,220540310Plywood 12-19 cellplast 100OK17</v>
      </c>
      <c r="P212" s="129">
        <f t="shared" si="11"/>
        <v>69</v>
      </c>
      <c r="Q212">
        <f t="shared" si="12"/>
        <v>24</v>
      </c>
    </row>
    <row r="213" spans="11:17" x14ac:dyDescent="0.25">
      <c r="K213" s="6">
        <v>-10</v>
      </c>
      <c r="L213">
        <v>2</v>
      </c>
      <c r="M213" s="7"/>
      <c r="N213" t="str">
        <f t="shared" si="10"/>
        <v>0,120540210Plywood 12-19 cellplast 70OK17</v>
      </c>
      <c r="P213" s="129">
        <f t="shared" si="11"/>
        <v>84</v>
      </c>
      <c r="Q213">
        <f t="shared" si="12"/>
        <v>39</v>
      </c>
    </row>
    <row r="214" spans="11:17" x14ac:dyDescent="0.25">
      <c r="K214" s="6">
        <v>-10</v>
      </c>
      <c r="L214">
        <v>7</v>
      </c>
      <c r="M214" s="7"/>
      <c r="N214" t="str">
        <f t="shared" si="10"/>
        <v>Bas+0%20540210Plywood 12-19 cellplast 70OK17</v>
      </c>
      <c r="P214" s="129">
        <f t="shared" si="11"/>
        <v>59</v>
      </c>
      <c r="Q214">
        <f t="shared" si="12"/>
        <v>14</v>
      </c>
    </row>
    <row r="215" spans="11:17" x14ac:dyDescent="0.25">
      <c r="K215" s="6">
        <v>-10</v>
      </c>
      <c r="L215">
        <v>12</v>
      </c>
      <c r="M215" s="7"/>
      <c r="N215" t="str">
        <f t="shared" si="10"/>
        <v>-------Fryser innan täck</v>
      </c>
      <c r="P215" s="129">
        <f t="shared" si="11"/>
        <v>51</v>
      </c>
      <c r="Q215">
        <f t="shared" si="12"/>
        <v>6</v>
      </c>
    </row>
    <row r="216" spans="11:17" ht="15.75" thickBot="1" x14ac:dyDescent="0.3">
      <c r="K216" s="6">
        <v>-10</v>
      </c>
      <c r="L216">
        <v>20</v>
      </c>
      <c r="M216" s="7"/>
      <c r="N216" t="str">
        <f t="shared" si="10"/>
        <v>-------Fryser innan täck</v>
      </c>
      <c r="P216" s="129">
        <f t="shared" si="11"/>
        <v>51</v>
      </c>
      <c r="Q216">
        <f t="shared" si="12"/>
        <v>6</v>
      </c>
    </row>
    <row r="217" spans="11:17" x14ac:dyDescent="0.25">
      <c r="K217" s="3">
        <v>-15</v>
      </c>
      <c r="L217" s="4">
        <v>0</v>
      </c>
      <c r="M217" s="5"/>
      <c r="N217" s="4" t="str">
        <f t="shared" si="10"/>
        <v>Bas+0%15540220Plywood 12-19 cellplast 100OK17</v>
      </c>
      <c r="O217" s="4"/>
      <c r="P217" s="128">
        <f t="shared" si="11"/>
        <v>85</v>
      </c>
      <c r="Q217">
        <f t="shared" si="12"/>
        <v>40</v>
      </c>
    </row>
    <row r="218" spans="11:17" x14ac:dyDescent="0.25">
      <c r="K218" s="6">
        <v>-15</v>
      </c>
      <c r="L218">
        <v>2</v>
      </c>
      <c r="M218" s="7"/>
      <c r="N218" t="str">
        <f t="shared" si="10"/>
        <v>-------Når ej 6 MPa</v>
      </c>
      <c r="P218" s="129">
        <f t="shared" si="11"/>
        <v>47</v>
      </c>
      <c r="Q218">
        <f t="shared" si="12"/>
        <v>2</v>
      </c>
    </row>
    <row r="219" spans="11:17" x14ac:dyDescent="0.25">
      <c r="K219" s="6">
        <v>-15</v>
      </c>
      <c r="L219">
        <v>7</v>
      </c>
      <c r="M219" s="7"/>
      <c r="N219" t="str">
        <f t="shared" si="10"/>
        <v>-------Fryser innan täck</v>
      </c>
      <c r="P219" s="129">
        <f t="shared" si="11"/>
        <v>51</v>
      </c>
      <c r="Q219">
        <f t="shared" si="12"/>
        <v>6</v>
      </c>
    </row>
    <row r="220" spans="11:17" x14ac:dyDescent="0.25">
      <c r="K220" s="6">
        <v>-15</v>
      </c>
      <c r="L220">
        <v>12</v>
      </c>
      <c r="M220" s="7"/>
      <c r="N220" t="str">
        <f t="shared" si="10"/>
        <v>-------Fryser innan täck</v>
      </c>
      <c r="P220" s="129">
        <f t="shared" si="11"/>
        <v>51</v>
      </c>
      <c r="Q220">
        <f t="shared" si="12"/>
        <v>6</v>
      </c>
    </row>
    <row r="221" spans="11:17" ht="15.75" thickBot="1" x14ac:dyDescent="0.3">
      <c r="K221" s="8">
        <v>-15</v>
      </c>
      <c r="L221" s="9">
        <v>20</v>
      </c>
      <c r="M221" s="10"/>
      <c r="N221" s="9" t="str">
        <f t="shared" si="10"/>
        <v>-------Fryser innan täck</v>
      </c>
      <c r="O221" s="9"/>
      <c r="P221" s="130">
        <f t="shared" si="11"/>
        <v>51</v>
      </c>
      <c r="Q221">
        <f t="shared" si="12"/>
        <v>6</v>
      </c>
    </row>
    <row r="222" spans="11:17" x14ac:dyDescent="0.25">
      <c r="K222" s="6">
        <v>-20</v>
      </c>
      <c r="L222">
        <v>0</v>
      </c>
      <c r="M222" s="7"/>
      <c r="N222" t="str">
        <f t="shared" si="10"/>
        <v>-------Når ej 6 MPa</v>
      </c>
      <c r="P222" s="129">
        <f t="shared" si="11"/>
        <v>47</v>
      </c>
      <c r="Q222">
        <f t="shared" si="12"/>
        <v>2</v>
      </c>
    </row>
    <row r="223" spans="11:17" x14ac:dyDescent="0.25">
      <c r="K223" s="6">
        <v>-20</v>
      </c>
      <c r="L223">
        <v>2</v>
      </c>
      <c r="M223" s="7"/>
      <c r="N223" t="str">
        <f t="shared" si="10"/>
        <v>-------Fryser innan täck</v>
      </c>
      <c r="P223" s="129">
        <f t="shared" si="11"/>
        <v>51</v>
      </c>
      <c r="Q223">
        <f t="shared" si="12"/>
        <v>6</v>
      </c>
    </row>
    <row r="224" spans="11:17" x14ac:dyDescent="0.25">
      <c r="K224" s="6">
        <v>-20</v>
      </c>
      <c r="L224">
        <v>7</v>
      </c>
      <c r="M224" s="7"/>
      <c r="N224" t="str">
        <f t="shared" si="10"/>
        <v>-------Fryser innan täck</v>
      </c>
      <c r="P224" s="129">
        <f t="shared" si="11"/>
        <v>51</v>
      </c>
      <c r="Q224">
        <f t="shared" si="12"/>
        <v>6</v>
      </c>
    </row>
    <row r="225" spans="11:17" x14ac:dyDescent="0.25">
      <c r="K225" s="6">
        <v>-20</v>
      </c>
      <c r="L225">
        <v>12</v>
      </c>
      <c r="M225" s="7"/>
      <c r="N225" t="str">
        <f t="shared" si="10"/>
        <v>-------Fryser innan täck</v>
      </c>
      <c r="P225" s="129">
        <f t="shared" si="11"/>
        <v>51</v>
      </c>
      <c r="Q225">
        <f t="shared" si="12"/>
        <v>6</v>
      </c>
    </row>
    <row r="226" spans="11:17" ht="15.75" thickBot="1" x14ac:dyDescent="0.3">
      <c r="K226" s="8">
        <v>-20</v>
      </c>
      <c r="L226" s="9">
        <v>20</v>
      </c>
      <c r="M226" s="10"/>
      <c r="N226" s="9" t="str">
        <f t="shared" si="10"/>
        <v>-------Fryser innan täck</v>
      </c>
      <c r="O226" s="9"/>
      <c r="P226" s="130">
        <f t="shared" si="11"/>
        <v>51</v>
      </c>
      <c r="Q226">
        <f t="shared" si="12"/>
        <v>6</v>
      </c>
    </row>
    <row r="227" spans="11:17" x14ac:dyDescent="0.25">
      <c r="K227" s="3">
        <v>20</v>
      </c>
      <c r="L227" s="4">
        <v>0</v>
      </c>
      <c r="M227" s="5" t="s">
        <v>35</v>
      </c>
      <c r="N227" s="4" t="str">
        <f t="shared" ref="N227:N271" si="13">G2</f>
        <v>0,21520---Plywood 15, oisoleratOK17</v>
      </c>
      <c r="O227" s="4"/>
      <c r="P227" s="128">
        <f t="shared" si="11"/>
        <v>75</v>
      </c>
      <c r="Q227">
        <f t="shared" si="12"/>
        <v>30</v>
      </c>
    </row>
    <row r="228" spans="11:17" x14ac:dyDescent="0.25">
      <c r="K228" s="6">
        <v>20</v>
      </c>
      <c r="L228">
        <v>2</v>
      </c>
      <c r="M228" s="7"/>
      <c r="N228" t="str">
        <f t="shared" si="13"/>
        <v>0,21520---Plywood 15, oisoleratOK17</v>
      </c>
      <c r="P228" s="129">
        <f t="shared" si="11"/>
        <v>75</v>
      </c>
      <c r="Q228">
        <f t="shared" si="12"/>
        <v>30</v>
      </c>
    </row>
    <row r="229" spans="11:17" x14ac:dyDescent="0.25">
      <c r="K229" s="6">
        <v>20</v>
      </c>
      <c r="L229">
        <v>7</v>
      </c>
      <c r="M229" s="7"/>
      <c r="N229" t="str">
        <f t="shared" si="13"/>
        <v>0,21520---Plywood 15, oisoleratOK17</v>
      </c>
      <c r="P229" s="129">
        <f t="shared" si="11"/>
        <v>75</v>
      </c>
      <c r="Q229">
        <f t="shared" si="12"/>
        <v>30</v>
      </c>
    </row>
    <row r="230" spans="11:17" x14ac:dyDescent="0.25">
      <c r="K230" s="6">
        <v>20</v>
      </c>
      <c r="L230">
        <v>12</v>
      </c>
      <c r="M230" s="7"/>
      <c r="N230" t="str">
        <f t="shared" si="13"/>
        <v>0,21520---Plywood 15, oisoleratOK17</v>
      </c>
      <c r="P230" s="129">
        <f t="shared" si="11"/>
        <v>75</v>
      </c>
      <c r="Q230">
        <f t="shared" si="12"/>
        <v>30</v>
      </c>
    </row>
    <row r="231" spans="11:17" ht="15.75" thickBot="1" x14ac:dyDescent="0.3">
      <c r="K231" s="6">
        <v>20</v>
      </c>
      <c r="L231">
        <v>20</v>
      </c>
      <c r="M231" s="7"/>
      <c r="N231" t="str">
        <f t="shared" si="13"/>
        <v>0,21520---Plywood 15, oisoleratOK17</v>
      </c>
      <c r="P231" s="129">
        <f t="shared" si="11"/>
        <v>75</v>
      </c>
      <c r="Q231">
        <f t="shared" si="12"/>
        <v>30</v>
      </c>
    </row>
    <row r="232" spans="11:17" x14ac:dyDescent="0.25">
      <c r="K232" s="3">
        <v>15</v>
      </c>
      <c r="L232" s="4">
        <v>0</v>
      </c>
      <c r="M232" s="5"/>
      <c r="N232" s="4" t="str">
        <f t="shared" si="13"/>
        <v>0,11515---Plywood 15, oisoleratOK17</v>
      </c>
      <c r="O232" s="4"/>
      <c r="P232" s="128">
        <f t="shared" si="11"/>
        <v>76</v>
      </c>
      <c r="Q232">
        <f t="shared" si="12"/>
        <v>31</v>
      </c>
    </row>
    <row r="233" spans="11:17" x14ac:dyDescent="0.25">
      <c r="K233" s="6">
        <v>15</v>
      </c>
      <c r="L233">
        <v>2</v>
      </c>
      <c r="M233" s="7"/>
      <c r="N233" t="str">
        <f t="shared" si="13"/>
        <v>0,11515---Plywood 15, oisoleratOK17</v>
      </c>
      <c r="P233" s="129">
        <f t="shared" si="11"/>
        <v>76</v>
      </c>
      <c r="Q233">
        <f t="shared" si="12"/>
        <v>31</v>
      </c>
    </row>
    <row r="234" spans="11:17" x14ac:dyDescent="0.25">
      <c r="K234" s="6">
        <v>15</v>
      </c>
      <c r="L234">
        <v>7</v>
      </c>
      <c r="M234" s="7"/>
      <c r="N234" t="str">
        <f t="shared" si="13"/>
        <v>0,11515---Plywood 15, oisoleratOK17</v>
      </c>
      <c r="P234" s="129">
        <f t="shared" si="11"/>
        <v>76</v>
      </c>
      <c r="Q234">
        <f t="shared" si="12"/>
        <v>31</v>
      </c>
    </row>
    <row r="235" spans="11:17" x14ac:dyDescent="0.25">
      <c r="K235" s="6">
        <v>15</v>
      </c>
      <c r="L235">
        <v>12</v>
      </c>
      <c r="M235" s="7"/>
      <c r="N235" t="str">
        <f t="shared" si="13"/>
        <v>0,11515---Plywood 15, oisoleratOK17</v>
      </c>
      <c r="P235" s="129">
        <f t="shared" si="11"/>
        <v>76</v>
      </c>
      <c r="Q235">
        <f t="shared" si="12"/>
        <v>31</v>
      </c>
    </row>
    <row r="236" spans="11:17" ht="15.75" thickBot="1" x14ac:dyDescent="0.3">
      <c r="K236" s="8">
        <v>15</v>
      </c>
      <c r="L236" s="9">
        <v>20</v>
      </c>
      <c r="M236" s="10"/>
      <c r="N236" s="9" t="str">
        <f t="shared" si="13"/>
        <v>0,11515---Plywood 15, oisoleratOK17</v>
      </c>
      <c r="O236" s="9"/>
      <c r="P236" s="130">
        <f t="shared" si="11"/>
        <v>76</v>
      </c>
      <c r="Q236">
        <f t="shared" si="12"/>
        <v>31</v>
      </c>
    </row>
    <row r="237" spans="11:17" x14ac:dyDescent="0.25">
      <c r="K237" s="6">
        <v>10</v>
      </c>
      <c r="L237">
        <v>0</v>
      </c>
      <c r="M237" s="7"/>
      <c r="N237" t="str">
        <f t="shared" si="13"/>
        <v>Bas+0%1510---Plywood 15, oisoleratOK17</v>
      </c>
      <c r="P237" s="129">
        <f t="shared" si="11"/>
        <v>86</v>
      </c>
      <c r="Q237">
        <f t="shared" si="12"/>
        <v>41</v>
      </c>
    </row>
    <row r="238" spans="11:17" x14ac:dyDescent="0.25">
      <c r="K238" s="6">
        <v>10</v>
      </c>
      <c r="L238">
        <v>2</v>
      </c>
      <c r="M238" s="7"/>
      <c r="N238" t="str">
        <f t="shared" si="13"/>
        <v>-------Når ej 6 MPa</v>
      </c>
      <c r="P238" s="129">
        <f t="shared" si="11"/>
        <v>47</v>
      </c>
      <c r="Q238">
        <f t="shared" si="12"/>
        <v>2</v>
      </c>
    </row>
    <row r="239" spans="11:17" x14ac:dyDescent="0.25">
      <c r="K239" s="6">
        <v>10</v>
      </c>
      <c r="L239">
        <v>7</v>
      </c>
      <c r="M239" s="7"/>
      <c r="N239" t="str">
        <f t="shared" si="13"/>
        <v>-------Når ej 6 MPa</v>
      </c>
      <c r="P239" s="129">
        <f t="shared" si="11"/>
        <v>47</v>
      </c>
      <c r="Q239">
        <f t="shared" si="12"/>
        <v>2</v>
      </c>
    </row>
    <row r="240" spans="11:17" x14ac:dyDescent="0.25">
      <c r="K240" s="6">
        <v>10</v>
      </c>
      <c r="L240">
        <v>12</v>
      </c>
      <c r="M240" s="7"/>
      <c r="N240" t="str">
        <f t="shared" si="13"/>
        <v>-------Når ej 6 MPa</v>
      </c>
      <c r="P240" s="129">
        <f t="shared" si="11"/>
        <v>47</v>
      </c>
      <c r="Q240">
        <f t="shared" si="12"/>
        <v>2</v>
      </c>
    </row>
    <row r="241" spans="11:17" ht="15.75" thickBot="1" x14ac:dyDescent="0.3">
      <c r="K241" s="6">
        <v>10</v>
      </c>
      <c r="L241">
        <v>20</v>
      </c>
      <c r="M241" s="7"/>
      <c r="N241" t="str">
        <f t="shared" si="13"/>
        <v>-------Når ej 6 MPa</v>
      </c>
      <c r="P241" s="129">
        <f t="shared" si="11"/>
        <v>47</v>
      </c>
      <c r="Q241">
        <f t="shared" si="12"/>
        <v>2</v>
      </c>
    </row>
    <row r="242" spans="11:17" x14ac:dyDescent="0.25">
      <c r="K242" s="3">
        <v>5</v>
      </c>
      <c r="L242" s="4">
        <v>0</v>
      </c>
      <c r="M242" s="5"/>
      <c r="N242" s="4" t="str">
        <f t="shared" si="13"/>
        <v>0,2205401-Plywood 15 cellplast 30OK17</v>
      </c>
      <c r="O242" s="4"/>
      <c r="P242" s="128">
        <f t="shared" si="11"/>
        <v>87</v>
      </c>
      <c r="Q242">
        <f t="shared" si="12"/>
        <v>42</v>
      </c>
    </row>
    <row r="243" spans="11:17" x14ac:dyDescent="0.25">
      <c r="K243" s="6">
        <v>5</v>
      </c>
      <c r="L243">
        <v>2</v>
      </c>
      <c r="M243" s="7"/>
      <c r="N243" t="str">
        <f t="shared" si="13"/>
        <v>0,220540110Plywood 12-19  cellplast 50OK17</v>
      </c>
      <c r="P243" s="129">
        <f t="shared" si="11"/>
        <v>88</v>
      </c>
      <c r="Q243">
        <f t="shared" si="12"/>
        <v>43</v>
      </c>
    </row>
    <row r="244" spans="11:17" x14ac:dyDescent="0.25">
      <c r="K244" s="6">
        <v>5</v>
      </c>
      <c r="L244">
        <v>7</v>
      </c>
      <c r="M244" s="7"/>
      <c r="N244" t="str">
        <f t="shared" si="13"/>
        <v>0,220540110Plywood 12-19 cellplast 70OK17</v>
      </c>
      <c r="P244" s="129">
        <f t="shared" si="11"/>
        <v>89</v>
      </c>
      <c r="Q244">
        <f t="shared" si="12"/>
        <v>44</v>
      </c>
    </row>
    <row r="245" spans="11:17" x14ac:dyDescent="0.25">
      <c r="K245" s="6">
        <v>5</v>
      </c>
      <c r="L245">
        <v>12</v>
      </c>
      <c r="M245" s="7"/>
      <c r="N245" t="str">
        <f t="shared" si="13"/>
        <v>0,220540110Plywood 12-19 cellplast 100OK17</v>
      </c>
      <c r="P245" s="129">
        <f t="shared" si="11"/>
        <v>90</v>
      </c>
      <c r="Q245">
        <f t="shared" si="12"/>
        <v>45</v>
      </c>
    </row>
    <row r="246" spans="11:17" ht="15.75" thickBot="1" x14ac:dyDescent="0.3">
      <c r="K246" s="8">
        <v>5</v>
      </c>
      <c r="L246" s="9">
        <v>20</v>
      </c>
      <c r="M246" s="10"/>
      <c r="N246" s="9" t="str">
        <f t="shared" si="13"/>
        <v>0,220540110Plywood 12-19 cellplast 100OK17</v>
      </c>
      <c r="O246" s="9"/>
      <c r="P246" s="130">
        <f t="shared" si="11"/>
        <v>90</v>
      </c>
      <c r="Q246">
        <f t="shared" si="12"/>
        <v>45</v>
      </c>
    </row>
    <row r="247" spans="11:17" x14ac:dyDescent="0.25">
      <c r="K247" s="6">
        <v>0</v>
      </c>
      <c r="L247">
        <v>0</v>
      </c>
      <c r="M247" s="7"/>
      <c r="N247" t="str">
        <f t="shared" si="13"/>
        <v>0,2205401PresenningPlywood 12-19  cellplast 50OK17</v>
      </c>
      <c r="P247" s="129">
        <f t="shared" si="11"/>
        <v>91</v>
      </c>
      <c r="Q247">
        <f t="shared" si="12"/>
        <v>46</v>
      </c>
    </row>
    <row r="248" spans="11:17" x14ac:dyDescent="0.25">
      <c r="K248" s="6">
        <v>0</v>
      </c>
      <c r="L248">
        <v>2</v>
      </c>
      <c r="M248" s="7"/>
      <c r="N248" t="str">
        <f t="shared" si="13"/>
        <v>0,220540210Plywood 15 cellplast 30OK17</v>
      </c>
      <c r="P248" s="129">
        <f t="shared" si="11"/>
        <v>92</v>
      </c>
      <c r="Q248">
        <f t="shared" si="12"/>
        <v>47</v>
      </c>
    </row>
    <row r="249" spans="11:17" x14ac:dyDescent="0.25">
      <c r="K249" s="6">
        <v>0</v>
      </c>
      <c r="L249">
        <v>7</v>
      </c>
      <c r="M249" s="7"/>
      <c r="N249" t="str">
        <f t="shared" si="13"/>
        <v>0,220540210Plywood 12-19 cellplast 70OK17</v>
      </c>
      <c r="P249" s="129">
        <f t="shared" si="11"/>
        <v>82</v>
      </c>
      <c r="Q249">
        <f t="shared" si="12"/>
        <v>37</v>
      </c>
    </row>
    <row r="250" spans="11:17" x14ac:dyDescent="0.25">
      <c r="K250" s="6">
        <v>0</v>
      </c>
      <c r="L250">
        <v>12</v>
      </c>
      <c r="M250" s="7"/>
      <c r="N250" t="str">
        <f t="shared" si="13"/>
        <v>0,220540310Plywood 12-19 cellplast 100OK17</v>
      </c>
      <c r="P250" s="129">
        <f t="shared" si="11"/>
        <v>69</v>
      </c>
      <c r="Q250">
        <f t="shared" si="12"/>
        <v>24</v>
      </c>
    </row>
    <row r="251" spans="11:17" ht="15.75" thickBot="1" x14ac:dyDescent="0.3">
      <c r="K251" s="6">
        <v>0</v>
      </c>
      <c r="L251">
        <v>20</v>
      </c>
      <c r="M251" s="7"/>
      <c r="N251" t="str">
        <f t="shared" si="13"/>
        <v>0,120540110Plywood 15 cellplast 30OK17</v>
      </c>
      <c r="P251" s="129">
        <f t="shared" si="11"/>
        <v>81</v>
      </c>
      <c r="Q251">
        <f t="shared" si="12"/>
        <v>36</v>
      </c>
    </row>
    <row r="252" spans="11:17" x14ac:dyDescent="0.25">
      <c r="K252" s="3">
        <v>-5</v>
      </c>
      <c r="L252" s="4">
        <v>0</v>
      </c>
      <c r="M252" s="5"/>
      <c r="N252" s="4" t="str">
        <f t="shared" si="13"/>
        <v>0,220540210Plywood 15 cellplast 30OK17</v>
      </c>
      <c r="O252" s="4"/>
      <c r="P252" s="128">
        <f t="shared" si="11"/>
        <v>92</v>
      </c>
      <c r="Q252">
        <f t="shared" si="12"/>
        <v>47</v>
      </c>
    </row>
    <row r="253" spans="11:17" x14ac:dyDescent="0.25">
      <c r="K253" s="6">
        <v>-5</v>
      </c>
      <c r="L253">
        <v>2</v>
      </c>
      <c r="M253" s="7"/>
      <c r="N253" t="str">
        <f t="shared" si="13"/>
        <v>0,220540210Plywood 12-19 cellplast 70OK17</v>
      </c>
      <c r="P253" s="129">
        <f t="shared" si="11"/>
        <v>82</v>
      </c>
      <c r="Q253">
        <f t="shared" si="12"/>
        <v>37</v>
      </c>
    </row>
    <row r="254" spans="11:17" x14ac:dyDescent="0.25">
      <c r="K254" s="6">
        <v>-5</v>
      </c>
      <c r="L254">
        <v>7</v>
      </c>
      <c r="M254" s="7"/>
      <c r="N254" t="str">
        <f t="shared" si="13"/>
        <v>0,120540110Plywood 12-19 cellplast 70OK17</v>
      </c>
      <c r="P254" s="129">
        <f t="shared" si="11"/>
        <v>67</v>
      </c>
      <c r="Q254">
        <f t="shared" si="12"/>
        <v>22</v>
      </c>
    </row>
    <row r="255" spans="11:17" x14ac:dyDescent="0.25">
      <c r="K255" s="6">
        <v>-5</v>
      </c>
      <c r="L255">
        <v>12</v>
      </c>
      <c r="M255" s="7"/>
      <c r="N255" t="str">
        <f t="shared" si="13"/>
        <v>0,120540110Plywood 12-19 cellplast 100OK17</v>
      </c>
      <c r="P255" s="129">
        <f t="shared" si="11"/>
        <v>68</v>
      </c>
      <c r="Q255">
        <f t="shared" si="12"/>
        <v>23</v>
      </c>
    </row>
    <row r="256" spans="11:17" ht="15.75" thickBot="1" x14ac:dyDescent="0.3">
      <c r="K256" s="8">
        <v>-5</v>
      </c>
      <c r="L256" s="9">
        <v>20</v>
      </c>
      <c r="M256" s="10"/>
      <c r="N256" s="9" t="str">
        <f t="shared" si="13"/>
        <v>-------Fryser innan täck</v>
      </c>
      <c r="O256" s="9"/>
      <c r="P256" s="130">
        <f t="shared" si="11"/>
        <v>51</v>
      </c>
      <c r="Q256">
        <f t="shared" si="12"/>
        <v>6</v>
      </c>
    </row>
    <row r="257" spans="11:17" x14ac:dyDescent="0.25">
      <c r="K257" s="6">
        <v>-10</v>
      </c>
      <c r="L257">
        <v>0</v>
      </c>
      <c r="M257" s="7"/>
      <c r="N257" t="str">
        <f t="shared" si="13"/>
        <v>0,220540210Plywood 12-19  cellplast 50OK17</v>
      </c>
      <c r="P257" s="129">
        <f t="shared" si="11"/>
        <v>79</v>
      </c>
      <c r="Q257">
        <f t="shared" si="12"/>
        <v>34</v>
      </c>
    </row>
    <row r="258" spans="11:17" x14ac:dyDescent="0.25">
      <c r="K258" s="6">
        <v>-10</v>
      </c>
      <c r="L258">
        <v>2</v>
      </c>
      <c r="M258" s="7"/>
      <c r="N258" t="str">
        <f t="shared" si="13"/>
        <v>0,120540110Plywood 12-19 cellplast 70OK17</v>
      </c>
      <c r="P258" s="129">
        <f t="shared" ref="P258:P321" si="14">MATCH(N258, _xlfn.UNIQUE($N$2:$N$361), 0)</f>
        <v>67</v>
      </c>
      <c r="Q258">
        <f t="shared" ref="Q258:Q321" si="15">MATCH(N258, _xlfn.UNIQUE($N$47:$N$361), 0)</f>
        <v>22</v>
      </c>
    </row>
    <row r="259" spans="11:17" x14ac:dyDescent="0.25">
      <c r="K259" s="6">
        <v>-10</v>
      </c>
      <c r="L259">
        <v>7</v>
      </c>
      <c r="M259" s="7"/>
      <c r="N259" t="str">
        <f t="shared" si="13"/>
        <v>0,120540210Plywood 12-19 cellplast 100OK17</v>
      </c>
      <c r="P259" s="129">
        <f t="shared" si="14"/>
        <v>71</v>
      </c>
      <c r="Q259">
        <f t="shared" si="15"/>
        <v>26</v>
      </c>
    </row>
    <row r="260" spans="11:17" x14ac:dyDescent="0.25">
      <c r="K260" s="6">
        <v>-10</v>
      </c>
      <c r="L260">
        <v>12</v>
      </c>
      <c r="M260" s="7"/>
      <c r="N260" t="str">
        <f t="shared" si="13"/>
        <v>-------Fryser innan täck</v>
      </c>
      <c r="P260" s="129">
        <f t="shared" si="14"/>
        <v>51</v>
      </c>
      <c r="Q260">
        <f t="shared" si="15"/>
        <v>6</v>
      </c>
    </row>
    <row r="261" spans="11:17" ht="15.75" thickBot="1" x14ac:dyDescent="0.3">
      <c r="K261" s="6">
        <v>-10</v>
      </c>
      <c r="L261">
        <v>20</v>
      </c>
      <c r="M261" s="7"/>
      <c r="N261" t="str">
        <f t="shared" si="13"/>
        <v>-------Fryser innan täck</v>
      </c>
      <c r="P261" s="129">
        <f t="shared" si="14"/>
        <v>51</v>
      </c>
      <c r="Q261">
        <f t="shared" si="15"/>
        <v>6</v>
      </c>
    </row>
    <row r="262" spans="11:17" x14ac:dyDescent="0.25">
      <c r="K262" s="3">
        <v>-15</v>
      </c>
      <c r="L262" s="4">
        <v>0</v>
      </c>
      <c r="M262" s="5"/>
      <c r="N262" s="4" t="str">
        <f t="shared" si="13"/>
        <v>0,115540220Plywood 12-19 cellplast 120OK17</v>
      </c>
      <c r="O262" s="4"/>
      <c r="P262" s="128">
        <f t="shared" si="14"/>
        <v>93</v>
      </c>
      <c r="Q262">
        <f t="shared" si="15"/>
        <v>48</v>
      </c>
    </row>
    <row r="263" spans="11:17" x14ac:dyDescent="0.25">
      <c r="K263" s="6">
        <v>-15</v>
      </c>
      <c r="L263">
        <v>2</v>
      </c>
      <c r="M263" s="7"/>
      <c r="N263" t="str">
        <f t="shared" si="13"/>
        <v>Bas+0%15540320Plywood 12-19 cellplast 120OK17</v>
      </c>
      <c r="P263" s="129">
        <f t="shared" si="14"/>
        <v>94</v>
      </c>
      <c r="Q263">
        <f t="shared" si="15"/>
        <v>49</v>
      </c>
    </row>
    <row r="264" spans="11:17" x14ac:dyDescent="0.25">
      <c r="K264" s="6">
        <v>-15</v>
      </c>
      <c r="L264">
        <v>7</v>
      </c>
      <c r="M264" s="7"/>
      <c r="N264" t="str">
        <f t="shared" si="13"/>
        <v>-------Fryser innan täck</v>
      </c>
      <c r="P264" s="129">
        <f t="shared" si="14"/>
        <v>51</v>
      </c>
      <c r="Q264">
        <f t="shared" si="15"/>
        <v>6</v>
      </c>
    </row>
    <row r="265" spans="11:17" x14ac:dyDescent="0.25">
      <c r="K265" s="6">
        <v>-15</v>
      </c>
      <c r="L265">
        <v>12</v>
      </c>
      <c r="M265" s="7"/>
      <c r="N265" t="str">
        <f t="shared" si="13"/>
        <v>-------Fryser innan täck</v>
      </c>
      <c r="P265" s="129">
        <f t="shared" si="14"/>
        <v>51</v>
      </c>
      <c r="Q265">
        <f t="shared" si="15"/>
        <v>6</v>
      </c>
    </row>
    <row r="266" spans="11:17" ht="15.75" thickBot="1" x14ac:dyDescent="0.3">
      <c r="K266" s="8">
        <v>-15</v>
      </c>
      <c r="L266" s="9">
        <v>20</v>
      </c>
      <c r="M266" s="10"/>
      <c r="N266" s="9" t="str">
        <f t="shared" si="13"/>
        <v>-------Fryser innan täck</v>
      </c>
      <c r="O266" s="9"/>
      <c r="P266" s="130">
        <f t="shared" si="14"/>
        <v>51</v>
      </c>
      <c r="Q266">
        <f t="shared" si="15"/>
        <v>6</v>
      </c>
    </row>
    <row r="267" spans="11:17" x14ac:dyDescent="0.25">
      <c r="K267" s="6">
        <v>-20</v>
      </c>
      <c r="L267">
        <v>0</v>
      </c>
      <c r="M267" s="7"/>
      <c r="N267" t="str">
        <f t="shared" si="13"/>
        <v>-------Når ej 6 MPa</v>
      </c>
      <c r="P267" s="129">
        <f t="shared" si="14"/>
        <v>47</v>
      </c>
      <c r="Q267">
        <f t="shared" si="15"/>
        <v>2</v>
      </c>
    </row>
    <row r="268" spans="11:17" x14ac:dyDescent="0.25">
      <c r="K268" s="6">
        <v>-20</v>
      </c>
      <c r="L268">
        <v>2</v>
      </c>
      <c r="M268" s="7"/>
      <c r="N268" t="str">
        <f t="shared" si="13"/>
        <v>-------Fryser innan täck</v>
      </c>
      <c r="P268" s="129">
        <f t="shared" si="14"/>
        <v>51</v>
      </c>
      <c r="Q268">
        <f t="shared" si="15"/>
        <v>6</v>
      </c>
    </row>
    <row r="269" spans="11:17" x14ac:dyDescent="0.25">
      <c r="K269" s="6">
        <v>-20</v>
      </c>
      <c r="L269">
        <v>7</v>
      </c>
      <c r="M269" s="7"/>
      <c r="N269" t="str">
        <f t="shared" si="13"/>
        <v>-------Fryser innan täck</v>
      </c>
      <c r="P269" s="129">
        <f t="shared" si="14"/>
        <v>51</v>
      </c>
      <c r="Q269">
        <f t="shared" si="15"/>
        <v>6</v>
      </c>
    </row>
    <row r="270" spans="11:17" x14ac:dyDescent="0.25">
      <c r="K270" s="6">
        <v>-20</v>
      </c>
      <c r="L270">
        <v>12</v>
      </c>
      <c r="M270" s="7"/>
      <c r="N270" t="str">
        <f t="shared" si="13"/>
        <v>-------Fryser innan täck</v>
      </c>
      <c r="P270" s="129">
        <f t="shared" si="14"/>
        <v>51</v>
      </c>
      <c r="Q270">
        <f t="shared" si="15"/>
        <v>6</v>
      </c>
    </row>
    <row r="271" spans="11:17" ht="15.75" thickBot="1" x14ac:dyDescent="0.3">
      <c r="K271" s="8">
        <v>-20</v>
      </c>
      <c r="L271" s="9">
        <v>20</v>
      </c>
      <c r="M271" s="10"/>
      <c r="N271" s="9" t="str">
        <f t="shared" si="13"/>
        <v>-------Fryser innan täck</v>
      </c>
      <c r="O271" s="9"/>
      <c r="P271" s="130">
        <f t="shared" si="14"/>
        <v>51</v>
      </c>
      <c r="Q271">
        <f t="shared" si="15"/>
        <v>6</v>
      </c>
    </row>
    <row r="272" spans="11:17" x14ac:dyDescent="0.25">
      <c r="K272" s="3">
        <v>20</v>
      </c>
      <c r="L272" s="4">
        <v>0</v>
      </c>
      <c r="M272" s="5" t="s">
        <v>12</v>
      </c>
      <c r="N272" s="4" t="str">
        <f t="shared" ref="N272:N316" si="16">H2</f>
        <v>0,31520---Plywood 15, oisoleratOK17</v>
      </c>
      <c r="O272" s="4"/>
      <c r="P272" s="128">
        <f t="shared" si="14"/>
        <v>95</v>
      </c>
      <c r="Q272">
        <f t="shared" si="15"/>
        <v>50</v>
      </c>
    </row>
    <row r="273" spans="11:17" x14ac:dyDescent="0.25">
      <c r="K273" s="6">
        <v>20</v>
      </c>
      <c r="L273">
        <v>2</v>
      </c>
      <c r="M273" s="7"/>
      <c r="N273" t="str">
        <f t="shared" si="16"/>
        <v>0,31520---Plywood 15, oisoleratOK17</v>
      </c>
      <c r="P273" s="129">
        <f t="shared" si="14"/>
        <v>95</v>
      </c>
      <c r="Q273">
        <f t="shared" si="15"/>
        <v>50</v>
      </c>
    </row>
    <row r="274" spans="11:17" x14ac:dyDescent="0.25">
      <c r="K274" s="6">
        <v>20</v>
      </c>
      <c r="L274">
        <v>7</v>
      </c>
      <c r="M274" s="7"/>
      <c r="N274" t="str">
        <f t="shared" si="16"/>
        <v>0,31520---Plywood 15, oisoleratOK17</v>
      </c>
      <c r="P274" s="129">
        <f t="shared" si="14"/>
        <v>95</v>
      </c>
      <c r="Q274">
        <f t="shared" si="15"/>
        <v>50</v>
      </c>
    </row>
    <row r="275" spans="11:17" x14ac:dyDescent="0.25">
      <c r="K275" s="6">
        <v>20</v>
      </c>
      <c r="L275">
        <v>12</v>
      </c>
      <c r="M275" s="7"/>
      <c r="N275" t="str">
        <f t="shared" si="16"/>
        <v>0,31520---Plywood 15, oisoleratOK17</v>
      </c>
      <c r="P275" s="129">
        <f t="shared" si="14"/>
        <v>95</v>
      </c>
      <c r="Q275">
        <f t="shared" si="15"/>
        <v>50</v>
      </c>
    </row>
    <row r="276" spans="11:17" ht="15.75" thickBot="1" x14ac:dyDescent="0.3">
      <c r="K276" s="6">
        <v>20</v>
      </c>
      <c r="L276">
        <v>20</v>
      </c>
      <c r="M276" s="7"/>
      <c r="N276" t="str">
        <f t="shared" si="16"/>
        <v>0,31520---Plywood 15, oisoleratOK17</v>
      </c>
      <c r="P276" s="129">
        <f t="shared" si="14"/>
        <v>95</v>
      </c>
      <c r="Q276">
        <f t="shared" si="15"/>
        <v>50</v>
      </c>
    </row>
    <row r="277" spans="11:17" x14ac:dyDescent="0.25">
      <c r="K277" s="3">
        <v>15</v>
      </c>
      <c r="L277" s="4">
        <v>0</v>
      </c>
      <c r="M277" s="5"/>
      <c r="N277" s="4" t="str">
        <f t="shared" si="16"/>
        <v>0,21515---Plywood 15, oisoleratOK17</v>
      </c>
      <c r="O277" s="4"/>
      <c r="P277" s="128">
        <f t="shared" si="14"/>
        <v>96</v>
      </c>
      <c r="Q277">
        <f t="shared" si="15"/>
        <v>51</v>
      </c>
    </row>
    <row r="278" spans="11:17" x14ac:dyDescent="0.25">
      <c r="K278" s="6">
        <v>15</v>
      </c>
      <c r="L278">
        <v>2</v>
      </c>
      <c r="M278" s="7"/>
      <c r="N278" t="str">
        <f t="shared" si="16"/>
        <v>0,21515---Plywood 15, oisoleratOK17</v>
      </c>
      <c r="P278" s="129">
        <f t="shared" si="14"/>
        <v>96</v>
      </c>
      <c r="Q278">
        <f t="shared" si="15"/>
        <v>51</v>
      </c>
    </row>
    <row r="279" spans="11:17" x14ac:dyDescent="0.25">
      <c r="K279" s="6">
        <v>15</v>
      </c>
      <c r="L279">
        <v>7</v>
      </c>
      <c r="M279" s="7"/>
      <c r="N279" t="str">
        <f t="shared" si="16"/>
        <v>0,21515---Plywood 15, oisoleratOK17</v>
      </c>
      <c r="P279" s="129">
        <f t="shared" si="14"/>
        <v>96</v>
      </c>
      <c r="Q279">
        <f t="shared" si="15"/>
        <v>51</v>
      </c>
    </row>
    <row r="280" spans="11:17" x14ac:dyDescent="0.25">
      <c r="K280" s="6">
        <v>15</v>
      </c>
      <c r="L280">
        <v>12</v>
      </c>
      <c r="M280" s="7"/>
      <c r="N280" t="str">
        <f t="shared" si="16"/>
        <v>0,21515---Plywood 15, oisoleratOK17</v>
      </c>
      <c r="P280" s="129">
        <f t="shared" si="14"/>
        <v>96</v>
      </c>
      <c r="Q280">
        <f t="shared" si="15"/>
        <v>51</v>
      </c>
    </row>
    <row r="281" spans="11:17" ht="15.75" thickBot="1" x14ac:dyDescent="0.3">
      <c r="K281" s="8">
        <v>15</v>
      </c>
      <c r="L281" s="9">
        <v>20</v>
      </c>
      <c r="M281" s="10"/>
      <c r="N281" s="9" t="str">
        <f t="shared" si="16"/>
        <v>0,21515--PresenningPlywood 15, oisoleratOK17</v>
      </c>
      <c r="O281" s="9"/>
      <c r="P281" s="130">
        <f t="shared" si="14"/>
        <v>97</v>
      </c>
      <c r="Q281">
        <f t="shared" si="15"/>
        <v>52</v>
      </c>
    </row>
    <row r="282" spans="11:17" x14ac:dyDescent="0.25">
      <c r="K282" s="6">
        <v>10</v>
      </c>
      <c r="L282">
        <v>0</v>
      </c>
      <c r="M282" s="7"/>
      <c r="N282" t="str">
        <f t="shared" si="16"/>
        <v>0,11510---Plywood 15, oisoleratOK17</v>
      </c>
      <c r="P282" s="129">
        <f t="shared" si="14"/>
        <v>98</v>
      </c>
      <c r="Q282">
        <f t="shared" si="15"/>
        <v>53</v>
      </c>
    </row>
    <row r="283" spans="11:17" x14ac:dyDescent="0.25">
      <c r="K283" s="6">
        <v>10</v>
      </c>
      <c r="L283">
        <v>2</v>
      </c>
      <c r="M283" s="7"/>
      <c r="N283" t="str">
        <f t="shared" si="16"/>
        <v>Bas+0%1510---Plywood 15, oisoleratOK17</v>
      </c>
      <c r="P283" s="129">
        <f t="shared" si="14"/>
        <v>86</v>
      </c>
      <c r="Q283">
        <f t="shared" si="15"/>
        <v>41</v>
      </c>
    </row>
    <row r="284" spans="11:17" x14ac:dyDescent="0.25">
      <c r="K284" s="6">
        <v>10</v>
      </c>
      <c r="L284">
        <v>7</v>
      </c>
      <c r="M284" s="7"/>
      <c r="N284" t="str">
        <f t="shared" si="16"/>
        <v>Bas+0%1510--PresenningPlywood 15, oisoleratOK17</v>
      </c>
      <c r="P284" s="129">
        <f t="shared" si="14"/>
        <v>99</v>
      </c>
      <c r="Q284">
        <f t="shared" si="15"/>
        <v>54</v>
      </c>
    </row>
    <row r="285" spans="11:17" x14ac:dyDescent="0.25">
      <c r="K285" s="6">
        <v>10</v>
      </c>
      <c r="L285">
        <v>12</v>
      </c>
      <c r="M285" s="7"/>
      <c r="N285" t="str">
        <f t="shared" si="16"/>
        <v>Bas+0%1510--PresenningPlywood 15, oisoleratOK17</v>
      </c>
      <c r="P285" s="129">
        <f t="shared" si="14"/>
        <v>99</v>
      </c>
      <c r="Q285">
        <f t="shared" si="15"/>
        <v>54</v>
      </c>
    </row>
    <row r="286" spans="11:17" ht="15.75" thickBot="1" x14ac:dyDescent="0.3">
      <c r="K286" s="6">
        <v>10</v>
      </c>
      <c r="L286">
        <v>20</v>
      </c>
      <c r="M286" s="7"/>
      <c r="N286" t="str">
        <f t="shared" si="16"/>
        <v>Bas+0%1510--PresenningPlywood 15, oisoleratOK17</v>
      </c>
      <c r="P286" s="129">
        <f t="shared" si="14"/>
        <v>99</v>
      </c>
      <c r="Q286">
        <f t="shared" si="15"/>
        <v>54</v>
      </c>
    </row>
    <row r="287" spans="11:17" x14ac:dyDescent="0.25">
      <c r="K287" s="3">
        <v>5</v>
      </c>
      <c r="L287" s="4">
        <v>0</v>
      </c>
      <c r="M287" s="5"/>
      <c r="N287" s="4" t="str">
        <f t="shared" si="16"/>
        <v>0,3205402PresenningPlywood 15 cellplast 30OK17</v>
      </c>
      <c r="O287" s="4"/>
      <c r="P287" s="128">
        <f t="shared" si="14"/>
        <v>100</v>
      </c>
      <c r="Q287">
        <f t="shared" si="15"/>
        <v>55</v>
      </c>
    </row>
    <row r="288" spans="11:17" x14ac:dyDescent="0.25">
      <c r="K288" s="6">
        <v>5</v>
      </c>
      <c r="L288">
        <v>2</v>
      </c>
      <c r="M288" s="7"/>
      <c r="N288" t="str">
        <f t="shared" si="16"/>
        <v>0,320540210Plywood 12-19  cellplast 50OK17</v>
      </c>
      <c r="P288" s="129">
        <f t="shared" si="14"/>
        <v>101</v>
      </c>
      <c r="Q288">
        <f t="shared" si="15"/>
        <v>56</v>
      </c>
    </row>
    <row r="289" spans="11:17" x14ac:dyDescent="0.25">
      <c r="K289" s="6">
        <v>5</v>
      </c>
      <c r="L289">
        <v>7</v>
      </c>
      <c r="M289" s="7"/>
      <c r="N289" t="str">
        <f t="shared" si="16"/>
        <v>0,320540210Plywood 12-19 cellplast 100OK17</v>
      </c>
      <c r="P289" s="129">
        <f t="shared" si="14"/>
        <v>102</v>
      </c>
      <c r="Q289">
        <f t="shared" si="15"/>
        <v>57</v>
      </c>
    </row>
    <row r="290" spans="11:17" x14ac:dyDescent="0.25">
      <c r="K290" s="6">
        <v>5</v>
      </c>
      <c r="L290">
        <v>12</v>
      </c>
      <c r="M290" s="7"/>
      <c r="N290" t="str">
        <f t="shared" si="16"/>
        <v>0,220540110Plywood 15 cellplast 30OK17</v>
      </c>
      <c r="P290" s="129">
        <f t="shared" si="14"/>
        <v>103</v>
      </c>
      <c r="Q290">
        <f t="shared" si="15"/>
        <v>58</v>
      </c>
    </row>
    <row r="291" spans="11:17" ht="15.75" thickBot="1" x14ac:dyDescent="0.3">
      <c r="K291" s="8">
        <v>5</v>
      </c>
      <c r="L291" s="9">
        <v>20</v>
      </c>
      <c r="M291" s="10"/>
      <c r="N291" s="9" t="str">
        <f t="shared" si="16"/>
        <v>0,220540110Plywood 15 cellplast 30OK17</v>
      </c>
      <c r="O291" s="9"/>
      <c r="P291" s="130">
        <f t="shared" si="14"/>
        <v>103</v>
      </c>
      <c r="Q291">
        <f t="shared" si="15"/>
        <v>58</v>
      </c>
    </row>
    <row r="292" spans="11:17" x14ac:dyDescent="0.25">
      <c r="K292" s="6">
        <v>0</v>
      </c>
      <c r="L292">
        <v>0</v>
      </c>
      <c r="M292" s="7"/>
      <c r="N292" t="str">
        <f t="shared" si="16"/>
        <v>0,2205401-Plywood 15 cellplast 30OK17</v>
      </c>
      <c r="P292" s="129">
        <f t="shared" si="14"/>
        <v>87</v>
      </c>
      <c r="Q292">
        <f t="shared" si="15"/>
        <v>42</v>
      </c>
    </row>
    <row r="293" spans="11:17" x14ac:dyDescent="0.25">
      <c r="K293" s="6">
        <v>0</v>
      </c>
      <c r="L293">
        <v>2</v>
      </c>
      <c r="M293" s="7"/>
      <c r="N293" t="str">
        <f t="shared" si="16"/>
        <v>0,220540110Plywood 15 cellplast 30OK17</v>
      </c>
      <c r="P293" s="129">
        <f t="shared" si="14"/>
        <v>103</v>
      </c>
      <c r="Q293">
        <f t="shared" si="15"/>
        <v>58</v>
      </c>
    </row>
    <row r="294" spans="11:17" x14ac:dyDescent="0.25">
      <c r="K294" s="6">
        <v>0</v>
      </c>
      <c r="L294">
        <v>7</v>
      </c>
      <c r="M294" s="7"/>
      <c r="N294" t="str">
        <f t="shared" si="16"/>
        <v>0,220540110Plywood 15 cellplast 30OK17</v>
      </c>
      <c r="P294" s="129">
        <f t="shared" si="14"/>
        <v>103</v>
      </c>
      <c r="Q294">
        <f t="shared" si="15"/>
        <v>58</v>
      </c>
    </row>
    <row r="295" spans="11:17" x14ac:dyDescent="0.25">
      <c r="K295" s="6">
        <v>0</v>
      </c>
      <c r="L295">
        <v>12</v>
      </c>
      <c r="M295" s="7"/>
      <c r="N295" t="str">
        <f t="shared" si="16"/>
        <v>0,220540110Plywood 12-19  cellplast 50OK17</v>
      </c>
      <c r="P295" s="129">
        <f t="shared" si="14"/>
        <v>88</v>
      </c>
      <c r="Q295">
        <f t="shared" si="15"/>
        <v>43</v>
      </c>
    </row>
    <row r="296" spans="11:17" ht="15.75" thickBot="1" x14ac:dyDescent="0.3">
      <c r="K296" s="6">
        <v>0</v>
      </c>
      <c r="L296">
        <v>20</v>
      </c>
      <c r="M296" s="7"/>
      <c r="N296" t="str">
        <f t="shared" si="16"/>
        <v>0,220540110Plywood 12-19  cellplast 50OK17</v>
      </c>
      <c r="P296" s="129">
        <f t="shared" si="14"/>
        <v>88</v>
      </c>
      <c r="Q296">
        <f t="shared" si="15"/>
        <v>43</v>
      </c>
    </row>
    <row r="297" spans="11:17" x14ac:dyDescent="0.25">
      <c r="K297" s="3">
        <v>-5</v>
      </c>
      <c r="L297" s="4">
        <v>0</v>
      </c>
      <c r="M297" s="5"/>
      <c r="N297" s="4" t="str">
        <f t="shared" si="16"/>
        <v>0,220540110Plywood 15 cellplast 30OK17</v>
      </c>
      <c r="O297" s="4"/>
      <c r="P297" s="128">
        <f t="shared" si="14"/>
        <v>103</v>
      </c>
      <c r="Q297">
        <f t="shared" si="15"/>
        <v>58</v>
      </c>
    </row>
    <row r="298" spans="11:17" x14ac:dyDescent="0.25">
      <c r="K298" s="6">
        <v>-5</v>
      </c>
      <c r="L298">
        <v>2</v>
      </c>
      <c r="M298" s="7"/>
      <c r="N298" t="str">
        <f t="shared" si="16"/>
        <v>0,220540110Plywood 12-19  cellplast 50OK17</v>
      </c>
      <c r="P298" s="129">
        <f t="shared" si="14"/>
        <v>88</v>
      </c>
      <c r="Q298">
        <f t="shared" si="15"/>
        <v>43</v>
      </c>
    </row>
    <row r="299" spans="11:17" x14ac:dyDescent="0.25">
      <c r="K299" s="6">
        <v>-5</v>
      </c>
      <c r="L299">
        <v>7</v>
      </c>
      <c r="M299" s="7"/>
      <c r="N299" t="str">
        <f t="shared" si="16"/>
        <v>0,220540110Plywood 12-19 cellplast 120OK17</v>
      </c>
      <c r="P299" s="129">
        <f t="shared" si="14"/>
        <v>104</v>
      </c>
      <c r="Q299">
        <f t="shared" si="15"/>
        <v>59</v>
      </c>
    </row>
    <row r="300" spans="11:17" x14ac:dyDescent="0.25">
      <c r="K300" s="6">
        <v>-5</v>
      </c>
      <c r="L300">
        <v>12</v>
      </c>
      <c r="M300" s="7"/>
      <c r="N300" t="str">
        <f t="shared" si="16"/>
        <v>0,220540210Plywood 12-19 cellplast 70OK17</v>
      </c>
      <c r="P300" s="129">
        <f t="shared" si="14"/>
        <v>82</v>
      </c>
      <c r="Q300">
        <f t="shared" si="15"/>
        <v>37</v>
      </c>
    </row>
    <row r="301" spans="11:17" ht="15.75" thickBot="1" x14ac:dyDescent="0.3">
      <c r="K301" s="8">
        <v>-5</v>
      </c>
      <c r="L301" s="9">
        <v>20</v>
      </c>
      <c r="M301" s="10"/>
      <c r="N301" s="9" t="str">
        <f t="shared" si="16"/>
        <v>-------Fryser innan täck</v>
      </c>
      <c r="O301" s="9"/>
      <c r="P301" s="130">
        <f t="shared" si="14"/>
        <v>51</v>
      </c>
      <c r="Q301">
        <f t="shared" si="15"/>
        <v>6</v>
      </c>
    </row>
    <row r="302" spans="11:17" x14ac:dyDescent="0.25">
      <c r="K302" s="6">
        <v>-10</v>
      </c>
      <c r="L302">
        <v>0</v>
      </c>
      <c r="M302" s="7"/>
      <c r="N302" t="str">
        <f t="shared" si="16"/>
        <v>0,220540110Plywood 12-19  cellplast 50OK17</v>
      </c>
      <c r="P302" s="129">
        <f t="shared" si="14"/>
        <v>88</v>
      </c>
      <c r="Q302">
        <f t="shared" si="15"/>
        <v>43</v>
      </c>
    </row>
    <row r="303" spans="11:17" x14ac:dyDescent="0.25">
      <c r="K303" s="6">
        <v>-10</v>
      </c>
      <c r="L303">
        <v>2</v>
      </c>
      <c r="M303" s="7"/>
      <c r="N303" t="str">
        <f t="shared" si="16"/>
        <v>0,220540110Plywood 12-19 cellplast 120OK17</v>
      </c>
      <c r="P303" s="129">
        <f t="shared" si="14"/>
        <v>104</v>
      </c>
      <c r="Q303">
        <f t="shared" si="15"/>
        <v>59</v>
      </c>
    </row>
    <row r="304" spans="11:17" x14ac:dyDescent="0.25">
      <c r="K304" s="6">
        <v>-10</v>
      </c>
      <c r="L304">
        <v>7</v>
      </c>
      <c r="M304" s="7"/>
      <c r="N304" t="str">
        <f t="shared" si="16"/>
        <v>0,220540310Plywood 12-19 cellplast 120OK17</v>
      </c>
      <c r="P304" s="129">
        <f t="shared" si="14"/>
        <v>65</v>
      </c>
      <c r="Q304">
        <f t="shared" si="15"/>
        <v>20</v>
      </c>
    </row>
    <row r="305" spans="11:17" x14ac:dyDescent="0.25">
      <c r="K305" s="6">
        <v>-10</v>
      </c>
      <c r="L305">
        <v>12</v>
      </c>
      <c r="M305" s="7"/>
      <c r="N305" t="str">
        <f t="shared" si="16"/>
        <v>-------Fryser innan täck</v>
      </c>
      <c r="P305" s="129">
        <f t="shared" si="14"/>
        <v>51</v>
      </c>
      <c r="Q305">
        <f t="shared" si="15"/>
        <v>6</v>
      </c>
    </row>
    <row r="306" spans="11:17" ht="15.75" thickBot="1" x14ac:dyDescent="0.3">
      <c r="K306" s="6">
        <v>-10</v>
      </c>
      <c r="L306">
        <v>20</v>
      </c>
      <c r="M306" s="7"/>
      <c r="N306" t="str">
        <f t="shared" si="16"/>
        <v>-------Fryser innan täck</v>
      </c>
      <c r="P306" s="129">
        <f t="shared" si="14"/>
        <v>51</v>
      </c>
      <c r="Q306">
        <f t="shared" si="15"/>
        <v>6</v>
      </c>
    </row>
    <row r="307" spans="11:17" x14ac:dyDescent="0.25">
      <c r="K307" s="3">
        <v>-15</v>
      </c>
      <c r="L307" s="4">
        <v>0</v>
      </c>
      <c r="M307" s="5"/>
      <c r="N307" s="4" t="str">
        <f t="shared" si="16"/>
        <v>0,215540330Plywood 12-19 cellplast 100OK17</v>
      </c>
      <c r="O307" s="4"/>
      <c r="P307" s="128">
        <f t="shared" si="14"/>
        <v>105</v>
      </c>
      <c r="Q307">
        <f t="shared" si="15"/>
        <v>60</v>
      </c>
    </row>
    <row r="308" spans="11:17" x14ac:dyDescent="0.25">
      <c r="K308" s="6">
        <v>-15</v>
      </c>
      <c r="L308">
        <v>2</v>
      </c>
      <c r="M308" s="7"/>
      <c r="N308" t="str">
        <f t="shared" si="16"/>
        <v>Bas+0%15540220Plywood 12-19 cellplast 100OK17</v>
      </c>
      <c r="P308" s="129">
        <f t="shared" si="14"/>
        <v>85</v>
      </c>
      <c r="Q308">
        <f t="shared" si="15"/>
        <v>40</v>
      </c>
    </row>
    <row r="309" spans="11:17" x14ac:dyDescent="0.25">
      <c r="K309" s="6">
        <v>-15</v>
      </c>
      <c r="L309">
        <v>7</v>
      </c>
      <c r="M309" s="7"/>
      <c r="N309" t="str">
        <f t="shared" si="16"/>
        <v>-------Fryser innan täck</v>
      </c>
      <c r="P309" s="129">
        <f t="shared" si="14"/>
        <v>51</v>
      </c>
      <c r="Q309">
        <f t="shared" si="15"/>
        <v>6</v>
      </c>
    </row>
    <row r="310" spans="11:17" x14ac:dyDescent="0.25">
      <c r="K310" s="6">
        <v>-15</v>
      </c>
      <c r="L310">
        <v>12</v>
      </c>
      <c r="M310" s="7"/>
      <c r="N310" t="str">
        <f t="shared" si="16"/>
        <v>-------Fryser innan täck</v>
      </c>
      <c r="P310" s="129">
        <f t="shared" si="14"/>
        <v>51</v>
      </c>
      <c r="Q310">
        <f t="shared" si="15"/>
        <v>6</v>
      </c>
    </row>
    <row r="311" spans="11:17" ht="15.75" thickBot="1" x14ac:dyDescent="0.3">
      <c r="K311" s="8">
        <v>-15</v>
      </c>
      <c r="L311" s="9">
        <v>20</v>
      </c>
      <c r="M311" s="10"/>
      <c r="N311" s="9" t="str">
        <f t="shared" si="16"/>
        <v>-------Fryser innan täck</v>
      </c>
      <c r="O311" s="9"/>
      <c r="P311" s="130">
        <f t="shared" si="14"/>
        <v>51</v>
      </c>
      <c r="Q311">
        <f t="shared" si="15"/>
        <v>6</v>
      </c>
    </row>
    <row r="312" spans="11:17" x14ac:dyDescent="0.25">
      <c r="K312" s="6">
        <v>-20</v>
      </c>
      <c r="L312">
        <v>0</v>
      </c>
      <c r="M312" s="7"/>
      <c r="N312" t="str">
        <f t="shared" si="16"/>
        <v>-------Når ej 6 MPa</v>
      </c>
      <c r="P312" s="129">
        <f t="shared" si="14"/>
        <v>47</v>
      </c>
      <c r="Q312">
        <f t="shared" si="15"/>
        <v>2</v>
      </c>
    </row>
    <row r="313" spans="11:17" x14ac:dyDescent="0.25">
      <c r="K313" s="6">
        <v>-20</v>
      </c>
      <c r="L313">
        <v>2</v>
      </c>
      <c r="M313" s="7"/>
      <c r="N313" t="str">
        <f t="shared" si="16"/>
        <v>-------Fryser innan täck</v>
      </c>
      <c r="P313" s="129">
        <f t="shared" si="14"/>
        <v>51</v>
      </c>
      <c r="Q313">
        <f t="shared" si="15"/>
        <v>6</v>
      </c>
    </row>
    <row r="314" spans="11:17" x14ac:dyDescent="0.25">
      <c r="K314" s="6">
        <v>-20</v>
      </c>
      <c r="L314">
        <v>7</v>
      </c>
      <c r="M314" s="7"/>
      <c r="N314" t="str">
        <f t="shared" si="16"/>
        <v>-------Fryser innan täck</v>
      </c>
      <c r="P314" s="129">
        <f t="shared" si="14"/>
        <v>51</v>
      </c>
      <c r="Q314">
        <f t="shared" si="15"/>
        <v>6</v>
      </c>
    </row>
    <row r="315" spans="11:17" x14ac:dyDescent="0.25">
      <c r="K315" s="6">
        <v>-20</v>
      </c>
      <c r="L315">
        <v>12</v>
      </c>
      <c r="M315" s="7"/>
      <c r="N315" t="str">
        <f t="shared" si="16"/>
        <v>-------Fryser innan täck</v>
      </c>
      <c r="P315" s="129">
        <f t="shared" si="14"/>
        <v>51</v>
      </c>
      <c r="Q315">
        <f t="shared" si="15"/>
        <v>6</v>
      </c>
    </row>
    <row r="316" spans="11:17" ht="15.75" thickBot="1" x14ac:dyDescent="0.3">
      <c r="K316" s="8">
        <v>-20</v>
      </c>
      <c r="L316" s="9">
        <v>20</v>
      </c>
      <c r="M316" s="10"/>
      <c r="N316" s="9" t="str">
        <f t="shared" si="16"/>
        <v>-------Fryser innan täck</v>
      </c>
      <c r="O316" s="9"/>
      <c r="P316" s="130">
        <f t="shared" si="14"/>
        <v>51</v>
      </c>
      <c r="Q316">
        <f t="shared" si="15"/>
        <v>6</v>
      </c>
    </row>
    <row r="317" spans="11:17" x14ac:dyDescent="0.25">
      <c r="K317" s="3">
        <v>20</v>
      </c>
      <c r="L317" s="4">
        <v>0</v>
      </c>
      <c r="M317" s="5" t="s">
        <v>13</v>
      </c>
      <c r="N317" s="4" t="str">
        <f t="shared" ref="N317:N361" si="17">I2</f>
        <v>0,31520---Plywood 15, oisoleratOK17</v>
      </c>
      <c r="O317" s="4"/>
      <c r="P317" s="128">
        <f t="shared" si="14"/>
        <v>95</v>
      </c>
      <c r="Q317">
        <f t="shared" si="15"/>
        <v>50</v>
      </c>
    </row>
    <row r="318" spans="11:17" x14ac:dyDescent="0.25">
      <c r="K318" s="6">
        <v>20</v>
      </c>
      <c r="L318">
        <v>2</v>
      </c>
      <c r="M318" s="7"/>
      <c r="N318" t="str">
        <f t="shared" si="17"/>
        <v>0,31520---Plywood 15, oisoleratOK17</v>
      </c>
      <c r="P318" s="129">
        <f t="shared" si="14"/>
        <v>95</v>
      </c>
      <c r="Q318">
        <f t="shared" si="15"/>
        <v>50</v>
      </c>
    </row>
    <row r="319" spans="11:17" x14ac:dyDescent="0.25">
      <c r="K319" s="6">
        <v>20</v>
      </c>
      <c r="L319">
        <v>7</v>
      </c>
      <c r="M319" s="7"/>
      <c r="N319" t="str">
        <f t="shared" si="17"/>
        <v>0,31520---Plywood 15, oisoleratOK17</v>
      </c>
      <c r="P319" s="129">
        <f t="shared" si="14"/>
        <v>95</v>
      </c>
      <c r="Q319">
        <f t="shared" si="15"/>
        <v>50</v>
      </c>
    </row>
    <row r="320" spans="11:17" x14ac:dyDescent="0.25">
      <c r="K320" s="6">
        <v>20</v>
      </c>
      <c r="L320">
        <v>12</v>
      </c>
      <c r="M320" s="7"/>
      <c r="N320" t="str">
        <f t="shared" si="17"/>
        <v>0,31520---Plywood 15, oisoleratOK17</v>
      </c>
      <c r="P320" s="129">
        <f t="shared" si="14"/>
        <v>95</v>
      </c>
      <c r="Q320">
        <f t="shared" si="15"/>
        <v>50</v>
      </c>
    </row>
    <row r="321" spans="11:17" ht="15.75" thickBot="1" x14ac:dyDescent="0.3">
      <c r="K321" s="6">
        <v>20</v>
      </c>
      <c r="L321">
        <v>20</v>
      </c>
      <c r="M321" s="7"/>
      <c r="N321" t="str">
        <f t="shared" si="17"/>
        <v>0,31520---Plywood 15, oisoleratOK17</v>
      </c>
      <c r="P321" s="129">
        <f t="shared" si="14"/>
        <v>95</v>
      </c>
      <c r="Q321">
        <f t="shared" si="15"/>
        <v>50</v>
      </c>
    </row>
    <row r="322" spans="11:17" x14ac:dyDescent="0.25">
      <c r="K322" s="3">
        <v>15</v>
      </c>
      <c r="L322" s="4">
        <v>0</v>
      </c>
      <c r="M322" s="5"/>
      <c r="N322" s="4" t="str">
        <f t="shared" si="17"/>
        <v>0,21515---Plywood 15, oisoleratOK17</v>
      </c>
      <c r="O322" s="4"/>
      <c r="P322" s="128">
        <f t="shared" ref="P322:P361" si="18">MATCH(N322, _xlfn.UNIQUE($N$2:$N$361), 0)</f>
        <v>96</v>
      </c>
      <c r="Q322">
        <f t="shared" ref="Q322:Q361" si="19">MATCH(N322, _xlfn.UNIQUE($N$47:$N$361), 0)</f>
        <v>51</v>
      </c>
    </row>
    <row r="323" spans="11:17" x14ac:dyDescent="0.25">
      <c r="K323" s="6">
        <v>15</v>
      </c>
      <c r="L323">
        <v>2</v>
      </c>
      <c r="M323" s="7"/>
      <c r="N323" t="str">
        <f t="shared" si="17"/>
        <v>0,21515---Plywood 15, oisoleratOK17</v>
      </c>
      <c r="P323" s="129">
        <f t="shared" si="18"/>
        <v>96</v>
      </c>
      <c r="Q323">
        <f t="shared" si="19"/>
        <v>51</v>
      </c>
    </row>
    <row r="324" spans="11:17" x14ac:dyDescent="0.25">
      <c r="K324" s="6">
        <v>15</v>
      </c>
      <c r="L324">
        <v>7</v>
      </c>
      <c r="M324" s="7"/>
      <c r="N324" t="str">
        <f t="shared" si="17"/>
        <v>0,21515---Plywood 15, oisoleratOK17</v>
      </c>
      <c r="P324" s="129">
        <f t="shared" si="18"/>
        <v>96</v>
      </c>
      <c r="Q324">
        <f t="shared" si="19"/>
        <v>51</v>
      </c>
    </row>
    <row r="325" spans="11:17" x14ac:dyDescent="0.25">
      <c r="K325" s="6">
        <v>15</v>
      </c>
      <c r="L325">
        <v>12</v>
      </c>
      <c r="M325" s="7"/>
      <c r="N325" t="str">
        <f t="shared" si="17"/>
        <v>0,21515---Plywood 15, oisoleratOK17</v>
      </c>
      <c r="P325" s="129">
        <f t="shared" si="18"/>
        <v>96</v>
      </c>
      <c r="Q325">
        <f t="shared" si="19"/>
        <v>51</v>
      </c>
    </row>
    <row r="326" spans="11:17" ht="15.75" thickBot="1" x14ac:dyDescent="0.3">
      <c r="K326" s="8">
        <v>15</v>
      </c>
      <c r="L326" s="9">
        <v>20</v>
      </c>
      <c r="M326" s="10"/>
      <c r="N326" s="9" t="str">
        <f t="shared" si="17"/>
        <v>0,21515---Plywood 15, oisoleratOK17</v>
      </c>
      <c r="O326" s="9"/>
      <c r="P326" s="130">
        <f t="shared" si="18"/>
        <v>96</v>
      </c>
      <c r="Q326">
        <f t="shared" si="19"/>
        <v>51</v>
      </c>
    </row>
    <row r="327" spans="11:17" x14ac:dyDescent="0.25">
      <c r="K327" s="6">
        <v>10</v>
      </c>
      <c r="L327">
        <v>0</v>
      </c>
      <c r="M327" s="7"/>
      <c r="N327" t="str">
        <f t="shared" si="17"/>
        <v>0,11510---Plywood 15, oisoleratOK17</v>
      </c>
      <c r="P327" s="129">
        <f t="shared" si="18"/>
        <v>98</v>
      </c>
      <c r="Q327">
        <f t="shared" si="19"/>
        <v>53</v>
      </c>
    </row>
    <row r="328" spans="11:17" x14ac:dyDescent="0.25">
      <c r="K328" s="6">
        <v>10</v>
      </c>
      <c r="L328">
        <v>2</v>
      </c>
      <c r="M328" s="7"/>
      <c r="N328" t="str">
        <f t="shared" si="17"/>
        <v>0,11510---Plywood 15, oisoleratOK17</v>
      </c>
      <c r="P328" s="129">
        <f t="shared" si="18"/>
        <v>98</v>
      </c>
      <c r="Q328">
        <f t="shared" si="19"/>
        <v>53</v>
      </c>
    </row>
    <row r="329" spans="11:17" x14ac:dyDescent="0.25">
      <c r="K329" s="6">
        <v>10</v>
      </c>
      <c r="L329">
        <v>7</v>
      </c>
      <c r="M329" s="7"/>
      <c r="N329" t="str">
        <f t="shared" si="17"/>
        <v>0,11510--PresenningPlywood 15, oisoleratOK17</v>
      </c>
      <c r="P329" s="129">
        <f t="shared" si="18"/>
        <v>106</v>
      </c>
      <c r="Q329">
        <f t="shared" si="19"/>
        <v>61</v>
      </c>
    </row>
    <row r="330" spans="11:17" x14ac:dyDescent="0.25">
      <c r="K330" s="6">
        <v>10</v>
      </c>
      <c r="L330">
        <v>12</v>
      </c>
      <c r="M330" s="7"/>
      <c r="N330" t="str">
        <f t="shared" si="17"/>
        <v>0,11510--PresenningPlywood 15, oisoleratOK17</v>
      </c>
      <c r="P330" s="129">
        <f t="shared" si="18"/>
        <v>106</v>
      </c>
      <c r="Q330">
        <f t="shared" si="19"/>
        <v>61</v>
      </c>
    </row>
    <row r="331" spans="11:17" ht="15.75" thickBot="1" x14ac:dyDescent="0.3">
      <c r="K331" s="6">
        <v>10</v>
      </c>
      <c r="L331">
        <v>20</v>
      </c>
      <c r="M331" s="7"/>
      <c r="N331" t="str">
        <f t="shared" si="17"/>
        <v>0,11510--PresenningPlywood 15, oisoleratOK17</v>
      </c>
      <c r="P331" s="129">
        <f t="shared" si="18"/>
        <v>106</v>
      </c>
      <c r="Q331">
        <f t="shared" si="19"/>
        <v>61</v>
      </c>
    </row>
    <row r="332" spans="11:17" x14ac:dyDescent="0.25">
      <c r="K332" s="3">
        <v>5</v>
      </c>
      <c r="L332" s="4">
        <v>0</v>
      </c>
      <c r="M332" s="5"/>
      <c r="N332" s="4" t="str">
        <f t="shared" si="17"/>
        <v>0,3205401-Plywood 12-19  cellplast 50OK17</v>
      </c>
      <c r="O332" s="4"/>
      <c r="P332" s="128">
        <f t="shared" si="18"/>
        <v>107</v>
      </c>
      <c r="Q332">
        <f t="shared" si="19"/>
        <v>62</v>
      </c>
    </row>
    <row r="333" spans="11:17" x14ac:dyDescent="0.25">
      <c r="K333" s="6">
        <v>5</v>
      </c>
      <c r="L333">
        <v>2</v>
      </c>
      <c r="M333" s="7"/>
      <c r="N333" t="str">
        <f t="shared" si="17"/>
        <v>0,320540110Plywood 12-19 cellplast 70OK17</v>
      </c>
      <c r="P333" s="129">
        <f t="shared" si="18"/>
        <v>108</v>
      </c>
      <c r="Q333">
        <f t="shared" si="19"/>
        <v>63</v>
      </c>
    </row>
    <row r="334" spans="11:17" x14ac:dyDescent="0.25">
      <c r="K334" s="6">
        <v>5</v>
      </c>
      <c r="L334">
        <v>7</v>
      </c>
      <c r="M334" s="7"/>
      <c r="N334" t="str">
        <f t="shared" si="17"/>
        <v>0,320540210Plywood 15 cellplast 30OK17</v>
      </c>
      <c r="P334" s="129">
        <f t="shared" si="18"/>
        <v>109</v>
      </c>
      <c r="Q334">
        <f t="shared" si="19"/>
        <v>64</v>
      </c>
    </row>
    <row r="335" spans="11:17" x14ac:dyDescent="0.25">
      <c r="K335" s="6">
        <v>5</v>
      </c>
      <c r="L335">
        <v>12</v>
      </c>
      <c r="M335" s="7"/>
      <c r="N335" t="str">
        <f t="shared" si="17"/>
        <v>0,320540210Plywood 15 cellplast 30OK17</v>
      </c>
      <c r="P335" s="129">
        <f t="shared" si="18"/>
        <v>109</v>
      </c>
      <c r="Q335">
        <f t="shared" si="19"/>
        <v>64</v>
      </c>
    </row>
    <row r="336" spans="11:17" ht="15.75" thickBot="1" x14ac:dyDescent="0.3">
      <c r="K336" s="8">
        <v>5</v>
      </c>
      <c r="L336" s="9">
        <v>20</v>
      </c>
      <c r="M336" s="10"/>
      <c r="N336" s="9" t="str">
        <f t="shared" si="17"/>
        <v>0,320540210Plywood 12-19  cellplast 50OK17</v>
      </c>
      <c r="O336" s="9"/>
      <c r="P336" s="130">
        <f t="shared" si="18"/>
        <v>101</v>
      </c>
      <c r="Q336">
        <f t="shared" si="19"/>
        <v>56</v>
      </c>
    </row>
    <row r="337" spans="11:17" x14ac:dyDescent="0.25">
      <c r="K337" s="6">
        <v>0</v>
      </c>
      <c r="L337">
        <v>0</v>
      </c>
      <c r="M337" s="7"/>
      <c r="N337" t="str">
        <f t="shared" si="17"/>
        <v>0,320540210Plywood 15 cellplast 30OK17</v>
      </c>
      <c r="P337" s="129">
        <f t="shared" si="18"/>
        <v>109</v>
      </c>
      <c r="Q337">
        <f t="shared" si="19"/>
        <v>64</v>
      </c>
    </row>
    <row r="338" spans="11:17" x14ac:dyDescent="0.25">
      <c r="K338" s="6">
        <v>0</v>
      </c>
      <c r="L338">
        <v>2</v>
      </c>
      <c r="M338" s="7"/>
      <c r="N338" t="str">
        <f t="shared" si="17"/>
        <v>0,320540210Plywood 12-19  cellplast 50OK17</v>
      </c>
      <c r="P338" s="129">
        <f t="shared" si="18"/>
        <v>101</v>
      </c>
      <c r="Q338">
        <f t="shared" si="19"/>
        <v>56</v>
      </c>
    </row>
    <row r="339" spans="11:17" x14ac:dyDescent="0.25">
      <c r="K339" s="6">
        <v>0</v>
      </c>
      <c r="L339">
        <v>7</v>
      </c>
      <c r="M339" s="7"/>
      <c r="N339" t="str">
        <f t="shared" si="17"/>
        <v>0,320540310Plywood 12-19 cellplast 120OK17</v>
      </c>
      <c r="P339" s="129">
        <f t="shared" si="18"/>
        <v>110</v>
      </c>
      <c r="Q339">
        <f t="shared" si="19"/>
        <v>65</v>
      </c>
    </row>
    <row r="340" spans="11:17" x14ac:dyDescent="0.25">
      <c r="K340" s="6">
        <v>0</v>
      </c>
      <c r="L340">
        <v>12</v>
      </c>
      <c r="M340" s="7"/>
      <c r="N340" t="str">
        <f t="shared" si="17"/>
        <v>0,220540110Plywood 15 cellplast 30OK17</v>
      </c>
      <c r="P340" s="129">
        <f t="shared" si="18"/>
        <v>103</v>
      </c>
      <c r="Q340">
        <f t="shared" si="19"/>
        <v>58</v>
      </c>
    </row>
    <row r="341" spans="11:17" ht="15.75" thickBot="1" x14ac:dyDescent="0.3">
      <c r="K341" s="6">
        <v>0</v>
      </c>
      <c r="L341">
        <v>20</v>
      </c>
      <c r="M341" s="7"/>
      <c r="N341" t="str">
        <f t="shared" si="17"/>
        <v>0,220540110Plywood 15 cellplast 30OK17</v>
      </c>
      <c r="P341" s="129">
        <f t="shared" si="18"/>
        <v>103</v>
      </c>
      <c r="Q341">
        <f t="shared" si="19"/>
        <v>58</v>
      </c>
    </row>
    <row r="342" spans="11:17" x14ac:dyDescent="0.25">
      <c r="K342" s="3">
        <v>-5</v>
      </c>
      <c r="L342" s="4">
        <v>0</v>
      </c>
      <c r="M342" s="5"/>
      <c r="N342" s="4" t="str">
        <f t="shared" si="17"/>
        <v>0,2205---Plywood 12-19 cellplast 100OK17</v>
      </c>
      <c r="O342" s="4"/>
      <c r="P342" s="128">
        <f t="shared" si="18"/>
        <v>111</v>
      </c>
      <c r="Q342">
        <f t="shared" si="19"/>
        <v>66</v>
      </c>
    </row>
    <row r="343" spans="11:17" x14ac:dyDescent="0.25">
      <c r="K343" s="6">
        <v>-5</v>
      </c>
      <c r="L343">
        <v>2</v>
      </c>
      <c r="M343" s="7"/>
      <c r="N343" t="str">
        <f t="shared" si="17"/>
        <v>0,220540110Plywood 15 cellplast 30OK17</v>
      </c>
      <c r="P343" s="129">
        <f t="shared" si="18"/>
        <v>103</v>
      </c>
      <c r="Q343">
        <f t="shared" si="19"/>
        <v>58</v>
      </c>
    </row>
    <row r="344" spans="11:17" x14ac:dyDescent="0.25">
      <c r="K344" s="6">
        <v>-5</v>
      </c>
      <c r="L344">
        <v>7</v>
      </c>
      <c r="M344" s="7"/>
      <c r="N344" t="str">
        <f t="shared" si="17"/>
        <v>0,220540110Plywood 12-19  cellplast 50OK17</v>
      </c>
      <c r="P344" s="129">
        <f t="shared" si="18"/>
        <v>88</v>
      </c>
      <c r="Q344">
        <f t="shared" si="19"/>
        <v>43</v>
      </c>
    </row>
    <row r="345" spans="11:17" x14ac:dyDescent="0.25">
      <c r="K345" s="6">
        <v>-5</v>
      </c>
      <c r="L345">
        <v>12</v>
      </c>
      <c r="M345" s="7"/>
      <c r="N345" t="str">
        <f t="shared" si="17"/>
        <v>0,220540110Plywood 12-19 cellplast 70OK17</v>
      </c>
      <c r="P345" s="129">
        <f t="shared" si="18"/>
        <v>89</v>
      </c>
      <c r="Q345">
        <f t="shared" si="19"/>
        <v>44</v>
      </c>
    </row>
    <row r="346" spans="11:17" ht="15.75" thickBot="1" x14ac:dyDescent="0.3">
      <c r="K346" s="8">
        <v>-5</v>
      </c>
      <c r="L346" s="9">
        <v>20</v>
      </c>
      <c r="M346" s="10"/>
      <c r="N346" s="9" t="str">
        <f t="shared" si="17"/>
        <v>-------Fryser innan täck</v>
      </c>
      <c r="O346" s="9"/>
      <c r="P346" s="130">
        <f t="shared" si="18"/>
        <v>51</v>
      </c>
      <c r="Q346">
        <f t="shared" si="19"/>
        <v>6</v>
      </c>
    </row>
    <row r="347" spans="11:17" x14ac:dyDescent="0.25">
      <c r="K347" s="6">
        <v>-10</v>
      </c>
      <c r="L347">
        <v>0</v>
      </c>
      <c r="M347" s="7"/>
      <c r="N347" t="str">
        <f t="shared" si="17"/>
        <v>0,220540110Plywood 15 cellplast 30OK17</v>
      </c>
      <c r="P347" s="129">
        <f t="shared" si="18"/>
        <v>103</v>
      </c>
      <c r="Q347">
        <f t="shared" si="19"/>
        <v>58</v>
      </c>
    </row>
    <row r="348" spans="11:17" x14ac:dyDescent="0.25">
      <c r="K348" s="6">
        <v>-10</v>
      </c>
      <c r="L348">
        <v>2</v>
      </c>
      <c r="M348" s="7"/>
      <c r="N348" t="str">
        <f t="shared" si="17"/>
        <v>0,220540110Plywood 12-19  cellplast 50OK17</v>
      </c>
      <c r="P348" s="129">
        <f t="shared" si="18"/>
        <v>88</v>
      </c>
      <c r="Q348">
        <f t="shared" si="19"/>
        <v>43</v>
      </c>
    </row>
    <row r="349" spans="11:17" x14ac:dyDescent="0.25">
      <c r="K349" s="6">
        <v>-10</v>
      </c>
      <c r="L349">
        <v>7</v>
      </c>
      <c r="M349" s="7"/>
      <c r="N349" t="str">
        <f t="shared" si="17"/>
        <v>0,220540210Plywood 12-19  cellplast 50OK17</v>
      </c>
      <c r="P349" s="129">
        <f t="shared" si="18"/>
        <v>79</v>
      </c>
      <c r="Q349">
        <f t="shared" si="19"/>
        <v>34</v>
      </c>
    </row>
    <row r="350" spans="11:17" x14ac:dyDescent="0.25">
      <c r="K350" s="6">
        <v>-10</v>
      </c>
      <c r="L350">
        <v>12</v>
      </c>
      <c r="M350" s="7"/>
      <c r="N350" t="str">
        <f t="shared" si="17"/>
        <v>-------Fryser innan täck</v>
      </c>
      <c r="P350" s="129">
        <f t="shared" si="18"/>
        <v>51</v>
      </c>
      <c r="Q350">
        <f t="shared" si="19"/>
        <v>6</v>
      </c>
    </row>
    <row r="351" spans="11:17" ht="15.75" thickBot="1" x14ac:dyDescent="0.3">
      <c r="K351" s="6">
        <v>-10</v>
      </c>
      <c r="L351">
        <v>20</v>
      </c>
      <c r="M351" s="7"/>
      <c r="N351" t="str">
        <f t="shared" si="17"/>
        <v>-------Fryser innan täck</v>
      </c>
      <c r="P351" s="129">
        <f t="shared" si="18"/>
        <v>51</v>
      </c>
      <c r="Q351">
        <f t="shared" si="19"/>
        <v>6</v>
      </c>
    </row>
    <row r="352" spans="11:17" x14ac:dyDescent="0.25">
      <c r="K352" s="3">
        <v>-15</v>
      </c>
      <c r="L352" s="4">
        <v>0</v>
      </c>
      <c r="M352" s="5"/>
      <c r="N352" s="4" t="str">
        <f t="shared" si="17"/>
        <v>0,215540230Plywood 12-19 cellplast 70OK17</v>
      </c>
      <c r="O352" s="4"/>
      <c r="P352" s="128">
        <f t="shared" si="18"/>
        <v>112</v>
      </c>
      <c r="Q352">
        <f t="shared" si="19"/>
        <v>67</v>
      </c>
    </row>
    <row r="353" spans="11:17" x14ac:dyDescent="0.25">
      <c r="K353" s="6">
        <v>-15</v>
      </c>
      <c r="L353">
        <v>2</v>
      </c>
      <c r="M353" s="7"/>
      <c r="N353" t="str">
        <f t="shared" si="17"/>
        <v>0,115540220Plywood 12-19 cellplast 100OK17</v>
      </c>
      <c r="P353" s="129">
        <f t="shared" si="18"/>
        <v>113</v>
      </c>
      <c r="Q353">
        <f t="shared" si="19"/>
        <v>68</v>
      </c>
    </row>
    <row r="354" spans="11:17" x14ac:dyDescent="0.25">
      <c r="K354" s="6">
        <v>-15</v>
      </c>
      <c r="L354">
        <v>7</v>
      </c>
      <c r="M354" s="7"/>
      <c r="N354" t="str">
        <f t="shared" si="17"/>
        <v>-------Fryser innan täck</v>
      </c>
      <c r="P354" s="129">
        <f t="shared" si="18"/>
        <v>51</v>
      </c>
      <c r="Q354">
        <f t="shared" si="19"/>
        <v>6</v>
      </c>
    </row>
    <row r="355" spans="11:17" x14ac:dyDescent="0.25">
      <c r="K355" s="6">
        <v>-15</v>
      </c>
      <c r="L355">
        <v>12</v>
      </c>
      <c r="M355" s="7"/>
      <c r="N355" t="str">
        <f t="shared" si="17"/>
        <v>-------Fryser innan täck</v>
      </c>
      <c r="P355" s="129">
        <f t="shared" si="18"/>
        <v>51</v>
      </c>
      <c r="Q355">
        <f t="shared" si="19"/>
        <v>6</v>
      </c>
    </row>
    <row r="356" spans="11:17" ht="15.75" thickBot="1" x14ac:dyDescent="0.3">
      <c r="K356" s="8">
        <v>-15</v>
      </c>
      <c r="L356" s="9">
        <v>20</v>
      </c>
      <c r="M356" s="10"/>
      <c r="N356" s="9" t="str">
        <f t="shared" si="17"/>
        <v>-------Fryser innan täck</v>
      </c>
      <c r="O356" s="9"/>
      <c r="P356" s="130">
        <f t="shared" si="18"/>
        <v>51</v>
      </c>
      <c r="Q356">
        <f t="shared" si="19"/>
        <v>6</v>
      </c>
    </row>
    <row r="357" spans="11:17" x14ac:dyDescent="0.25">
      <c r="K357" s="6">
        <v>-20</v>
      </c>
      <c r="L357">
        <v>0</v>
      </c>
      <c r="M357" s="7"/>
      <c r="N357" t="str">
        <f t="shared" si="17"/>
        <v>-------Når ej 6 MPa</v>
      </c>
      <c r="P357" s="129">
        <f t="shared" si="18"/>
        <v>47</v>
      </c>
      <c r="Q357">
        <f t="shared" si="19"/>
        <v>2</v>
      </c>
    </row>
    <row r="358" spans="11:17" x14ac:dyDescent="0.25">
      <c r="K358" s="6">
        <v>-20</v>
      </c>
      <c r="L358">
        <v>2</v>
      </c>
      <c r="M358" s="7"/>
      <c r="N358" t="str">
        <f t="shared" si="17"/>
        <v>-------Fryser innan täck</v>
      </c>
      <c r="P358" s="129">
        <f t="shared" si="18"/>
        <v>51</v>
      </c>
      <c r="Q358">
        <f t="shared" si="19"/>
        <v>6</v>
      </c>
    </row>
    <row r="359" spans="11:17" x14ac:dyDescent="0.25">
      <c r="K359" s="6">
        <v>-20</v>
      </c>
      <c r="L359">
        <v>7</v>
      </c>
      <c r="M359" s="7"/>
      <c r="N359" t="str">
        <f t="shared" si="17"/>
        <v>-------Fryser innan täck</v>
      </c>
      <c r="P359" s="129">
        <f t="shared" si="18"/>
        <v>51</v>
      </c>
      <c r="Q359">
        <f t="shared" si="19"/>
        <v>6</v>
      </c>
    </row>
    <row r="360" spans="11:17" x14ac:dyDescent="0.25">
      <c r="K360" s="6">
        <v>-20</v>
      </c>
      <c r="L360">
        <v>12</v>
      </c>
      <c r="M360" s="7"/>
      <c r="N360" t="str">
        <f t="shared" si="17"/>
        <v>-------Fryser innan täck</v>
      </c>
      <c r="P360" s="129">
        <f t="shared" si="18"/>
        <v>51</v>
      </c>
      <c r="Q360">
        <f t="shared" si="19"/>
        <v>6</v>
      </c>
    </row>
    <row r="361" spans="11:17" ht="15.75" thickBot="1" x14ac:dyDescent="0.3">
      <c r="K361" s="8">
        <v>-20</v>
      </c>
      <c r="L361" s="9">
        <v>20</v>
      </c>
      <c r="M361" s="10"/>
      <c r="N361" s="9" t="str">
        <f t="shared" si="17"/>
        <v>-------Fryser innan täck</v>
      </c>
      <c r="O361" s="9"/>
      <c r="P361" s="130">
        <f t="shared" si="18"/>
        <v>51</v>
      </c>
      <c r="Q361">
        <f t="shared" si="19"/>
        <v>6</v>
      </c>
    </row>
    <row r="362" spans="11:17" x14ac:dyDescent="0.25">
      <c r="O362" t="s">
        <v>205</v>
      </c>
      <c r="P362" s="127">
        <f>MAX(P47:P361)</f>
        <v>113</v>
      </c>
      <c r="Q362" s="127">
        <f>MAX(Q47:Q361)</f>
        <v>68</v>
      </c>
    </row>
  </sheetData>
  <phoneticPr fontId="3" type="noConversion"/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6312B-888F-407C-991A-2707E6692E9A}">
  <sheetPr codeName="Sheet5"/>
  <dimension ref="A1:R111"/>
  <sheetViews>
    <sheetView zoomScale="85" zoomScaleNormal="85" workbookViewId="0">
      <selection activeCell="A15" sqref="A15"/>
    </sheetView>
  </sheetViews>
  <sheetFormatPr defaultRowHeight="15" x14ac:dyDescent="0.25"/>
  <cols>
    <col min="1" max="1" width="14.5703125" customWidth="1"/>
    <col min="2" max="2" width="12" customWidth="1"/>
    <col min="3" max="9" width="12.140625" customWidth="1"/>
    <col min="10" max="10" width="6.7109375" customWidth="1"/>
    <col min="12" max="12" width="13.42578125" customWidth="1"/>
    <col min="13" max="13" width="14.85546875" customWidth="1"/>
    <col min="14" max="14" width="20.5703125" customWidth="1"/>
    <col min="15" max="15" width="14.42578125" customWidth="1"/>
    <col min="16" max="16" width="10.7109375" customWidth="1"/>
    <col min="17" max="17" width="14.42578125" bestFit="1" customWidth="1"/>
  </cols>
  <sheetData>
    <row r="1" spans="1:17" ht="18" customHeight="1" thickBot="1" x14ac:dyDescent="0.3">
      <c r="A1" s="50" t="s">
        <v>23</v>
      </c>
      <c r="B1" s="51" t="s">
        <v>24</v>
      </c>
      <c r="C1" s="74" t="s">
        <v>8</v>
      </c>
      <c r="D1" s="74" t="s">
        <v>14</v>
      </c>
      <c r="E1" s="74" t="s">
        <v>43</v>
      </c>
      <c r="F1" s="75" t="s">
        <v>34</v>
      </c>
      <c r="G1" s="75" t="s">
        <v>35</v>
      </c>
      <c r="H1" s="75" t="s">
        <v>12</v>
      </c>
      <c r="I1" s="75" t="s">
        <v>13</v>
      </c>
    </row>
    <row r="2" spans="1:17" ht="15" customHeight="1" x14ac:dyDescent="0.25">
      <c r="A2" s="28"/>
      <c r="B2" s="40">
        <v>0</v>
      </c>
      <c r="C2" s="25">
        <f>'Data till Lathund, Kådgenererin'!P47</f>
        <v>46</v>
      </c>
      <c r="D2" s="16">
        <f>'Data till Lathund, Kådgenererin'!P92</f>
        <v>52</v>
      </c>
      <c r="E2" s="16">
        <f>'Data till Lathund, Kådgenererin'!P137</f>
        <v>62</v>
      </c>
      <c r="F2" s="16">
        <f>'Data till Lathund, Kådgenererin'!P182</f>
        <v>75</v>
      </c>
      <c r="G2" s="22">
        <f>'Data till Lathund, Kådgenererin'!P227</f>
        <v>75</v>
      </c>
      <c r="H2" s="16">
        <f>'Data till Lathund, Kådgenererin'!P272</f>
        <v>95</v>
      </c>
      <c r="I2" s="22">
        <f>'Data till Lathund, Kådgenererin'!P317</f>
        <v>95</v>
      </c>
      <c r="M2" s="94" t="s">
        <v>89</v>
      </c>
      <c r="N2">
        <v>3</v>
      </c>
      <c r="O2" t="s">
        <v>90</v>
      </c>
      <c r="P2" t="s">
        <v>89</v>
      </c>
      <c r="Q2">
        <v>1.3333333333333333</v>
      </c>
    </row>
    <row r="3" spans="1:17" ht="15" customHeight="1" x14ac:dyDescent="0.25">
      <c r="A3" s="29"/>
      <c r="B3" s="41">
        <v>2</v>
      </c>
      <c r="C3" s="26">
        <f>'Data till Lathund, Kådgenererin'!P48</f>
        <v>47</v>
      </c>
      <c r="D3" s="18">
        <f>'Data till Lathund, Kådgenererin'!P93</f>
        <v>52</v>
      </c>
      <c r="E3" s="18">
        <f>'Data till Lathund, Kådgenererin'!P138</f>
        <v>62</v>
      </c>
      <c r="F3" s="18">
        <f>'Data till Lathund, Kådgenererin'!P183</f>
        <v>75</v>
      </c>
      <c r="G3" s="22">
        <f>'Data till Lathund, Kådgenererin'!P228</f>
        <v>75</v>
      </c>
      <c r="H3" s="18">
        <f>'Data till Lathund, Kådgenererin'!P273</f>
        <v>95</v>
      </c>
      <c r="I3" s="22">
        <f>'Data till Lathund, Kådgenererin'!P318</f>
        <v>95</v>
      </c>
      <c r="M3" s="94" t="s">
        <v>88</v>
      </c>
      <c r="N3">
        <v>5</v>
      </c>
      <c r="P3" t="s">
        <v>88</v>
      </c>
      <c r="Q3">
        <v>3.3333333333333335</v>
      </c>
    </row>
    <row r="4" spans="1:17" ht="15" customHeight="1" x14ac:dyDescent="0.25">
      <c r="A4" s="29">
        <v>20</v>
      </c>
      <c r="B4" s="42">
        <v>7</v>
      </c>
      <c r="C4" s="26">
        <f>'Data till Lathund, Kådgenererin'!P49</f>
        <v>47</v>
      </c>
      <c r="D4" s="18">
        <f>'Data till Lathund, Kådgenererin'!P94</f>
        <v>52</v>
      </c>
      <c r="E4" s="18">
        <f>'Data till Lathund, Kådgenererin'!P139</f>
        <v>62</v>
      </c>
      <c r="F4" s="18">
        <f>'Data till Lathund, Kådgenererin'!P184</f>
        <v>75</v>
      </c>
      <c r="G4" s="22">
        <f>'Data till Lathund, Kådgenererin'!P229</f>
        <v>75</v>
      </c>
      <c r="H4" s="18">
        <f>'Data till Lathund, Kådgenererin'!P274</f>
        <v>95</v>
      </c>
      <c r="I4" s="22">
        <f>'Data till Lathund, Kådgenererin'!P319</f>
        <v>95</v>
      </c>
      <c r="M4" s="94" t="s">
        <v>87</v>
      </c>
      <c r="N4">
        <v>6</v>
      </c>
      <c r="P4" t="s">
        <v>87</v>
      </c>
      <c r="Q4">
        <v>6</v>
      </c>
    </row>
    <row r="5" spans="1:17" ht="15" customHeight="1" x14ac:dyDescent="0.25">
      <c r="A5" s="29"/>
      <c r="B5" s="41">
        <v>12</v>
      </c>
      <c r="C5" s="26">
        <f>'Data till Lathund, Kådgenererin'!P50</f>
        <v>47</v>
      </c>
      <c r="D5" s="18">
        <f>'Data till Lathund, Kådgenererin'!P95</f>
        <v>52</v>
      </c>
      <c r="E5" s="18">
        <f>'Data till Lathund, Kådgenererin'!P140</f>
        <v>62</v>
      </c>
      <c r="F5" s="18">
        <f>'Data till Lathund, Kådgenererin'!P185</f>
        <v>75</v>
      </c>
      <c r="G5" s="22">
        <f>'Data till Lathund, Kådgenererin'!P230</f>
        <v>75</v>
      </c>
      <c r="H5" s="18">
        <f>'Data till Lathund, Kådgenererin'!P275</f>
        <v>95</v>
      </c>
      <c r="I5" s="22">
        <f>'Data till Lathund, Kådgenererin'!P320</f>
        <v>95</v>
      </c>
      <c r="M5" t="s">
        <v>91</v>
      </c>
      <c r="N5">
        <v>6</v>
      </c>
      <c r="P5" t="s">
        <v>91</v>
      </c>
      <c r="Q5">
        <v>6.333333333333333</v>
      </c>
    </row>
    <row r="6" spans="1:17" ht="15" customHeight="1" thickBot="1" x14ac:dyDescent="0.3">
      <c r="A6" s="30"/>
      <c r="B6" s="43">
        <v>20</v>
      </c>
      <c r="C6" s="27">
        <f>'Data till Lathund, Kådgenererin'!P51</f>
        <v>47</v>
      </c>
      <c r="D6" s="19">
        <f>'Data till Lathund, Kådgenererin'!P96</f>
        <v>52</v>
      </c>
      <c r="E6" s="19">
        <f>'Data till Lathund, Kådgenererin'!P141</f>
        <v>62</v>
      </c>
      <c r="F6" s="19">
        <f>'Data till Lathund, Kådgenererin'!P186</f>
        <v>75</v>
      </c>
      <c r="G6" s="23">
        <f>'Data till Lathund, Kådgenererin'!P231</f>
        <v>75</v>
      </c>
      <c r="H6" s="19">
        <f>'Data till Lathund, Kådgenererin'!P276</f>
        <v>95</v>
      </c>
      <c r="I6" s="23">
        <f>'Data till Lathund, Kådgenererin'!P321</f>
        <v>95</v>
      </c>
    </row>
    <row r="7" spans="1:17" ht="15" customHeight="1" x14ac:dyDescent="0.25">
      <c r="A7" s="31"/>
      <c r="B7" s="44">
        <v>0</v>
      </c>
      <c r="C7" s="25">
        <f>'Data till Lathund, Kådgenererin'!P52</f>
        <v>47</v>
      </c>
      <c r="D7" s="16">
        <f>'Data till Lathund, Kådgenererin'!P97</f>
        <v>47</v>
      </c>
      <c r="E7" s="16">
        <f>'Data till Lathund, Kådgenererin'!P142</f>
        <v>63</v>
      </c>
      <c r="F7" s="16">
        <f>'Data till Lathund, Kådgenererin'!P187</f>
        <v>76</v>
      </c>
      <c r="G7" s="24">
        <f>'Data till Lathund, Kådgenererin'!P232</f>
        <v>76</v>
      </c>
      <c r="H7" s="16">
        <f>'Data till Lathund, Kådgenererin'!P277</f>
        <v>96</v>
      </c>
      <c r="I7" s="24">
        <f>'Data till Lathund, Kådgenererin'!P322</f>
        <v>96</v>
      </c>
      <c r="M7" s="94" t="s">
        <v>89</v>
      </c>
      <c r="N7">
        <v>1</v>
      </c>
    </row>
    <row r="8" spans="1:17" ht="15" customHeight="1" x14ac:dyDescent="0.25">
      <c r="A8" s="32"/>
      <c r="B8" s="42">
        <v>2</v>
      </c>
      <c r="C8" s="26">
        <f>'Data till Lathund, Kådgenererin'!P53</f>
        <v>47</v>
      </c>
      <c r="D8" s="18">
        <f>'Data till Lathund, Kådgenererin'!P98</f>
        <v>47</v>
      </c>
      <c r="E8" s="18">
        <f>'Data till Lathund, Kådgenererin'!P143</f>
        <v>63</v>
      </c>
      <c r="F8" s="18">
        <f>'Data till Lathund, Kådgenererin'!P188</f>
        <v>76</v>
      </c>
      <c r="G8" s="22">
        <f>'Data till Lathund, Kådgenererin'!P233</f>
        <v>76</v>
      </c>
      <c r="H8" s="18">
        <f>'Data till Lathund, Kådgenererin'!P278</f>
        <v>96</v>
      </c>
      <c r="I8" s="22">
        <f>'Data till Lathund, Kådgenererin'!P323</f>
        <v>96</v>
      </c>
      <c r="M8" s="94" t="s">
        <v>88</v>
      </c>
      <c r="N8">
        <v>3</v>
      </c>
    </row>
    <row r="9" spans="1:17" ht="15" customHeight="1" x14ac:dyDescent="0.25">
      <c r="A9" s="32">
        <v>15</v>
      </c>
      <c r="B9" s="41">
        <v>7</v>
      </c>
      <c r="C9" s="26">
        <f>'Data till Lathund, Kådgenererin'!P54</f>
        <v>47</v>
      </c>
      <c r="D9" s="18">
        <f>'Data till Lathund, Kådgenererin'!P99</f>
        <v>47</v>
      </c>
      <c r="E9" s="18">
        <f>'Data till Lathund, Kådgenererin'!P144</f>
        <v>63</v>
      </c>
      <c r="F9" s="18">
        <f>'Data till Lathund, Kådgenererin'!P189</f>
        <v>76</v>
      </c>
      <c r="G9" s="22">
        <f>'Data till Lathund, Kådgenererin'!P234</f>
        <v>76</v>
      </c>
      <c r="H9" s="18">
        <f>'Data till Lathund, Kådgenererin'!P279</f>
        <v>96</v>
      </c>
      <c r="I9" s="22">
        <f>'Data till Lathund, Kådgenererin'!P324</f>
        <v>96</v>
      </c>
      <c r="M9" s="94" t="s">
        <v>87</v>
      </c>
      <c r="N9">
        <v>6</v>
      </c>
    </row>
    <row r="10" spans="1:17" ht="15" customHeight="1" x14ac:dyDescent="0.25">
      <c r="A10" s="32"/>
      <c r="B10" s="42">
        <v>12</v>
      </c>
      <c r="C10" s="26">
        <f>'Data till Lathund, Kådgenererin'!P55</f>
        <v>47</v>
      </c>
      <c r="D10" s="18">
        <f>'Data till Lathund, Kådgenererin'!P100</f>
        <v>47</v>
      </c>
      <c r="E10" s="18">
        <f>'Data till Lathund, Kådgenererin'!P145</f>
        <v>63</v>
      </c>
      <c r="F10" s="18">
        <f>'Data till Lathund, Kådgenererin'!P190</f>
        <v>77</v>
      </c>
      <c r="G10" s="22">
        <f>'Data till Lathund, Kådgenererin'!P235</f>
        <v>76</v>
      </c>
      <c r="H10" s="18">
        <f>'Data till Lathund, Kådgenererin'!P280</f>
        <v>96</v>
      </c>
      <c r="I10" s="22">
        <f>'Data till Lathund, Kådgenererin'!P325</f>
        <v>96</v>
      </c>
      <c r="M10" t="s">
        <v>91</v>
      </c>
      <c r="N10">
        <v>6</v>
      </c>
    </row>
    <row r="11" spans="1:17" ht="15" customHeight="1" thickBot="1" x14ac:dyDescent="0.3">
      <c r="A11" s="33"/>
      <c r="B11" s="45">
        <v>20</v>
      </c>
      <c r="C11" s="27">
        <f>'Data till Lathund, Kådgenererin'!P56</f>
        <v>47</v>
      </c>
      <c r="D11" s="19">
        <f>'Data till Lathund, Kådgenererin'!P101</f>
        <v>47</v>
      </c>
      <c r="E11" s="19">
        <f>'Data till Lathund, Kådgenererin'!P146</f>
        <v>63</v>
      </c>
      <c r="F11" s="19">
        <f>'Data till Lathund, Kådgenererin'!P191</f>
        <v>77</v>
      </c>
      <c r="G11" s="23">
        <f>'Data till Lathund, Kådgenererin'!P236</f>
        <v>76</v>
      </c>
      <c r="H11" s="19">
        <f>'Data till Lathund, Kådgenererin'!P281</f>
        <v>97</v>
      </c>
      <c r="I11" s="23">
        <f>'Data till Lathund, Kådgenererin'!P326</f>
        <v>96</v>
      </c>
    </row>
    <row r="12" spans="1:17" ht="15" customHeight="1" x14ac:dyDescent="0.25">
      <c r="A12" s="28"/>
      <c r="B12" s="40">
        <v>0</v>
      </c>
      <c r="C12" s="25">
        <f>'Data till Lathund, Kådgenererin'!P57</f>
        <v>47</v>
      </c>
      <c r="D12" s="16">
        <f>'Data till Lathund, Kådgenererin'!P102</f>
        <v>47</v>
      </c>
      <c r="E12" s="16">
        <f>'Data till Lathund, Kådgenererin'!P147</f>
        <v>47</v>
      </c>
      <c r="F12" s="16">
        <f>'Data till Lathund, Kådgenererin'!P192</f>
        <v>47</v>
      </c>
      <c r="G12" s="24">
        <f>'Data till Lathund, Kådgenererin'!P237</f>
        <v>86</v>
      </c>
      <c r="H12" s="16">
        <f>'Data till Lathund, Kådgenererin'!P282</f>
        <v>98</v>
      </c>
      <c r="I12" s="24">
        <f>'Data till Lathund, Kådgenererin'!P327</f>
        <v>98</v>
      </c>
      <c r="M12" s="94" t="s">
        <v>89</v>
      </c>
      <c r="N12">
        <v>0</v>
      </c>
    </row>
    <row r="13" spans="1:17" ht="15" customHeight="1" x14ac:dyDescent="0.25">
      <c r="A13" s="29"/>
      <c r="B13" s="41">
        <v>2</v>
      </c>
      <c r="C13" s="26">
        <f>'Data till Lathund, Kådgenererin'!P58</f>
        <v>47</v>
      </c>
      <c r="D13" s="18">
        <f>'Data till Lathund, Kådgenererin'!P103</f>
        <v>47</v>
      </c>
      <c r="E13" s="18">
        <f>'Data till Lathund, Kådgenererin'!P148</f>
        <v>47</v>
      </c>
      <c r="F13" s="18">
        <f>'Data till Lathund, Kådgenererin'!P193</f>
        <v>47</v>
      </c>
      <c r="G13" s="22">
        <f>'Data till Lathund, Kådgenererin'!P238</f>
        <v>47</v>
      </c>
      <c r="H13" s="18">
        <f>'Data till Lathund, Kådgenererin'!P283</f>
        <v>86</v>
      </c>
      <c r="I13" s="22">
        <f>'Data till Lathund, Kådgenererin'!P328</f>
        <v>98</v>
      </c>
      <c r="M13" s="94" t="s">
        <v>88</v>
      </c>
      <c r="N13">
        <v>2</v>
      </c>
    </row>
    <row r="14" spans="1:17" ht="15" customHeight="1" x14ac:dyDescent="0.25">
      <c r="A14" s="29">
        <v>10</v>
      </c>
      <c r="B14" s="42">
        <v>7</v>
      </c>
      <c r="C14" s="26">
        <f>'Data till Lathund, Kådgenererin'!P59</f>
        <v>47</v>
      </c>
      <c r="D14" s="18">
        <f>'Data till Lathund, Kådgenererin'!P104</f>
        <v>47</v>
      </c>
      <c r="E14" s="18">
        <f>'Data till Lathund, Kådgenererin'!P149</f>
        <v>47</v>
      </c>
      <c r="F14" s="18">
        <f>'Data till Lathund, Kådgenererin'!P194</f>
        <v>47</v>
      </c>
      <c r="G14" s="22">
        <f>'Data till Lathund, Kådgenererin'!P239</f>
        <v>47</v>
      </c>
      <c r="H14" s="18">
        <f>'Data till Lathund, Kådgenererin'!P284</f>
        <v>99</v>
      </c>
      <c r="I14" s="22">
        <f>'Data till Lathund, Kådgenererin'!P329</f>
        <v>106</v>
      </c>
      <c r="M14" s="94" t="s">
        <v>87</v>
      </c>
      <c r="N14">
        <v>6</v>
      </c>
    </row>
    <row r="15" spans="1:17" ht="15" customHeight="1" x14ac:dyDescent="0.25">
      <c r="A15" s="29"/>
      <c r="B15" s="41">
        <v>12</v>
      </c>
      <c r="C15" s="26">
        <f>'Data till Lathund, Kådgenererin'!P60</f>
        <v>47</v>
      </c>
      <c r="D15" s="18">
        <f>'Data till Lathund, Kådgenererin'!P105</f>
        <v>47</v>
      </c>
      <c r="E15" s="18">
        <f>'Data till Lathund, Kådgenererin'!P150</f>
        <v>47</v>
      </c>
      <c r="F15" s="18">
        <f>'Data till Lathund, Kådgenererin'!P195</f>
        <v>47</v>
      </c>
      <c r="G15" s="22">
        <f>'Data till Lathund, Kådgenererin'!P240</f>
        <v>47</v>
      </c>
      <c r="H15" s="18">
        <f>'Data till Lathund, Kådgenererin'!P285</f>
        <v>99</v>
      </c>
      <c r="I15" s="22">
        <f>'Data till Lathund, Kådgenererin'!P330</f>
        <v>106</v>
      </c>
      <c r="M15" t="s">
        <v>91</v>
      </c>
      <c r="N15">
        <v>7</v>
      </c>
    </row>
    <row r="16" spans="1:17" ht="15" customHeight="1" thickBot="1" x14ac:dyDescent="0.3">
      <c r="A16" s="30"/>
      <c r="B16" s="43">
        <v>20</v>
      </c>
      <c r="C16" s="27">
        <f>'Data till Lathund, Kådgenererin'!P61</f>
        <v>47</v>
      </c>
      <c r="D16" s="19">
        <f>'Data till Lathund, Kådgenererin'!P106</f>
        <v>47</v>
      </c>
      <c r="E16" s="19">
        <f>'Data till Lathund, Kådgenererin'!P151</f>
        <v>47</v>
      </c>
      <c r="F16" s="19">
        <f>'Data till Lathund, Kådgenererin'!P196</f>
        <v>47</v>
      </c>
      <c r="G16" s="23">
        <f>'Data till Lathund, Kådgenererin'!P241</f>
        <v>47</v>
      </c>
      <c r="H16" s="19">
        <f>'Data till Lathund, Kådgenererin'!P286</f>
        <v>99</v>
      </c>
      <c r="I16" s="23">
        <f>'Data till Lathund, Kådgenererin'!P331</f>
        <v>106</v>
      </c>
    </row>
    <row r="17" spans="1:18" ht="15" customHeight="1" x14ac:dyDescent="0.25">
      <c r="A17" s="31"/>
      <c r="B17" s="44">
        <v>0</v>
      </c>
      <c r="C17" s="25">
        <f>'Data till Lathund, Kådgenererin'!P62</f>
        <v>48</v>
      </c>
      <c r="D17" s="16">
        <f>'Data till Lathund, Kådgenererin'!P107</f>
        <v>53</v>
      </c>
      <c r="E17" s="16">
        <f>'Data till Lathund, Kådgenererin'!P152</f>
        <v>64</v>
      </c>
      <c r="F17" s="16">
        <f>'Data till Lathund, Kådgenererin'!P197</f>
        <v>78</v>
      </c>
      <c r="G17" s="24">
        <f>'Data till Lathund, Kådgenererin'!P242</f>
        <v>87</v>
      </c>
      <c r="H17" s="16">
        <f>'Data till Lathund, Kådgenererin'!P287</f>
        <v>100</v>
      </c>
      <c r="I17" s="24">
        <f>'Data till Lathund, Kådgenererin'!P332</f>
        <v>107</v>
      </c>
      <c r="M17" s="94" t="s">
        <v>89</v>
      </c>
      <c r="N17">
        <v>1</v>
      </c>
      <c r="O17" t="s">
        <v>92</v>
      </c>
      <c r="P17" t="s">
        <v>89</v>
      </c>
      <c r="Q17">
        <v>1</v>
      </c>
    </row>
    <row r="18" spans="1:18" ht="15" customHeight="1" x14ac:dyDescent="0.25">
      <c r="A18" s="32"/>
      <c r="B18" s="42">
        <v>2</v>
      </c>
      <c r="C18" s="26">
        <f>'Data till Lathund, Kådgenererin'!P63</f>
        <v>49</v>
      </c>
      <c r="D18" s="18">
        <f>'Data till Lathund, Kådgenererin'!P108</f>
        <v>54</v>
      </c>
      <c r="E18" s="18">
        <f>'Data till Lathund, Kådgenererin'!P153</f>
        <v>65</v>
      </c>
      <c r="F18" s="18">
        <f>'Data till Lathund, Kådgenererin'!P198</f>
        <v>79</v>
      </c>
      <c r="G18" s="22">
        <f>'Data till Lathund, Kådgenererin'!P243</f>
        <v>88</v>
      </c>
      <c r="H18" s="18">
        <f>'Data till Lathund, Kådgenererin'!P288</f>
        <v>101</v>
      </c>
      <c r="I18" s="22">
        <f>'Data till Lathund, Kådgenererin'!P333</f>
        <v>108</v>
      </c>
      <c r="M18" s="94" t="s">
        <v>88</v>
      </c>
      <c r="N18">
        <v>3</v>
      </c>
      <c r="P18" t="s">
        <v>88</v>
      </c>
      <c r="Q18">
        <v>2.6666666666666665</v>
      </c>
    </row>
    <row r="19" spans="1:18" ht="15" customHeight="1" x14ac:dyDescent="0.25">
      <c r="A19" s="32">
        <v>5</v>
      </c>
      <c r="B19" s="41">
        <v>7</v>
      </c>
      <c r="C19" s="26">
        <f>'Data till Lathund, Kådgenererin'!P64</f>
        <v>47</v>
      </c>
      <c r="D19" s="18">
        <f>'Data till Lathund, Kådgenererin'!P109</f>
        <v>55</v>
      </c>
      <c r="E19" s="18">
        <f>'Data till Lathund, Kådgenererin'!P154</f>
        <v>66</v>
      </c>
      <c r="F19" s="18">
        <f>'Data till Lathund, Kådgenererin'!P199</f>
        <v>80</v>
      </c>
      <c r="G19" s="22">
        <f>'Data till Lathund, Kådgenererin'!P244</f>
        <v>89</v>
      </c>
      <c r="H19" s="18">
        <f>'Data till Lathund, Kådgenererin'!P289</f>
        <v>102</v>
      </c>
      <c r="I19" s="22">
        <f>'Data till Lathund, Kådgenererin'!P334</f>
        <v>109</v>
      </c>
      <c r="M19" s="94" t="s">
        <v>87</v>
      </c>
      <c r="N19">
        <v>6</v>
      </c>
      <c r="P19" t="s">
        <v>87</v>
      </c>
      <c r="Q19">
        <v>6</v>
      </c>
      <c r="R19">
        <v>0.85714285714285698</v>
      </c>
    </row>
    <row r="20" spans="1:18" ht="15" customHeight="1" x14ac:dyDescent="0.25">
      <c r="A20" s="32"/>
      <c r="B20" s="42">
        <v>12</v>
      </c>
      <c r="C20" s="26">
        <f>'Data till Lathund, Kådgenererin'!P65</f>
        <v>47</v>
      </c>
      <c r="D20" s="18">
        <f>'Data till Lathund, Kådgenererin'!P110</f>
        <v>56</v>
      </c>
      <c r="E20" s="18">
        <f>'Data till Lathund, Kådgenererin'!P155</f>
        <v>67</v>
      </c>
      <c r="F20" s="18">
        <f>'Data till Lathund, Kådgenererin'!P200</f>
        <v>81</v>
      </c>
      <c r="G20" s="22">
        <f>'Data till Lathund, Kådgenererin'!P245</f>
        <v>90</v>
      </c>
      <c r="H20" s="18">
        <f>'Data till Lathund, Kådgenererin'!P290</f>
        <v>103</v>
      </c>
      <c r="I20" s="22">
        <f>'Data till Lathund, Kådgenererin'!P335</f>
        <v>109</v>
      </c>
      <c r="M20" t="s">
        <v>91</v>
      </c>
      <c r="N20">
        <v>7</v>
      </c>
      <c r="P20" t="s">
        <v>91</v>
      </c>
      <c r="Q20">
        <v>6.333333333333333</v>
      </c>
    </row>
    <row r="21" spans="1:18" ht="15" customHeight="1" thickBot="1" x14ac:dyDescent="0.3">
      <c r="A21" s="33"/>
      <c r="B21" s="45">
        <v>20</v>
      </c>
      <c r="C21" s="27">
        <f>'Data till Lathund, Kådgenererin'!P66</f>
        <v>47</v>
      </c>
      <c r="D21" s="19">
        <f>'Data till Lathund, Kådgenererin'!P111</f>
        <v>57</v>
      </c>
      <c r="E21" s="19">
        <f>'Data till Lathund, Kådgenererin'!P156</f>
        <v>68</v>
      </c>
      <c r="F21" s="19">
        <f>'Data till Lathund, Kådgenererin'!P201</f>
        <v>81</v>
      </c>
      <c r="G21" s="23">
        <f>'Data till Lathund, Kådgenererin'!P246</f>
        <v>90</v>
      </c>
      <c r="H21" s="19">
        <f>'Data till Lathund, Kådgenererin'!P291</f>
        <v>103</v>
      </c>
      <c r="I21" s="23">
        <f>'Data till Lathund, Kådgenererin'!P336</f>
        <v>101</v>
      </c>
    </row>
    <row r="22" spans="1:18" ht="15" customHeight="1" x14ac:dyDescent="0.25">
      <c r="A22" s="28"/>
      <c r="B22" s="40">
        <v>0</v>
      </c>
      <c r="C22" s="25">
        <f>'Data till Lathund, Kådgenererin'!P67</f>
        <v>50</v>
      </c>
      <c r="D22" s="16">
        <f>'Data till Lathund, Kådgenererin'!P112</f>
        <v>54</v>
      </c>
      <c r="E22" s="16">
        <f>'Data till Lathund, Kådgenererin'!P157</f>
        <v>69</v>
      </c>
      <c r="F22" s="16">
        <f>'Data till Lathund, Kådgenererin'!P202</f>
        <v>82</v>
      </c>
      <c r="G22" s="24">
        <f>'Data till Lathund, Kådgenererin'!P247</f>
        <v>91</v>
      </c>
      <c r="H22" s="16">
        <f>'Data till Lathund, Kådgenererin'!P292</f>
        <v>87</v>
      </c>
      <c r="I22" s="24">
        <f>'Data till Lathund, Kådgenererin'!P337</f>
        <v>109</v>
      </c>
      <c r="M22" s="94" t="s">
        <v>89</v>
      </c>
      <c r="N22">
        <v>1</v>
      </c>
    </row>
    <row r="23" spans="1:18" ht="15" customHeight="1" x14ac:dyDescent="0.25">
      <c r="A23" s="29"/>
      <c r="B23" s="41">
        <v>2</v>
      </c>
      <c r="C23" s="26">
        <f>'Data till Lathund, Kådgenererin'!P68</f>
        <v>47</v>
      </c>
      <c r="D23" s="18">
        <f>'Data till Lathund, Kådgenererin'!P113</f>
        <v>58</v>
      </c>
      <c r="E23" s="18">
        <f>'Data till Lathund, Kådgenererin'!P158</f>
        <v>68</v>
      </c>
      <c r="F23" s="18">
        <f>'Data till Lathund, Kådgenererin'!P203</f>
        <v>83</v>
      </c>
      <c r="G23" s="22">
        <f>'Data till Lathund, Kådgenererin'!P248</f>
        <v>92</v>
      </c>
      <c r="H23" s="18">
        <f>'Data till Lathund, Kådgenererin'!P293</f>
        <v>103</v>
      </c>
      <c r="I23" s="22">
        <f>'Data till Lathund, Kådgenererin'!P338</f>
        <v>101</v>
      </c>
      <c r="M23" s="94" t="s">
        <v>88</v>
      </c>
      <c r="N23">
        <v>3</v>
      </c>
    </row>
    <row r="24" spans="1:18" ht="15" customHeight="1" x14ac:dyDescent="0.25">
      <c r="A24" s="29">
        <v>0</v>
      </c>
      <c r="B24" s="42">
        <v>7</v>
      </c>
      <c r="C24" s="26">
        <f>'Data till Lathund, Kådgenererin'!P69</f>
        <v>47</v>
      </c>
      <c r="D24" s="18">
        <f>'Data till Lathund, Kådgenererin'!P114</f>
        <v>59</v>
      </c>
      <c r="E24" s="18">
        <f>'Data till Lathund, Kådgenererin'!P159</f>
        <v>70</v>
      </c>
      <c r="F24" s="18">
        <f>'Data till Lathund, Kådgenererin'!P204</f>
        <v>67</v>
      </c>
      <c r="G24" s="22">
        <f>'Data till Lathund, Kådgenererin'!P249</f>
        <v>82</v>
      </c>
      <c r="H24" s="18">
        <f>'Data till Lathund, Kådgenererin'!P294</f>
        <v>103</v>
      </c>
      <c r="I24" s="22">
        <f>'Data till Lathund, Kådgenererin'!P339</f>
        <v>110</v>
      </c>
      <c r="M24" s="94" t="s">
        <v>87</v>
      </c>
      <c r="N24">
        <v>7</v>
      </c>
    </row>
    <row r="25" spans="1:18" ht="15" customHeight="1" x14ac:dyDescent="0.25">
      <c r="A25" s="29"/>
      <c r="B25" s="41">
        <v>12</v>
      </c>
      <c r="C25" s="26">
        <f>'Data till Lathund, Kådgenererin'!P70</f>
        <v>47</v>
      </c>
      <c r="D25" s="18">
        <f>'Data till Lathund, Kådgenererin'!P115</f>
        <v>49</v>
      </c>
      <c r="E25" s="18">
        <f>'Data till Lathund, Kådgenererin'!P160</f>
        <v>71</v>
      </c>
      <c r="F25" s="18">
        <f>'Data till Lathund, Kådgenererin'!P205</f>
        <v>68</v>
      </c>
      <c r="G25" s="22">
        <f>'Data till Lathund, Kådgenererin'!P250</f>
        <v>69</v>
      </c>
      <c r="H25" s="18">
        <f>'Data till Lathund, Kådgenererin'!P295</f>
        <v>88</v>
      </c>
      <c r="I25" s="22">
        <f>'Data till Lathund, Kådgenererin'!P340</f>
        <v>103</v>
      </c>
      <c r="M25" t="s">
        <v>91</v>
      </c>
      <c r="N25">
        <v>7</v>
      </c>
    </row>
    <row r="26" spans="1:18" ht="15" customHeight="1" thickBot="1" x14ac:dyDescent="0.3">
      <c r="A26" s="30"/>
      <c r="B26" s="43">
        <v>20</v>
      </c>
      <c r="C26" s="27">
        <f>'Data till Lathund, Kådgenererin'!P71</f>
        <v>47</v>
      </c>
      <c r="D26" s="19">
        <f>'Data till Lathund, Kådgenererin'!P116</f>
        <v>47</v>
      </c>
      <c r="E26" s="19">
        <f>'Data till Lathund, Kådgenererin'!P161</f>
        <v>72</v>
      </c>
      <c r="F26" s="19">
        <f>'Data till Lathund, Kådgenererin'!P206</f>
        <v>70</v>
      </c>
      <c r="G26" s="23">
        <f>'Data till Lathund, Kådgenererin'!P251</f>
        <v>81</v>
      </c>
      <c r="H26" s="19">
        <f>'Data till Lathund, Kådgenererin'!P296</f>
        <v>88</v>
      </c>
      <c r="I26" s="23">
        <f>'Data till Lathund, Kådgenererin'!P341</f>
        <v>103</v>
      </c>
    </row>
    <row r="27" spans="1:18" ht="15" customHeight="1" x14ac:dyDescent="0.25">
      <c r="A27" s="34"/>
      <c r="B27" s="44">
        <v>0</v>
      </c>
      <c r="C27" s="25">
        <f>'Data till Lathund, Kådgenererin'!P72</f>
        <v>47</v>
      </c>
      <c r="D27" s="16">
        <f>'Data till Lathund, Kådgenererin'!P117</f>
        <v>57</v>
      </c>
      <c r="E27" s="16">
        <f>'Data till Lathund, Kådgenererin'!P162</f>
        <v>68</v>
      </c>
      <c r="F27" s="16">
        <f>'Data till Lathund, Kådgenererin'!P207</f>
        <v>83</v>
      </c>
      <c r="G27" s="24">
        <f>'Data till Lathund, Kådgenererin'!P252</f>
        <v>92</v>
      </c>
      <c r="H27" s="16">
        <f>'Data till Lathund, Kådgenererin'!P297</f>
        <v>103</v>
      </c>
      <c r="I27" s="24">
        <f>'Data till Lathund, Kådgenererin'!P342</f>
        <v>111</v>
      </c>
      <c r="M27" s="94" t="s">
        <v>89</v>
      </c>
      <c r="N27">
        <v>1</v>
      </c>
    </row>
    <row r="28" spans="1:18" ht="15" customHeight="1" x14ac:dyDescent="0.25">
      <c r="A28" s="35"/>
      <c r="B28" s="42">
        <v>2</v>
      </c>
      <c r="C28" s="26">
        <f>'Data till Lathund, Kådgenererin'!P73</f>
        <v>47</v>
      </c>
      <c r="D28" s="18">
        <f>'Data till Lathund, Kådgenererin'!P118</f>
        <v>59</v>
      </c>
      <c r="E28" s="18">
        <f>'Data till Lathund, Kådgenererin'!P163</f>
        <v>70</v>
      </c>
      <c r="F28" s="18">
        <f>'Data till Lathund, Kådgenererin'!P208</f>
        <v>68</v>
      </c>
      <c r="G28" s="22">
        <f>'Data till Lathund, Kådgenererin'!P253</f>
        <v>82</v>
      </c>
      <c r="H28" s="18">
        <f>'Data till Lathund, Kådgenererin'!P298</f>
        <v>88</v>
      </c>
      <c r="I28" s="22">
        <f>'Data till Lathund, Kådgenererin'!P343</f>
        <v>103</v>
      </c>
      <c r="M28" s="94" t="s">
        <v>88</v>
      </c>
      <c r="N28">
        <v>2</v>
      </c>
    </row>
    <row r="29" spans="1:18" ht="15" customHeight="1" x14ac:dyDescent="0.25">
      <c r="A29" s="35">
        <v>-5</v>
      </c>
      <c r="B29" s="41">
        <v>7</v>
      </c>
      <c r="C29" s="26">
        <f>'Data till Lathund, Kådgenererin'!P74</f>
        <v>47</v>
      </c>
      <c r="D29" s="18">
        <f>'Data till Lathund, Kådgenererin'!P119</f>
        <v>47</v>
      </c>
      <c r="E29" s="18">
        <f>'Data till Lathund, Kådgenererin'!P164</f>
        <v>57</v>
      </c>
      <c r="F29" s="18">
        <f>'Data till Lathund, Kådgenererin'!P209</f>
        <v>84</v>
      </c>
      <c r="G29" s="22">
        <f>'Data till Lathund, Kådgenererin'!P254</f>
        <v>67</v>
      </c>
      <c r="H29" s="18">
        <f>'Data till Lathund, Kådgenererin'!P299</f>
        <v>104</v>
      </c>
      <c r="I29" s="22">
        <f>'Data till Lathund, Kådgenererin'!P344</f>
        <v>88</v>
      </c>
      <c r="M29" s="94" t="s">
        <v>87</v>
      </c>
      <c r="N29">
        <v>5</v>
      </c>
    </row>
    <row r="30" spans="1:18" ht="15" customHeight="1" x14ac:dyDescent="0.25">
      <c r="A30" s="35"/>
      <c r="B30" s="42">
        <v>12</v>
      </c>
      <c r="C30" s="26">
        <f>'Data till Lathund, Kådgenererin'!P75</f>
        <v>47</v>
      </c>
      <c r="D30" s="18">
        <f>'Data till Lathund, Kådgenererin'!P120</f>
        <v>47</v>
      </c>
      <c r="E30" s="18">
        <f>'Data till Lathund, Kådgenererin'!P165</f>
        <v>60</v>
      </c>
      <c r="F30" s="18">
        <f>'Data till Lathund, Kådgenererin'!P210</f>
        <v>72</v>
      </c>
      <c r="G30" s="22">
        <f>'Data till Lathund, Kådgenererin'!P255</f>
        <v>68</v>
      </c>
      <c r="H30" s="18">
        <f>'Data till Lathund, Kådgenererin'!P300</f>
        <v>82</v>
      </c>
      <c r="I30" s="22">
        <f>'Data till Lathund, Kådgenererin'!P345</f>
        <v>89</v>
      </c>
      <c r="M30" t="s">
        <v>91</v>
      </c>
      <c r="N30">
        <v>5</v>
      </c>
    </row>
    <row r="31" spans="1:18" ht="15" customHeight="1" thickBot="1" x14ac:dyDescent="0.3">
      <c r="A31" s="36"/>
      <c r="B31" s="45">
        <v>20</v>
      </c>
      <c r="C31" s="27">
        <f>'Data till Lathund, Kådgenererin'!P76</f>
        <v>51</v>
      </c>
      <c r="D31" s="19">
        <f>'Data till Lathund, Kådgenererin'!P121</f>
        <v>51</v>
      </c>
      <c r="E31" s="19">
        <f>'Data till Lathund, Kådgenererin'!P166</f>
        <v>51</v>
      </c>
      <c r="F31" s="19">
        <f>'Data till Lathund, Kådgenererin'!P211</f>
        <v>51</v>
      </c>
      <c r="G31" s="23">
        <f>'Data till Lathund, Kådgenererin'!P256</f>
        <v>51</v>
      </c>
      <c r="H31" s="19">
        <f>'Data till Lathund, Kådgenererin'!P301</f>
        <v>51</v>
      </c>
      <c r="I31" s="23">
        <f>'Data till Lathund, Kådgenererin'!P346</f>
        <v>51</v>
      </c>
    </row>
    <row r="32" spans="1:18" ht="15" customHeight="1" x14ac:dyDescent="0.25">
      <c r="A32" s="37"/>
      <c r="B32" s="40">
        <v>0</v>
      </c>
      <c r="C32" s="25">
        <f>'Data till Lathund, Kådgenererin'!P77</f>
        <v>47</v>
      </c>
      <c r="D32" s="16">
        <f>'Data till Lathund, Kådgenererin'!P122</f>
        <v>60</v>
      </c>
      <c r="E32" s="16">
        <f>'Data till Lathund, Kådgenererin'!P167</f>
        <v>70</v>
      </c>
      <c r="F32" s="16">
        <f>'Data till Lathund, Kådgenererin'!P212</f>
        <v>69</v>
      </c>
      <c r="G32" s="24">
        <f>'Data till Lathund, Kådgenererin'!P257</f>
        <v>79</v>
      </c>
      <c r="H32" s="16">
        <f>'Data till Lathund, Kådgenererin'!P302</f>
        <v>88</v>
      </c>
      <c r="I32" s="24">
        <f>'Data till Lathund, Kådgenererin'!P347</f>
        <v>103</v>
      </c>
      <c r="M32" s="94" t="s">
        <v>89</v>
      </c>
      <c r="N32">
        <v>0</v>
      </c>
      <c r="O32" t="s">
        <v>93</v>
      </c>
      <c r="P32" t="s">
        <v>89</v>
      </c>
      <c r="Q32">
        <v>0</v>
      </c>
    </row>
    <row r="33" spans="1:17" ht="15" customHeight="1" x14ac:dyDescent="0.25">
      <c r="A33" s="38"/>
      <c r="B33" s="41">
        <v>2</v>
      </c>
      <c r="C33" s="26">
        <f>'Data till Lathund, Kådgenererin'!P78</f>
        <v>47</v>
      </c>
      <c r="D33" s="18">
        <f>'Data till Lathund, Kådgenererin'!P123</f>
        <v>61</v>
      </c>
      <c r="E33" s="18">
        <f>'Data till Lathund, Kådgenererin'!P168</f>
        <v>73</v>
      </c>
      <c r="F33" s="18">
        <f>'Data till Lathund, Kådgenererin'!P213</f>
        <v>84</v>
      </c>
      <c r="G33" s="22">
        <f>'Data till Lathund, Kådgenererin'!P258</f>
        <v>67</v>
      </c>
      <c r="H33" s="18">
        <f>'Data till Lathund, Kådgenererin'!P303</f>
        <v>104</v>
      </c>
      <c r="I33" s="22">
        <f>'Data till Lathund, Kådgenererin'!P348</f>
        <v>88</v>
      </c>
      <c r="M33" s="94" t="s">
        <v>88</v>
      </c>
      <c r="N33">
        <v>0</v>
      </c>
      <c r="P33" t="s">
        <v>88</v>
      </c>
      <c r="Q33">
        <v>0</v>
      </c>
    </row>
    <row r="34" spans="1:17" ht="15" customHeight="1" x14ac:dyDescent="0.25">
      <c r="A34" s="38">
        <v>-10</v>
      </c>
      <c r="B34" s="42">
        <v>7</v>
      </c>
      <c r="C34" s="26">
        <f>'Data till Lathund, Kådgenererin'!P79</f>
        <v>47</v>
      </c>
      <c r="D34" s="18">
        <f>'Data till Lathund, Kådgenererin'!P124</f>
        <v>47</v>
      </c>
      <c r="E34" s="18">
        <f>'Data till Lathund, Kådgenererin'!P169</f>
        <v>59</v>
      </c>
      <c r="F34" s="18">
        <f>'Data till Lathund, Kådgenererin'!P214</f>
        <v>59</v>
      </c>
      <c r="G34" s="22">
        <f>'Data till Lathund, Kådgenererin'!P259</f>
        <v>71</v>
      </c>
      <c r="H34" s="18">
        <f>'Data till Lathund, Kådgenererin'!P304</f>
        <v>65</v>
      </c>
      <c r="I34" s="22">
        <f>'Data till Lathund, Kådgenererin'!P349</f>
        <v>79</v>
      </c>
      <c r="M34" s="94" t="s">
        <v>87</v>
      </c>
      <c r="N34">
        <v>0</v>
      </c>
      <c r="P34" t="s">
        <v>87</v>
      </c>
      <c r="Q34">
        <v>4.666666666666667</v>
      </c>
    </row>
    <row r="35" spans="1:17" ht="15" customHeight="1" x14ac:dyDescent="0.25">
      <c r="A35" s="38"/>
      <c r="B35" s="41">
        <v>12</v>
      </c>
      <c r="C35" s="26">
        <f>'Data till Lathund, Kådgenererin'!P80</f>
        <v>51</v>
      </c>
      <c r="D35" s="18">
        <f>'Data till Lathund, Kådgenererin'!P125</f>
        <v>51</v>
      </c>
      <c r="E35" s="18">
        <f>'Data till Lathund, Kådgenererin'!P170</f>
        <v>51</v>
      </c>
      <c r="F35" s="18">
        <f>'Data till Lathund, Kådgenererin'!P215</f>
        <v>51</v>
      </c>
      <c r="G35" s="22">
        <f>'Data till Lathund, Kådgenererin'!P260</f>
        <v>51</v>
      </c>
      <c r="H35" s="18">
        <f>'Data till Lathund, Kådgenererin'!P305</f>
        <v>51</v>
      </c>
      <c r="I35" s="22">
        <f>'Data till Lathund, Kådgenererin'!P350</f>
        <v>51</v>
      </c>
      <c r="M35" t="s">
        <v>91</v>
      </c>
      <c r="N35">
        <v>7</v>
      </c>
      <c r="P35" t="s">
        <v>91</v>
      </c>
      <c r="Q35">
        <v>7</v>
      </c>
    </row>
    <row r="36" spans="1:17" ht="15" customHeight="1" thickBot="1" x14ac:dyDescent="0.3">
      <c r="A36" s="39"/>
      <c r="B36" s="43">
        <v>20</v>
      </c>
      <c r="C36" s="27">
        <f>'Data till Lathund, Kådgenererin'!P81</f>
        <v>51</v>
      </c>
      <c r="D36" s="19">
        <f>'Data till Lathund, Kådgenererin'!P126</f>
        <v>51</v>
      </c>
      <c r="E36" s="19">
        <f>'Data till Lathund, Kådgenererin'!P171</f>
        <v>51</v>
      </c>
      <c r="F36" s="19">
        <f>'Data till Lathund, Kådgenererin'!P216</f>
        <v>51</v>
      </c>
      <c r="G36" s="23">
        <f>'Data till Lathund, Kådgenererin'!P261</f>
        <v>51</v>
      </c>
      <c r="H36" s="19">
        <f>'Data till Lathund, Kådgenererin'!P306</f>
        <v>51</v>
      </c>
      <c r="I36" s="23">
        <f>'Data till Lathund, Kådgenererin'!P351</f>
        <v>51</v>
      </c>
    </row>
    <row r="37" spans="1:17" ht="15" customHeight="1" x14ac:dyDescent="0.25">
      <c r="A37" s="34"/>
      <c r="B37" s="44">
        <v>0</v>
      </c>
      <c r="C37" s="25">
        <f>'Data till Lathund, Kådgenererin'!P82</f>
        <v>47</v>
      </c>
      <c r="D37" s="16">
        <f>'Data till Lathund, Kådgenererin'!P127</f>
        <v>47</v>
      </c>
      <c r="E37" s="16">
        <f>'Data till Lathund, Kådgenererin'!P172</f>
        <v>74</v>
      </c>
      <c r="F37" s="16">
        <f>'Data till Lathund, Kådgenererin'!P217</f>
        <v>85</v>
      </c>
      <c r="G37" s="24">
        <f>'Data till Lathund, Kådgenererin'!P262</f>
        <v>93</v>
      </c>
      <c r="H37" s="16">
        <f>'Data till Lathund, Kådgenererin'!P307</f>
        <v>105</v>
      </c>
      <c r="I37" s="24">
        <f>'Data till Lathund, Kådgenererin'!P352</f>
        <v>112</v>
      </c>
      <c r="M37" s="94" t="s">
        <v>89</v>
      </c>
      <c r="N37">
        <v>0</v>
      </c>
    </row>
    <row r="38" spans="1:17" ht="15" customHeight="1" x14ac:dyDescent="0.25">
      <c r="A38" s="35"/>
      <c r="B38" s="42">
        <v>2</v>
      </c>
      <c r="C38" s="26">
        <f>'Data till Lathund, Kådgenererin'!P83</f>
        <v>47</v>
      </c>
      <c r="D38" s="18">
        <f>'Data till Lathund, Kådgenererin'!P128</f>
        <v>47</v>
      </c>
      <c r="E38" s="18">
        <f>'Data till Lathund, Kådgenererin'!P173</f>
        <v>47</v>
      </c>
      <c r="F38" s="18">
        <f>'Data till Lathund, Kådgenererin'!P218</f>
        <v>47</v>
      </c>
      <c r="G38" s="22">
        <f>'Data till Lathund, Kådgenererin'!P263</f>
        <v>94</v>
      </c>
      <c r="H38" s="18">
        <f>'Data till Lathund, Kådgenererin'!P308</f>
        <v>85</v>
      </c>
      <c r="I38" s="22">
        <f>'Data till Lathund, Kådgenererin'!P353</f>
        <v>113</v>
      </c>
      <c r="M38" s="94" t="s">
        <v>88</v>
      </c>
      <c r="N38">
        <v>0</v>
      </c>
    </row>
    <row r="39" spans="1:17" ht="15" customHeight="1" x14ac:dyDescent="0.25">
      <c r="A39" s="35">
        <v>-15</v>
      </c>
      <c r="B39" s="41">
        <v>7</v>
      </c>
      <c r="C39" s="26">
        <f>'Data till Lathund, Kådgenererin'!P84</f>
        <v>51</v>
      </c>
      <c r="D39" s="18">
        <f>'Data till Lathund, Kådgenererin'!P129</f>
        <v>51</v>
      </c>
      <c r="E39" s="18">
        <f>'Data till Lathund, Kådgenererin'!P174</f>
        <v>51</v>
      </c>
      <c r="F39" s="18">
        <f>'Data till Lathund, Kådgenererin'!P219</f>
        <v>51</v>
      </c>
      <c r="G39" s="22">
        <f>'Data till Lathund, Kådgenererin'!P264</f>
        <v>51</v>
      </c>
      <c r="H39" s="18">
        <f>'Data till Lathund, Kådgenererin'!P309</f>
        <v>51</v>
      </c>
      <c r="I39" s="22">
        <f>'Data till Lathund, Kådgenererin'!P354</f>
        <v>51</v>
      </c>
      <c r="M39" s="94" t="s">
        <v>87</v>
      </c>
      <c r="N39">
        <v>7</v>
      </c>
    </row>
    <row r="40" spans="1:17" ht="15" customHeight="1" x14ac:dyDescent="0.25">
      <c r="A40" s="35"/>
      <c r="B40" s="42">
        <v>12</v>
      </c>
      <c r="C40" s="26">
        <f>'Data till Lathund, Kådgenererin'!P85</f>
        <v>51</v>
      </c>
      <c r="D40" s="18">
        <f>'Data till Lathund, Kådgenererin'!P130</f>
        <v>51</v>
      </c>
      <c r="E40" s="18">
        <f>'Data till Lathund, Kådgenererin'!P175</f>
        <v>51</v>
      </c>
      <c r="F40" s="18">
        <f>'Data till Lathund, Kådgenererin'!P220</f>
        <v>51</v>
      </c>
      <c r="G40" s="22">
        <f>'Data till Lathund, Kådgenererin'!P265</f>
        <v>51</v>
      </c>
      <c r="H40" s="18">
        <f>'Data till Lathund, Kådgenererin'!P310</f>
        <v>51</v>
      </c>
      <c r="I40" s="22">
        <f>'Data till Lathund, Kådgenererin'!P355</f>
        <v>51</v>
      </c>
      <c r="M40" t="s">
        <v>91</v>
      </c>
      <c r="N40">
        <v>7</v>
      </c>
    </row>
    <row r="41" spans="1:17" ht="15" customHeight="1" thickBot="1" x14ac:dyDescent="0.3">
      <c r="A41" s="36"/>
      <c r="B41" s="45">
        <v>20</v>
      </c>
      <c r="C41" s="27">
        <f>'Data till Lathund, Kådgenererin'!P86</f>
        <v>51</v>
      </c>
      <c r="D41" s="19">
        <f>'Data till Lathund, Kådgenererin'!P131</f>
        <v>51</v>
      </c>
      <c r="E41" s="19">
        <f>'Data till Lathund, Kådgenererin'!P176</f>
        <v>51</v>
      </c>
      <c r="F41" s="19">
        <f>'Data till Lathund, Kådgenererin'!P221</f>
        <v>51</v>
      </c>
      <c r="G41" s="23">
        <f>'Data till Lathund, Kådgenererin'!P266</f>
        <v>51</v>
      </c>
      <c r="H41" s="19">
        <f>'Data till Lathund, Kådgenererin'!P311</f>
        <v>51</v>
      </c>
      <c r="I41" s="23">
        <f>'Data till Lathund, Kådgenererin'!P356</f>
        <v>51</v>
      </c>
    </row>
    <row r="42" spans="1:17" ht="15" customHeight="1" x14ac:dyDescent="0.25">
      <c r="A42" s="37"/>
      <c r="B42" s="40">
        <v>0</v>
      </c>
      <c r="C42" s="47">
        <f>'Data till Lathund, Kådgenererin'!P87</f>
        <v>47</v>
      </c>
      <c r="D42" s="16">
        <f>'Data till Lathund, Kådgenererin'!P132</f>
        <v>47</v>
      </c>
      <c r="E42" s="16">
        <f>'Data till Lathund, Kådgenererin'!P177</f>
        <v>47</v>
      </c>
      <c r="F42" s="16">
        <f>'Data till Lathund, Kådgenererin'!P222</f>
        <v>47</v>
      </c>
      <c r="G42" s="24">
        <f>'Data till Lathund, Kådgenererin'!P267</f>
        <v>47</v>
      </c>
      <c r="H42" s="16">
        <f>'Data till Lathund, Kådgenererin'!P312</f>
        <v>47</v>
      </c>
      <c r="I42" s="21">
        <f>'Data till Lathund, Kådgenererin'!P357</f>
        <v>47</v>
      </c>
      <c r="M42" s="94" t="s">
        <v>89</v>
      </c>
      <c r="N42">
        <v>0</v>
      </c>
    </row>
    <row r="43" spans="1:17" ht="15" customHeight="1" x14ac:dyDescent="0.25">
      <c r="A43" s="38"/>
      <c r="B43" s="41">
        <v>2</v>
      </c>
      <c r="C43" s="48">
        <f>'Data till Lathund, Kådgenererin'!P88</f>
        <v>51</v>
      </c>
      <c r="D43" s="18">
        <f>'Data till Lathund, Kådgenererin'!P133</f>
        <v>51</v>
      </c>
      <c r="E43" s="18">
        <f>'Data till Lathund, Kådgenererin'!P178</f>
        <v>51</v>
      </c>
      <c r="F43" s="18">
        <f>'Data till Lathund, Kådgenererin'!P223</f>
        <v>51</v>
      </c>
      <c r="G43" s="22">
        <f>'Data till Lathund, Kådgenererin'!P268</f>
        <v>51</v>
      </c>
      <c r="H43" s="18">
        <f>'Data till Lathund, Kådgenererin'!P313</f>
        <v>51</v>
      </c>
      <c r="I43" s="17">
        <f>'Data till Lathund, Kådgenererin'!P358</f>
        <v>51</v>
      </c>
      <c r="M43" s="94" t="s">
        <v>88</v>
      </c>
      <c r="N43">
        <v>0</v>
      </c>
    </row>
    <row r="44" spans="1:17" ht="15" customHeight="1" x14ac:dyDescent="0.25">
      <c r="A44" s="38">
        <v>-20</v>
      </c>
      <c r="B44" s="42">
        <v>7</v>
      </c>
      <c r="C44" s="48">
        <f>'Data till Lathund, Kådgenererin'!P89</f>
        <v>51</v>
      </c>
      <c r="D44" s="18">
        <f>'Data till Lathund, Kådgenererin'!P134</f>
        <v>51</v>
      </c>
      <c r="E44" s="18">
        <f>'Data till Lathund, Kådgenererin'!P179</f>
        <v>51</v>
      </c>
      <c r="F44" s="18">
        <f>'Data till Lathund, Kådgenererin'!P224</f>
        <v>51</v>
      </c>
      <c r="G44" s="22">
        <f>'Data till Lathund, Kådgenererin'!P269</f>
        <v>51</v>
      </c>
      <c r="H44" s="18">
        <f>'Data till Lathund, Kådgenererin'!P314</f>
        <v>51</v>
      </c>
      <c r="I44" s="17">
        <f>'Data till Lathund, Kådgenererin'!P359</f>
        <v>51</v>
      </c>
      <c r="M44" s="94" t="s">
        <v>87</v>
      </c>
      <c r="N44">
        <v>7</v>
      </c>
    </row>
    <row r="45" spans="1:17" ht="15" customHeight="1" x14ac:dyDescent="0.25">
      <c r="A45" s="38"/>
      <c r="B45" s="41">
        <v>12</v>
      </c>
      <c r="C45" s="48">
        <f>'Data till Lathund, Kådgenererin'!P90</f>
        <v>51</v>
      </c>
      <c r="D45" s="18">
        <f>'Data till Lathund, Kådgenererin'!P135</f>
        <v>51</v>
      </c>
      <c r="E45" s="18">
        <f>'Data till Lathund, Kådgenererin'!P180</f>
        <v>51</v>
      </c>
      <c r="F45" s="18">
        <f>'Data till Lathund, Kådgenererin'!P225</f>
        <v>51</v>
      </c>
      <c r="G45" s="22">
        <f>'Data till Lathund, Kådgenererin'!P270</f>
        <v>51</v>
      </c>
      <c r="H45" s="18">
        <f>'Data till Lathund, Kådgenererin'!P315</f>
        <v>51</v>
      </c>
      <c r="I45" s="17">
        <f>'Data till Lathund, Kådgenererin'!P360</f>
        <v>51</v>
      </c>
      <c r="M45" t="s">
        <v>91</v>
      </c>
      <c r="N45">
        <v>7</v>
      </c>
    </row>
    <row r="46" spans="1:17" ht="15" customHeight="1" thickBot="1" x14ac:dyDescent="0.3">
      <c r="A46" s="39"/>
      <c r="B46" s="43">
        <v>20</v>
      </c>
      <c r="C46" s="49">
        <f>'Data till Lathund, Kådgenererin'!P91</f>
        <v>51</v>
      </c>
      <c r="D46" s="19">
        <f>'Data till Lathund, Kådgenererin'!P136</f>
        <v>51</v>
      </c>
      <c r="E46" s="19">
        <f>'Data till Lathund, Kådgenererin'!P181</f>
        <v>51</v>
      </c>
      <c r="F46" s="19">
        <f>'Data till Lathund, Kådgenererin'!P226</f>
        <v>51</v>
      </c>
      <c r="G46" s="23">
        <f>'Data till Lathund, Kådgenererin'!P271</f>
        <v>51</v>
      </c>
      <c r="H46" s="19">
        <f>'Data till Lathund, Kådgenererin'!P316</f>
        <v>51</v>
      </c>
      <c r="I46" s="20">
        <f>'Data till Lathund, Kådgenererin'!P361</f>
        <v>51</v>
      </c>
    </row>
    <row r="50" spans="11:18" ht="45" x14ac:dyDescent="0.25">
      <c r="K50" s="52" t="s">
        <v>19</v>
      </c>
      <c r="L50" s="53" t="s">
        <v>44</v>
      </c>
      <c r="M50" s="53" t="s">
        <v>0</v>
      </c>
      <c r="N50" s="53" t="s">
        <v>1</v>
      </c>
      <c r="O50" s="53" t="s">
        <v>25</v>
      </c>
      <c r="P50" s="54" t="s">
        <v>3</v>
      </c>
      <c r="Q50" s="53" t="s">
        <v>26</v>
      </c>
      <c r="R50" s="53" t="s">
        <v>27</v>
      </c>
    </row>
    <row r="51" spans="11:18" x14ac:dyDescent="0.25">
      <c r="K51" s="46">
        <f>'Data till lathund Åtgärder'!A2</f>
        <v>1</v>
      </c>
      <c r="L51" s="92">
        <f>'Data till lathund Åtgärder'!B2</f>
        <v>0.4</v>
      </c>
      <c r="M51" s="55">
        <f>'Data till lathund Åtgärder'!C2</f>
        <v>15</v>
      </c>
      <c r="N51" s="55">
        <f>'Data till lathund Åtgärder'!D2</f>
        <v>20</v>
      </c>
      <c r="O51" s="55" t="str">
        <f>'Data till lathund Åtgärder'!E2</f>
        <v>-</v>
      </c>
      <c r="P51" s="55" t="str">
        <f>'Data till lathund Åtgärder'!F2</f>
        <v>-</v>
      </c>
      <c r="Q51" s="76" t="str">
        <f>'Data till lathund Åtgärder'!G2</f>
        <v>OK7</v>
      </c>
      <c r="R51" s="76"/>
    </row>
    <row r="52" spans="11:18" x14ac:dyDescent="0.25">
      <c r="K52" s="46">
        <f>'Data till lathund Åtgärder'!A3</f>
        <v>2</v>
      </c>
      <c r="L52" s="92">
        <f>'Data till lathund Åtgärder'!B3</f>
        <v>0.4</v>
      </c>
      <c r="M52" s="55">
        <f>'Data till lathund Åtgärder'!C3</f>
        <v>15</v>
      </c>
      <c r="N52" s="55">
        <f>'Data till lathund Åtgärder'!D3</f>
        <v>20</v>
      </c>
      <c r="O52" s="55">
        <f>'Data till lathund Åtgärder'!E3</f>
        <v>0</v>
      </c>
      <c r="P52" s="55" t="str">
        <f>'Data till lathund Åtgärder'!F3</f>
        <v>-</v>
      </c>
      <c r="Q52" s="76" t="str">
        <f>'Data till lathund Åtgärder'!G3</f>
        <v>OK7</v>
      </c>
      <c r="R52" s="76"/>
    </row>
    <row r="53" spans="11:18" x14ac:dyDescent="0.25">
      <c r="K53" s="46">
        <f>'Data till lathund Åtgärder'!A4</f>
        <v>3</v>
      </c>
      <c r="L53" s="92">
        <f>'Data till lathund Åtgärder'!B4</f>
        <v>0.4</v>
      </c>
      <c r="M53" s="55">
        <f>'Data till lathund Åtgärder'!C4</f>
        <v>15</v>
      </c>
      <c r="N53" s="55">
        <f>'Data till lathund Åtgärder'!D4</f>
        <v>15</v>
      </c>
      <c r="O53" s="55">
        <f>'Data till lathund Åtgärder'!E4</f>
        <v>0</v>
      </c>
      <c r="P53" s="55" t="str">
        <f>'Data till lathund Åtgärder'!F4</f>
        <v>Presenning</v>
      </c>
      <c r="Q53" s="76" t="str">
        <f>'Data till lathund Åtgärder'!G4</f>
        <v>OK7</v>
      </c>
      <c r="R53" s="76"/>
    </row>
    <row r="54" spans="11:18" x14ac:dyDescent="0.25">
      <c r="K54" s="46">
        <f>'Data till lathund Åtgärder'!A5</f>
        <v>4</v>
      </c>
      <c r="L54" s="92">
        <f>'Data till lathund Åtgärder'!B5</f>
        <v>0.4</v>
      </c>
      <c r="M54" s="55">
        <f>'Data till lathund Åtgärder'!C5</f>
        <v>15</v>
      </c>
      <c r="N54" s="55">
        <f>'Data till lathund Åtgärder'!D5</f>
        <v>20</v>
      </c>
      <c r="O54" s="55">
        <f>'Data till lathund Åtgärder'!E5</f>
        <v>0</v>
      </c>
      <c r="P54" s="55" t="str">
        <f>'Data till lathund Åtgärder'!F5</f>
        <v>Presenning</v>
      </c>
      <c r="Q54" s="76" t="str">
        <f>'Data till lathund Åtgärder'!G5</f>
        <v>OK7</v>
      </c>
      <c r="R54" s="76"/>
    </row>
    <row r="55" spans="11:18" x14ac:dyDescent="0.25">
      <c r="K55" s="46">
        <f>'Data till lathund Åtgärder'!A6</f>
        <v>5</v>
      </c>
      <c r="L55" s="92">
        <f>'Data till lathund Åtgärder'!B6</f>
        <v>0.4</v>
      </c>
      <c r="M55" s="55">
        <f>'Data till lathund Åtgärder'!C6</f>
        <v>20</v>
      </c>
      <c r="N55" s="55">
        <f>'Data till lathund Åtgärder'!D6</f>
        <v>5</v>
      </c>
      <c r="O55" s="55">
        <f>'Data till lathund Åtgärder'!E6</f>
        <v>0</v>
      </c>
      <c r="P55" s="55">
        <f>'Data till lathund Åtgärder'!F6</f>
        <v>50</v>
      </c>
      <c r="Q55" s="76" t="str">
        <f>'Data till lathund Åtgärder'!G6</f>
        <v>OK7</v>
      </c>
      <c r="R55" s="76"/>
    </row>
    <row r="56" spans="11:18" x14ac:dyDescent="0.25">
      <c r="K56" s="46">
        <f>'Data till lathund Åtgärder'!A7</f>
        <v>6</v>
      </c>
      <c r="L56" s="92">
        <f>'Data till lathund Åtgärder'!B7</f>
        <v>0.4</v>
      </c>
      <c r="M56" s="55">
        <f>'Data till lathund Åtgärder'!C7</f>
        <v>20</v>
      </c>
      <c r="N56" s="55">
        <f>'Data till lathund Åtgärder'!D7</f>
        <v>5</v>
      </c>
      <c r="O56" s="55">
        <f>'Data till lathund Åtgärder'!E7</f>
        <v>20</v>
      </c>
      <c r="P56" s="55">
        <f>'Data till lathund Åtgärder'!F7</f>
        <v>10</v>
      </c>
      <c r="Q56" s="76" t="str">
        <f>'Data till lathund Åtgärder'!G7</f>
        <v>OK7</v>
      </c>
      <c r="R56" s="76"/>
    </row>
    <row r="57" spans="11:18" x14ac:dyDescent="0.25">
      <c r="K57" s="46">
        <f>'Data till lathund Åtgärder'!A8</f>
        <v>7</v>
      </c>
      <c r="L57" s="92">
        <f>'Data till lathund Åtgärder'!B8</f>
        <v>0.4</v>
      </c>
      <c r="M57" s="55">
        <f>'Data till lathund Åtgärder'!C8</f>
        <v>20</v>
      </c>
      <c r="N57" s="55">
        <f>'Data till lathund Åtgärder'!D8</f>
        <v>5</v>
      </c>
      <c r="O57" s="55">
        <f>'Data till lathund Åtgärder'!E8</f>
        <v>20</v>
      </c>
      <c r="P57" s="55">
        <f>'Data till lathund Åtgärder'!F8</f>
        <v>20</v>
      </c>
      <c r="Q57" s="76" t="str">
        <f>'Data till lathund Åtgärder'!G8</f>
        <v>OK7</v>
      </c>
      <c r="R57" s="76"/>
    </row>
    <row r="58" spans="11:18" x14ac:dyDescent="0.25">
      <c r="K58" s="46">
        <f>'Data till lathund Åtgärder'!A9</f>
        <v>8</v>
      </c>
      <c r="L58" s="92">
        <f>'Data till lathund Åtgärder'!B9</f>
        <v>0.4</v>
      </c>
      <c r="M58" s="55">
        <f>'Data till lathund Åtgärder'!C9</f>
        <v>20</v>
      </c>
      <c r="N58" s="55">
        <f>'Data till lathund Åtgärder'!D9</f>
        <v>5</v>
      </c>
      <c r="O58" s="55">
        <f>'Data till lathund Åtgärder'!E9</f>
        <v>20</v>
      </c>
      <c r="P58" s="55">
        <f>'Data till lathund Åtgärder'!F9</f>
        <v>30</v>
      </c>
      <c r="Q58" s="76" t="str">
        <f>'Data till lathund Åtgärder'!G9</f>
        <v>OK7</v>
      </c>
      <c r="R58" s="76"/>
    </row>
    <row r="59" spans="11:18" x14ac:dyDescent="0.25">
      <c r="K59" s="46">
        <f>'Data till lathund Åtgärder'!A10</f>
        <v>9</v>
      </c>
      <c r="L59" s="92">
        <f>'Data till lathund Åtgärder'!B10</f>
        <v>0.4</v>
      </c>
      <c r="M59" s="55">
        <f>'Data till lathund Åtgärder'!C10</f>
        <v>20</v>
      </c>
      <c r="N59" s="55">
        <f>'Data till lathund Åtgärder'!D10</f>
        <v>5</v>
      </c>
      <c r="O59" s="55">
        <f>'Data till lathund Åtgärder'!E10</f>
        <v>20</v>
      </c>
      <c r="P59" s="55">
        <f>'Data till lathund Åtgärder'!F10</f>
        <v>50</v>
      </c>
      <c r="Q59" s="76" t="str">
        <f>'Data till lathund Åtgärder'!G10</f>
        <v>OK7</v>
      </c>
      <c r="R59" s="76"/>
    </row>
    <row r="60" spans="11:18" x14ac:dyDescent="0.25">
      <c r="K60" s="46">
        <f>'Data till lathund Åtgärder'!A11</f>
        <v>10</v>
      </c>
      <c r="L60" s="92">
        <f>'Data till lathund Åtgärder'!B11</f>
        <v>0.3</v>
      </c>
      <c r="M60" s="55">
        <f>'Data till lathund Åtgärder'!C11</f>
        <v>15</v>
      </c>
      <c r="N60" s="55">
        <f>'Data till lathund Åtgärder'!D11</f>
        <v>15</v>
      </c>
      <c r="O60" s="55" t="str">
        <f>'Data till lathund Åtgärder'!E11</f>
        <v>-</v>
      </c>
      <c r="P60" s="55" t="str">
        <f>'Data till lathund Åtgärder'!F11</f>
        <v>-</v>
      </c>
      <c r="Q60" s="76" t="str">
        <f>'Data till lathund Åtgärder'!G11</f>
        <v>OK7</v>
      </c>
      <c r="R60" s="76"/>
    </row>
    <row r="61" spans="11:18" x14ac:dyDescent="0.25">
      <c r="K61" s="46">
        <f>'Data till lathund Åtgärder'!A12</f>
        <v>11</v>
      </c>
      <c r="L61" s="92">
        <f>'Data till lathund Åtgärder'!B12</f>
        <v>0.3</v>
      </c>
      <c r="M61" s="55">
        <f>'Data till lathund Åtgärder'!C12</f>
        <v>15</v>
      </c>
      <c r="N61" s="55">
        <f>'Data till lathund Åtgärder'!D12</f>
        <v>20</v>
      </c>
      <c r="O61" s="55" t="str">
        <f>'Data till lathund Åtgärder'!E12</f>
        <v>-</v>
      </c>
      <c r="P61" s="55" t="str">
        <f>'Data till lathund Åtgärder'!F12</f>
        <v>-</v>
      </c>
      <c r="Q61" s="76" t="str">
        <f>'Data till lathund Åtgärder'!G12</f>
        <v>OK7</v>
      </c>
      <c r="R61" s="76"/>
    </row>
    <row r="62" spans="11:18" x14ac:dyDescent="0.25">
      <c r="K62" s="46">
        <f>'Data till lathund Åtgärder'!A13</f>
        <v>12</v>
      </c>
      <c r="L62" s="92">
        <f>'Data till lathund Åtgärder'!B13</f>
        <v>0.3</v>
      </c>
      <c r="M62" s="55">
        <f>'Data till lathund Åtgärder'!C13</f>
        <v>15</v>
      </c>
      <c r="N62" s="55">
        <f>'Data till lathund Åtgärder'!D13</f>
        <v>15</v>
      </c>
      <c r="O62" s="55">
        <f>'Data till lathund Åtgärder'!E13</f>
        <v>0</v>
      </c>
      <c r="P62" s="55" t="str">
        <f>'Data till lathund Åtgärder'!F13</f>
        <v>-</v>
      </c>
      <c r="Q62" s="76" t="str">
        <f>'Data till lathund Åtgärder'!G13</f>
        <v>OK7</v>
      </c>
      <c r="R62" s="76"/>
    </row>
    <row r="63" spans="11:18" x14ac:dyDescent="0.25">
      <c r="K63" s="46">
        <f>'Data till lathund Åtgärder'!A14</f>
        <v>13</v>
      </c>
      <c r="L63" s="92">
        <f>'Data till lathund Åtgärder'!B14</f>
        <v>0.3</v>
      </c>
      <c r="M63" s="55">
        <f>'Data till lathund Åtgärder'!C14</f>
        <v>15</v>
      </c>
      <c r="N63" s="55">
        <f>'Data till lathund Åtgärder'!D14</f>
        <v>15</v>
      </c>
      <c r="O63" s="55">
        <f>'Data till lathund Åtgärder'!E14</f>
        <v>0</v>
      </c>
      <c r="P63" s="55" t="str">
        <f>'Data till lathund Åtgärder'!F14</f>
        <v>Presenning</v>
      </c>
      <c r="Q63" s="76" t="str">
        <f>'Data till lathund Åtgärder'!G14</f>
        <v>OK7</v>
      </c>
      <c r="R63" s="76"/>
    </row>
    <row r="64" spans="11:18" x14ac:dyDescent="0.25">
      <c r="K64" s="46">
        <f>'Data till lathund Åtgärder'!A15</f>
        <v>14</v>
      </c>
      <c r="L64" s="92">
        <f>'Data till lathund Åtgärder'!B15</f>
        <v>0.3</v>
      </c>
      <c r="M64" s="55">
        <f>'Data till lathund Åtgärder'!C15</f>
        <v>15</v>
      </c>
      <c r="N64" s="55">
        <f>'Data till lathund Åtgärder'!D15</f>
        <v>20</v>
      </c>
      <c r="O64" s="55">
        <f>'Data till lathund Åtgärder'!E15</f>
        <v>0</v>
      </c>
      <c r="P64" s="55" t="str">
        <f>'Data till lathund Åtgärder'!F15</f>
        <v>Presenning</v>
      </c>
      <c r="Q64" s="76" t="str">
        <f>'Data till lathund Åtgärder'!G15</f>
        <v>OK7</v>
      </c>
      <c r="R64" s="76"/>
    </row>
    <row r="65" spans="11:18" x14ac:dyDescent="0.25">
      <c r="K65" s="46">
        <f>'Data till lathund Åtgärder'!A16</f>
        <v>15</v>
      </c>
      <c r="L65" s="92">
        <f>'Data till lathund Åtgärder'!B16</f>
        <v>0.3</v>
      </c>
      <c r="M65" s="55">
        <f>'Data till lathund Åtgärder'!C16</f>
        <v>20</v>
      </c>
      <c r="N65" s="55">
        <f>'Data till lathund Åtgärder'!D16</f>
        <v>5</v>
      </c>
      <c r="O65" s="55">
        <f>'Data till lathund Åtgärder'!E16</f>
        <v>20</v>
      </c>
      <c r="P65" s="55">
        <f>'Data till lathund Åtgärder'!F16</f>
        <v>10</v>
      </c>
      <c r="Q65" s="76" t="str">
        <f>'Data till lathund Åtgärder'!G16</f>
        <v>OK7</v>
      </c>
      <c r="R65" s="76"/>
    </row>
    <row r="66" spans="11:18" x14ac:dyDescent="0.25">
      <c r="K66" s="46">
        <f>'Data till lathund Åtgärder'!A17</f>
        <v>16</v>
      </c>
      <c r="L66" s="92">
        <f>'Data till lathund Åtgärder'!B17</f>
        <v>0.3</v>
      </c>
      <c r="M66" s="55">
        <f>'Data till lathund Åtgärder'!C17</f>
        <v>20</v>
      </c>
      <c r="N66" s="55">
        <f>'Data till lathund Åtgärder'!D17</f>
        <v>5</v>
      </c>
      <c r="O66" s="55">
        <f>'Data till lathund Åtgärder'!E17</f>
        <v>20</v>
      </c>
      <c r="P66" s="55">
        <f>'Data till lathund Åtgärder'!F17</f>
        <v>30</v>
      </c>
      <c r="Q66" s="76" t="str">
        <f>'Data till lathund Åtgärder'!G17</f>
        <v>OK7</v>
      </c>
      <c r="R66" s="76"/>
    </row>
    <row r="67" spans="11:18" x14ac:dyDescent="0.25">
      <c r="K67" s="46">
        <f>'Data till lathund Åtgärder'!A18</f>
        <v>17</v>
      </c>
      <c r="L67" s="92">
        <f>'Data till lathund Åtgärder'!B18</f>
        <v>0.3</v>
      </c>
      <c r="M67" s="55">
        <f>'Data till lathund Åtgärder'!C18</f>
        <v>20</v>
      </c>
      <c r="N67" s="55">
        <f>'Data till lathund Åtgärder'!D18</f>
        <v>5</v>
      </c>
      <c r="O67" s="55">
        <f>'Data till lathund Åtgärder'!E18</f>
        <v>20</v>
      </c>
      <c r="P67" s="55">
        <f>'Data till lathund Åtgärder'!F18</f>
        <v>50</v>
      </c>
      <c r="Q67" s="76" t="str">
        <f>'Data till lathund Åtgärder'!G18</f>
        <v>OK7</v>
      </c>
      <c r="R67" s="76"/>
    </row>
    <row r="68" spans="11:18" x14ac:dyDescent="0.25">
      <c r="K68" s="46">
        <f>'Data till lathund Åtgärder'!A19</f>
        <v>18</v>
      </c>
      <c r="L68" s="92">
        <f>'Data till lathund Åtgärder'!B19</f>
        <v>0.2</v>
      </c>
      <c r="M68" s="55">
        <f>'Data till lathund Åtgärder'!C19</f>
        <v>15</v>
      </c>
      <c r="N68" s="55">
        <f>'Data till lathund Åtgärder'!D19</f>
        <v>10</v>
      </c>
      <c r="O68" s="55" t="str">
        <f>'Data till lathund Åtgärder'!E19</f>
        <v>-</v>
      </c>
      <c r="P68" s="55" t="str">
        <f>'Data till lathund Åtgärder'!F19</f>
        <v>-</v>
      </c>
      <c r="Q68" s="76" t="str">
        <f>'Data till lathund Åtgärder'!G19</f>
        <v>OK7</v>
      </c>
      <c r="R68" s="76"/>
    </row>
    <row r="69" spans="11:18" x14ac:dyDescent="0.25">
      <c r="K69" s="46">
        <f>'Data till lathund Åtgärder'!A20</f>
        <v>19</v>
      </c>
      <c r="L69" s="92">
        <f>'Data till lathund Åtgärder'!B20</f>
        <v>0.2</v>
      </c>
      <c r="M69" s="55">
        <f>'Data till lathund Åtgärder'!C20</f>
        <v>15</v>
      </c>
      <c r="N69" s="55">
        <f>'Data till lathund Åtgärder'!D20</f>
        <v>15</v>
      </c>
      <c r="O69" s="55" t="str">
        <f>'Data till lathund Åtgärder'!E20</f>
        <v>-</v>
      </c>
      <c r="P69" s="55" t="str">
        <f>'Data till lathund Åtgärder'!F20</f>
        <v>-</v>
      </c>
      <c r="Q69" s="76" t="str">
        <f>'Data till lathund Åtgärder'!G20</f>
        <v>OK7</v>
      </c>
      <c r="R69" s="76"/>
    </row>
    <row r="70" spans="11:18" x14ac:dyDescent="0.25">
      <c r="K70" s="46">
        <f>'Data till lathund Åtgärder'!A22</f>
        <v>21</v>
      </c>
      <c r="L70" s="92">
        <f>'Data till lathund Åtgärder'!B22</f>
        <v>0.2</v>
      </c>
      <c r="M70" s="55">
        <f>'Data till lathund Åtgärder'!C22</f>
        <v>15</v>
      </c>
      <c r="N70" s="55">
        <f>'Data till lathund Åtgärder'!D22</f>
        <v>15</v>
      </c>
      <c r="O70" s="55">
        <f>'Data till lathund Åtgärder'!E22</f>
        <v>0</v>
      </c>
      <c r="P70" s="55" t="str">
        <f>'Data till lathund Åtgärder'!F22</f>
        <v>-</v>
      </c>
      <c r="Q70" s="76" t="str">
        <f>'Data till lathund Åtgärder'!G22</f>
        <v>OK7</v>
      </c>
      <c r="R70" s="76"/>
    </row>
    <row r="71" spans="11:18" x14ac:dyDescent="0.25">
      <c r="K71" s="46">
        <f>'Data till lathund Åtgärder'!A23</f>
        <v>22</v>
      </c>
      <c r="L71" s="92">
        <f>'Data till lathund Åtgärder'!B23</f>
        <v>0.2</v>
      </c>
      <c r="M71" s="55">
        <f>'Data till lathund Åtgärder'!C23</f>
        <v>15</v>
      </c>
      <c r="N71" s="55">
        <f>'Data till lathund Åtgärder'!D23</f>
        <v>10</v>
      </c>
      <c r="O71" s="55">
        <f>'Data till lathund Åtgärder'!E23</f>
        <v>0</v>
      </c>
      <c r="P71" s="55" t="str">
        <f>'Data till lathund Åtgärder'!F23</f>
        <v>Presenning</v>
      </c>
      <c r="Q71" s="76" t="str">
        <f>'Data till lathund Åtgärder'!G23</f>
        <v>OK7</v>
      </c>
      <c r="R71" s="76"/>
    </row>
    <row r="72" spans="11:18" x14ac:dyDescent="0.25">
      <c r="K72" s="46">
        <f>'Data till lathund Åtgärder'!A24</f>
        <v>23</v>
      </c>
      <c r="L72" s="92">
        <f>'Data till lathund Åtgärder'!B24</f>
        <v>0.2</v>
      </c>
      <c r="M72" s="55">
        <f>'Data till lathund Åtgärder'!C24</f>
        <v>15</v>
      </c>
      <c r="N72" s="55">
        <f>'Data till lathund Åtgärder'!D24</f>
        <v>15</v>
      </c>
      <c r="O72" s="55">
        <f>'Data till lathund Åtgärder'!E24</f>
        <v>0</v>
      </c>
      <c r="P72" s="55" t="str">
        <f>'Data till lathund Åtgärder'!F24</f>
        <v>Presenning</v>
      </c>
      <c r="Q72" s="76" t="str">
        <f>'Data till lathund Åtgärder'!G24</f>
        <v>OK7</v>
      </c>
      <c r="R72" s="76"/>
    </row>
    <row r="73" spans="11:18" x14ac:dyDescent="0.25">
      <c r="K73" s="46">
        <f>'Data till lathund Åtgärder'!A21</f>
        <v>20</v>
      </c>
      <c r="L73" s="92">
        <f>'Data till lathund Åtgärder'!B21</f>
        <v>0.2</v>
      </c>
      <c r="M73" s="55">
        <f>'Data till lathund Åtgärder'!C21</f>
        <v>15</v>
      </c>
      <c r="N73" s="55">
        <f>'Data till lathund Åtgärder'!D21</f>
        <v>20</v>
      </c>
      <c r="O73" s="55" t="str">
        <f>'Data till lathund Åtgärder'!E21</f>
        <v>-</v>
      </c>
      <c r="P73" s="55" t="str">
        <f>'Data till lathund Åtgärder'!F21</f>
        <v>-</v>
      </c>
      <c r="Q73" s="76" t="str">
        <f>'Data till lathund Åtgärder'!G21</f>
        <v>OK7</v>
      </c>
      <c r="R73" s="76"/>
    </row>
    <row r="74" spans="11:18" x14ac:dyDescent="0.25">
      <c r="K74" s="46">
        <f>'Data till lathund Åtgärder'!A27</f>
        <v>26</v>
      </c>
      <c r="L74" s="92">
        <f>'Data till lathund Åtgärder'!B27</f>
        <v>0.2</v>
      </c>
      <c r="M74" s="55">
        <f>'Data till lathund Åtgärder'!C27</f>
        <v>20</v>
      </c>
      <c r="N74" s="55">
        <f>'Data till lathund Åtgärder'!D27</f>
        <v>5</v>
      </c>
      <c r="O74" s="55">
        <f>'Data till lathund Åtgärder'!E27</f>
        <v>20</v>
      </c>
      <c r="P74" s="55">
        <f>'Data till lathund Åtgärder'!F27</f>
        <v>50</v>
      </c>
      <c r="Q74" s="76" t="str">
        <f>'Data till lathund Åtgärder'!G27</f>
        <v>OK7</v>
      </c>
      <c r="R74" s="78"/>
    </row>
    <row r="75" spans="11:18" x14ac:dyDescent="0.25">
      <c r="K75" s="46">
        <f>'Data till lathund Åtgärder'!A26</f>
        <v>25</v>
      </c>
      <c r="L75" s="92">
        <f>'Data till lathund Åtgärder'!B26</f>
        <v>0.2</v>
      </c>
      <c r="M75" s="55">
        <f>'Data till lathund Åtgärder'!C26</f>
        <v>20</v>
      </c>
      <c r="N75" s="55">
        <f>'Data till lathund Åtgärder'!D26</f>
        <v>5</v>
      </c>
      <c r="O75" s="55">
        <f>'Data till lathund Åtgärder'!E26</f>
        <v>20</v>
      </c>
      <c r="P75" s="55">
        <f>'Data till lathund Åtgärder'!F26</f>
        <v>30</v>
      </c>
      <c r="Q75" s="76" t="str">
        <f>'Data till lathund Åtgärder'!G26</f>
        <v>OK7</v>
      </c>
      <c r="R75" s="78"/>
    </row>
    <row r="76" spans="11:18" x14ac:dyDescent="0.25">
      <c r="K76" s="46">
        <f>'Data till lathund Åtgärder'!A25</f>
        <v>24</v>
      </c>
      <c r="L76" s="92">
        <f>'Data till lathund Åtgärder'!B25</f>
        <v>0.2</v>
      </c>
      <c r="M76" s="55">
        <f>'Data till lathund Åtgärder'!C25</f>
        <v>20</v>
      </c>
      <c r="N76" s="55">
        <f>'Data till lathund Åtgärder'!D25</f>
        <v>5</v>
      </c>
      <c r="O76" s="55">
        <f>'Data till lathund Åtgärder'!E25</f>
        <v>20</v>
      </c>
      <c r="P76" s="55">
        <f>'Data till lathund Åtgärder'!F25</f>
        <v>20</v>
      </c>
      <c r="Q76" s="76" t="str">
        <f>'Data till lathund Åtgärder'!G25</f>
        <v>OK7</v>
      </c>
      <c r="R76" s="78"/>
    </row>
    <row r="77" spans="11:18" x14ac:dyDescent="0.25">
      <c r="K77" s="46">
        <f>'Data till lathund Åtgärder'!A28</f>
        <v>27</v>
      </c>
      <c r="L77" s="92">
        <f>'Data till lathund Åtgärder'!B28</f>
        <v>0.1</v>
      </c>
      <c r="M77" s="55">
        <f>'Data till lathund Åtgärder'!C28</f>
        <v>15</v>
      </c>
      <c r="N77" s="55">
        <f>'Data till lathund Åtgärder'!D28</f>
        <v>15</v>
      </c>
      <c r="O77" s="55" t="str">
        <f>'Data till lathund Åtgärder'!E28</f>
        <v>-</v>
      </c>
      <c r="P77" s="55" t="str">
        <f>'Data till lathund Åtgärder'!F28</f>
        <v>-</v>
      </c>
      <c r="Q77" s="76" t="str">
        <f>'Data till lathund Åtgärder'!G28</f>
        <v>OK7</v>
      </c>
      <c r="R77" s="78"/>
    </row>
    <row r="78" spans="11:18" x14ac:dyDescent="0.25">
      <c r="K78" s="46">
        <f>'Data till lathund Åtgärder'!A29</f>
        <v>28</v>
      </c>
      <c r="L78" s="92">
        <f>'Data till lathund Åtgärder'!B29</f>
        <v>0.1</v>
      </c>
      <c r="M78" s="55">
        <f>'Data till lathund Åtgärder'!C29</f>
        <v>15</v>
      </c>
      <c r="N78" s="55">
        <f>'Data till lathund Åtgärder'!D29</f>
        <v>10</v>
      </c>
      <c r="O78" s="55" t="str">
        <f>'Data till lathund Åtgärder'!E29</f>
        <v>-</v>
      </c>
      <c r="P78" s="55" t="str">
        <f>'Data till lathund Åtgärder'!F29</f>
        <v>-</v>
      </c>
      <c r="Q78" s="76" t="str">
        <f>'Data till lathund Åtgärder'!G29</f>
        <v>OK7</v>
      </c>
      <c r="R78" s="78"/>
    </row>
    <row r="79" spans="11:18" x14ac:dyDescent="0.25">
      <c r="K79" s="46">
        <f>'Data till lathund Åtgärder'!A30</f>
        <v>29</v>
      </c>
      <c r="L79" s="92">
        <f>'Data till lathund Åtgärder'!B30</f>
        <v>0.1</v>
      </c>
      <c r="M79" s="55">
        <f>'Data till lathund Åtgärder'!C30</f>
        <v>15</v>
      </c>
      <c r="N79" s="55">
        <f>'Data till lathund Åtgärder'!D30</f>
        <v>15</v>
      </c>
      <c r="O79" s="55">
        <f>'Data till lathund Åtgärder'!E30</f>
        <v>0</v>
      </c>
      <c r="P79" s="55" t="str">
        <f>'Data till lathund Åtgärder'!F30</f>
        <v>-</v>
      </c>
      <c r="Q79" s="76" t="str">
        <f>'Data till lathund Åtgärder'!G30</f>
        <v>OK7</v>
      </c>
      <c r="R79" s="78"/>
    </row>
    <row r="80" spans="11:18" x14ac:dyDescent="0.25">
      <c r="K80" s="46">
        <f>'Data till lathund Åtgärder'!A31</f>
        <v>30</v>
      </c>
      <c r="L80" s="92">
        <f>'Data till lathund Åtgärder'!B31</f>
        <v>0.1</v>
      </c>
      <c r="M80" s="55">
        <f>'Data till lathund Åtgärder'!C31</f>
        <v>15</v>
      </c>
      <c r="N80" s="55">
        <f>'Data till lathund Åtgärder'!D31</f>
        <v>15</v>
      </c>
      <c r="O80" s="55">
        <f>'Data till lathund Åtgärder'!E31</f>
        <v>0</v>
      </c>
      <c r="P80" s="55" t="str">
        <f>'Data till lathund Åtgärder'!F31</f>
        <v>Presenning</v>
      </c>
      <c r="Q80" s="76" t="str">
        <f>'Data till lathund Åtgärder'!G31</f>
        <v>OK7</v>
      </c>
      <c r="R80" s="78"/>
    </row>
    <row r="81" spans="11:18" x14ac:dyDescent="0.25">
      <c r="K81" s="46">
        <f>'Data till lathund Åtgärder'!A32</f>
        <v>31</v>
      </c>
      <c r="L81" s="92">
        <f>'Data till lathund Åtgärder'!B32</f>
        <v>0.1</v>
      </c>
      <c r="M81" s="55">
        <f>'Data till lathund Åtgärder'!C32</f>
        <v>15</v>
      </c>
      <c r="N81" s="55">
        <f>'Data till lathund Åtgärder'!D32</f>
        <v>10</v>
      </c>
      <c r="O81" s="55">
        <f>'Data till lathund Åtgärder'!E32</f>
        <v>0</v>
      </c>
      <c r="P81" s="55" t="str">
        <f>'Data till lathund Åtgärder'!F32</f>
        <v>Presenning</v>
      </c>
      <c r="Q81" s="76" t="str">
        <f>'Data till lathund Åtgärder'!G32</f>
        <v>OK7</v>
      </c>
      <c r="R81" s="78"/>
    </row>
    <row r="82" spans="11:18" x14ac:dyDescent="0.25">
      <c r="K82" s="46">
        <f>'Data till lathund Åtgärder'!A33</f>
        <v>32</v>
      </c>
      <c r="L82" s="92">
        <f>'Data till lathund Åtgärder'!B33</f>
        <v>0.1</v>
      </c>
      <c r="M82" s="55">
        <f>'Data till lathund Åtgärder'!C33</f>
        <v>20</v>
      </c>
      <c r="N82" s="55">
        <f>'Data till lathund Åtgärder'!D33</f>
        <v>5</v>
      </c>
      <c r="O82" s="55">
        <f>'Data till lathund Åtgärder'!E33</f>
        <v>20</v>
      </c>
      <c r="P82" s="55">
        <f>'Data till lathund Åtgärder'!F33</f>
        <v>30</v>
      </c>
      <c r="Q82" s="76" t="str">
        <f>'Data till lathund Åtgärder'!G33</f>
        <v>OK7</v>
      </c>
      <c r="R82" s="78"/>
    </row>
    <row r="83" spans="11:18" x14ac:dyDescent="0.25">
      <c r="K83" s="46">
        <f>'Data till lathund Åtgärder'!A34</f>
        <v>33</v>
      </c>
      <c r="L83" s="92">
        <f>'Data till lathund Åtgärder'!B34</f>
        <v>0.1</v>
      </c>
      <c r="M83" s="55">
        <f>'Data till lathund Åtgärder'!C34</f>
        <v>15</v>
      </c>
      <c r="N83" s="55">
        <f>'Data till lathund Åtgärder'!D34</f>
        <v>5</v>
      </c>
      <c r="O83" s="55">
        <f>'Data till lathund Åtgärder'!E34</f>
        <v>20</v>
      </c>
      <c r="P83" s="55">
        <f>'Data till lathund Åtgärder'!F34</f>
        <v>30</v>
      </c>
      <c r="Q83" s="76" t="str">
        <f>'Data till lathund Åtgärder'!G34</f>
        <v>OK7</v>
      </c>
      <c r="R83" s="78"/>
    </row>
    <row r="84" spans="11:18" x14ac:dyDescent="0.25">
      <c r="K84" s="46">
        <f>'Data till lathund Åtgärder'!A35</f>
        <v>34</v>
      </c>
      <c r="L84" s="92">
        <f>'Data till lathund Åtgärder'!B35</f>
        <v>0.1</v>
      </c>
      <c r="M84" s="55">
        <f>'Data till lathund Åtgärder'!C35</f>
        <v>20</v>
      </c>
      <c r="N84" s="55">
        <f>'Data till lathund Åtgärder'!D35</f>
        <v>5</v>
      </c>
      <c r="O84" s="55">
        <f>'Data till lathund Åtgärder'!E35</f>
        <v>20</v>
      </c>
      <c r="P84" s="55">
        <f>'Data till lathund Åtgärder'!F35</f>
        <v>50</v>
      </c>
      <c r="Q84" s="76" t="str">
        <f>'Data till lathund Åtgärder'!G35</f>
        <v>OK7</v>
      </c>
      <c r="R84" s="78"/>
    </row>
    <row r="85" spans="11:18" x14ac:dyDescent="0.25">
      <c r="K85" s="46">
        <f>'Data till lathund Åtgärder'!A36</f>
        <v>35</v>
      </c>
      <c r="L85" s="92">
        <f>'Data till lathund Åtgärder'!B36</f>
        <v>0.1</v>
      </c>
      <c r="M85" s="55">
        <f>'Data till lathund Åtgärder'!C36</f>
        <v>15</v>
      </c>
      <c r="N85" s="55">
        <f>'Data till lathund Åtgärder'!D36</f>
        <v>5</v>
      </c>
      <c r="O85" s="55">
        <f>'Data till lathund Åtgärder'!E36</f>
        <v>20</v>
      </c>
      <c r="P85" s="55">
        <f>'Data till lathund Åtgärder'!F36</f>
        <v>50</v>
      </c>
      <c r="Q85" s="76" t="str">
        <f>'Data till lathund Åtgärder'!G36</f>
        <v>OK7</v>
      </c>
      <c r="R85" s="78"/>
    </row>
    <row r="86" spans="11:18" x14ac:dyDescent="0.25">
      <c r="K86" s="46">
        <f>'Data till lathund Åtgärder'!A37</f>
        <v>36</v>
      </c>
      <c r="L86" s="92">
        <f>'Data till lathund Åtgärder'!B37</f>
        <v>0.1</v>
      </c>
      <c r="M86" s="55">
        <f>'Data till lathund Åtgärder'!C37</f>
        <v>10</v>
      </c>
      <c r="N86" s="55">
        <f>'Data till lathund Åtgärder'!D37</f>
        <v>5</v>
      </c>
      <c r="O86" s="55">
        <f>'Data till lathund Åtgärder'!E37</f>
        <v>20</v>
      </c>
      <c r="P86" s="55">
        <f>'Data till lathund Åtgärder'!F37</f>
        <v>50</v>
      </c>
      <c r="Q86" s="76" t="str">
        <f>'Data till lathund Åtgärder'!G37</f>
        <v>OK7</v>
      </c>
      <c r="R86" s="78"/>
    </row>
    <row r="87" spans="11:18" x14ac:dyDescent="0.25">
      <c r="K87" s="46">
        <f>'Data till lathund Åtgärder'!A38</f>
        <v>37</v>
      </c>
      <c r="L87" s="92" t="str">
        <f>'Data till lathund Åtgärder'!B38</f>
        <v>Bas+0%+0%</v>
      </c>
      <c r="M87" s="55">
        <f>'Data till lathund Åtgärder'!C38</f>
        <v>15</v>
      </c>
      <c r="N87" s="55">
        <f>'Data till lathund Åtgärder'!D38</f>
        <v>10</v>
      </c>
      <c r="O87" s="55" t="str">
        <f>'Data till lathund Åtgärder'!E38</f>
        <v>-</v>
      </c>
      <c r="P87" s="55" t="str">
        <f>'Data till lathund Åtgärder'!F38</f>
        <v>-</v>
      </c>
      <c r="Q87" s="76" t="str">
        <f>'Data till lathund Åtgärder'!G38</f>
        <v>OK7</v>
      </c>
      <c r="R87" s="78"/>
    </row>
    <row r="88" spans="11:18" x14ac:dyDescent="0.25">
      <c r="K88" s="46">
        <f>'Data till lathund Åtgärder'!A39</f>
        <v>38</v>
      </c>
      <c r="L88" s="92" t="str">
        <f>'Data till lathund Åtgärder'!B39</f>
        <v>Bas+0%+0%</v>
      </c>
      <c r="M88" s="55">
        <f>'Data till lathund Åtgärder'!C39</f>
        <v>15</v>
      </c>
      <c r="N88" s="55">
        <f>'Data till lathund Åtgärder'!D39</f>
        <v>10</v>
      </c>
      <c r="O88" s="55">
        <f>'Data till lathund Åtgärder'!E39</f>
        <v>0</v>
      </c>
      <c r="P88" s="55" t="str">
        <f>'Data till lathund Åtgärder'!F39</f>
        <v>-</v>
      </c>
      <c r="Q88" s="76" t="str">
        <f>'Data till lathund Åtgärder'!G39</f>
        <v>OK7</v>
      </c>
      <c r="R88" s="78"/>
    </row>
    <row r="89" spans="11:18" x14ac:dyDescent="0.25">
      <c r="K89" s="46">
        <f>'Data till lathund Åtgärder'!A40</f>
        <v>39</v>
      </c>
      <c r="L89" s="92" t="str">
        <f>'Data till lathund Åtgärder'!B40</f>
        <v>Bas+0%+0%</v>
      </c>
      <c r="M89" s="55">
        <f>'Data till lathund Åtgärder'!C40</f>
        <v>20</v>
      </c>
      <c r="N89" s="55">
        <f>'Data till lathund Åtgärder'!D40</f>
        <v>5</v>
      </c>
      <c r="O89" s="55">
        <f>'Data till lathund Åtgärder'!E40</f>
        <v>20</v>
      </c>
      <c r="P89" s="55">
        <f>'Data till lathund Åtgärder'!F40</f>
        <v>30</v>
      </c>
      <c r="Q89" s="76" t="str">
        <f>'Data till lathund Åtgärder'!G40</f>
        <v>OK7</v>
      </c>
      <c r="R89" s="78"/>
    </row>
    <row r="90" spans="11:18" x14ac:dyDescent="0.25">
      <c r="K90" s="46">
        <f>'Data till lathund Åtgärder'!A41</f>
        <v>40</v>
      </c>
      <c r="L90" s="92" t="str">
        <f>'Data till lathund Åtgärder'!B41</f>
        <v>Bas+0%+0%</v>
      </c>
      <c r="M90" s="55">
        <f>'Data till lathund Åtgärder'!C41</f>
        <v>15</v>
      </c>
      <c r="N90" s="55">
        <f>'Data till lathund Åtgärder'!D41</f>
        <v>5</v>
      </c>
      <c r="O90" s="55">
        <f>'Data till lathund Åtgärder'!E41</f>
        <v>20</v>
      </c>
      <c r="P90" s="55">
        <f>'Data till lathund Åtgärder'!F41</f>
        <v>30</v>
      </c>
      <c r="Q90" s="76" t="str">
        <f>'Data till lathund Åtgärder'!G41</f>
        <v>OK7</v>
      </c>
      <c r="R90" s="79"/>
    </row>
    <row r="91" spans="11:18" x14ac:dyDescent="0.25">
      <c r="K91" s="46">
        <f>'Data till lathund Åtgärder'!A42</f>
        <v>41</v>
      </c>
      <c r="L91" s="92" t="str">
        <f>'Data till lathund Åtgärder'!B42</f>
        <v>Bas+0%+0%</v>
      </c>
      <c r="M91" s="55">
        <f>'Data till lathund Åtgärder'!C42</f>
        <v>20</v>
      </c>
      <c r="N91" s="55">
        <f>'Data till lathund Åtgärder'!D42</f>
        <v>5</v>
      </c>
      <c r="O91" s="55">
        <f>'Data till lathund Åtgärder'!E42</f>
        <v>20</v>
      </c>
      <c r="P91" s="55">
        <f>'Data till lathund Åtgärder'!F42</f>
        <v>50</v>
      </c>
      <c r="Q91" s="76" t="str">
        <f>'Data till lathund Åtgärder'!G42</f>
        <v>OK7</v>
      </c>
      <c r="R91" s="78"/>
    </row>
    <row r="92" spans="11:18" x14ac:dyDescent="0.25">
      <c r="K92" s="46">
        <f>'Data till lathund Åtgärder'!A43</f>
        <v>42</v>
      </c>
      <c r="L92" s="92" t="str">
        <f>'Data till lathund Åtgärder'!B43</f>
        <v>Bas+0%+0%</v>
      </c>
      <c r="M92" s="55">
        <f>'Data till lathund Åtgärder'!C43</f>
        <v>15</v>
      </c>
      <c r="N92" s="55">
        <f>'Data till lathund Åtgärder'!D43</f>
        <v>5</v>
      </c>
      <c r="O92" s="55">
        <f>'Data till lathund Åtgärder'!E43</f>
        <v>20</v>
      </c>
      <c r="P92" s="55">
        <f>'Data till lathund Åtgärder'!F43</f>
        <v>50</v>
      </c>
      <c r="Q92" s="76" t="str">
        <f>'Data till lathund Åtgärder'!G43</f>
        <v>OK7</v>
      </c>
      <c r="R92" s="78"/>
    </row>
    <row r="93" spans="11:18" x14ac:dyDescent="0.25">
      <c r="K93" s="46">
        <f>'Data till lathund Åtgärder'!A44</f>
        <v>43</v>
      </c>
      <c r="L93" s="92" t="str">
        <f>'Data till lathund Åtgärder'!B44</f>
        <v>Bas+0%+0%</v>
      </c>
      <c r="M93" s="55">
        <f>'Data till lathund Åtgärder'!C44</f>
        <v>10</v>
      </c>
      <c r="N93" s="55">
        <f>'Data till lathund Åtgärder'!D44</f>
        <v>5</v>
      </c>
      <c r="O93" s="55">
        <f>'Data till lathund Åtgärder'!E44</f>
        <v>20</v>
      </c>
      <c r="P93" s="55">
        <f>'Data till lathund Åtgärder'!F44</f>
        <v>50</v>
      </c>
      <c r="Q93" s="76" t="str">
        <f>'Data till lathund Åtgärder'!G44</f>
        <v>OK7</v>
      </c>
      <c r="R93" s="78"/>
    </row>
    <row r="94" spans="11:18" x14ac:dyDescent="0.25">
      <c r="K94" s="46">
        <f>'Data till lathund Åtgärder'!A45</f>
        <v>44</v>
      </c>
      <c r="L94" s="92" t="str">
        <f>'Data till lathund Åtgärder'!B45</f>
        <v>-</v>
      </c>
      <c r="M94" s="55" t="str">
        <f>'Data till lathund Åtgärder'!C45</f>
        <v>-</v>
      </c>
      <c r="N94" s="55" t="str">
        <f>'Data till lathund Åtgärder'!D45</f>
        <v>-</v>
      </c>
      <c r="O94" s="55" t="str">
        <f>'Data till lathund Åtgärder'!E45</f>
        <v>-</v>
      </c>
      <c r="P94" s="55" t="str">
        <f>'Data till lathund Åtgärder'!F45</f>
        <v>-</v>
      </c>
      <c r="Q94" s="76" t="str">
        <f>'Data till lathund Åtgärder'!G45</f>
        <v>Når ej 70%</v>
      </c>
      <c r="R94" s="78"/>
    </row>
    <row r="95" spans="11:18" x14ac:dyDescent="0.25">
      <c r="K95" s="46">
        <f>'Data till lathund Åtgärder'!A46</f>
        <v>45</v>
      </c>
      <c r="L95" s="92" t="str">
        <f>'Data till lathund Åtgärder'!B46</f>
        <v>-</v>
      </c>
      <c r="M95" s="55" t="str">
        <f>'Data till lathund Åtgärder'!C46</f>
        <v>-</v>
      </c>
      <c r="N95" s="55" t="str">
        <f>'Data till lathund Åtgärder'!D46</f>
        <v>-</v>
      </c>
      <c r="O95" s="55" t="str">
        <f>'Data till lathund Åtgärder'!E46</f>
        <v>-</v>
      </c>
      <c r="P95" s="55" t="str">
        <f>'Data till lathund Åtgärder'!F46</f>
        <v>-</v>
      </c>
      <c r="Q95" s="76" t="str">
        <f>'Data till lathund Åtgärder'!G46</f>
        <v>Frys innan täck</v>
      </c>
      <c r="R95" s="78"/>
    </row>
    <row r="102" spans="12:17" x14ac:dyDescent="0.25">
      <c r="L102" s="58" t="s">
        <v>28</v>
      </c>
      <c r="M102" s="59" t="s">
        <v>29</v>
      </c>
      <c r="N102" s="60" t="s">
        <v>30</v>
      </c>
      <c r="O102" s="14" t="s">
        <v>31</v>
      </c>
      <c r="P102" s="61" t="s">
        <v>0</v>
      </c>
      <c r="Q102" t="s">
        <v>45</v>
      </c>
    </row>
    <row r="103" spans="12:17" x14ac:dyDescent="0.25">
      <c r="L103" s="55">
        <v>20</v>
      </c>
      <c r="M103" s="69">
        <v>0</v>
      </c>
      <c r="N103" s="70">
        <f t="shared" ref="N103:N111" si="0">M103+L103</f>
        <v>20</v>
      </c>
      <c r="O103" s="65">
        <v>20</v>
      </c>
      <c r="P103" s="66">
        <v>15</v>
      </c>
      <c r="Q103" s="93" t="s">
        <v>46</v>
      </c>
    </row>
    <row r="104" spans="12:17" x14ac:dyDescent="0.25">
      <c r="L104" s="55">
        <v>15</v>
      </c>
      <c r="M104" s="69">
        <v>0</v>
      </c>
      <c r="N104" s="70">
        <f t="shared" si="0"/>
        <v>15</v>
      </c>
      <c r="O104" s="65">
        <v>15</v>
      </c>
      <c r="P104" s="66">
        <v>15</v>
      </c>
      <c r="Q104" s="66" t="s">
        <v>46</v>
      </c>
    </row>
    <row r="105" spans="12:17" x14ac:dyDescent="0.25">
      <c r="L105" s="55">
        <v>10</v>
      </c>
      <c r="M105" s="69">
        <v>0</v>
      </c>
      <c r="N105" s="70">
        <f t="shared" si="0"/>
        <v>10</v>
      </c>
      <c r="O105" s="65">
        <v>10</v>
      </c>
      <c r="P105" s="66">
        <v>15</v>
      </c>
      <c r="Q105" s="66" t="s">
        <v>46</v>
      </c>
    </row>
    <row r="106" spans="12:17" x14ac:dyDescent="0.25">
      <c r="L106" s="55">
        <v>5</v>
      </c>
      <c r="M106" s="69">
        <v>20</v>
      </c>
      <c r="N106" s="70">
        <f t="shared" si="0"/>
        <v>25</v>
      </c>
      <c r="O106" s="65">
        <v>5</v>
      </c>
      <c r="P106" s="66">
        <v>20</v>
      </c>
      <c r="Q106" s="66" t="s">
        <v>47</v>
      </c>
    </row>
    <row r="107" spans="12:17" x14ac:dyDescent="0.25">
      <c r="L107" s="55">
        <v>0</v>
      </c>
      <c r="M107" s="69">
        <v>20</v>
      </c>
      <c r="N107" s="70">
        <f t="shared" si="0"/>
        <v>20</v>
      </c>
      <c r="O107" s="65">
        <v>5</v>
      </c>
      <c r="P107" s="66">
        <v>20</v>
      </c>
      <c r="Q107" s="66" t="s">
        <v>47</v>
      </c>
    </row>
    <row r="108" spans="12:17" x14ac:dyDescent="0.25">
      <c r="L108" s="55">
        <v>-5</v>
      </c>
      <c r="M108" s="69">
        <v>20</v>
      </c>
      <c r="N108" s="70">
        <f t="shared" si="0"/>
        <v>15</v>
      </c>
      <c r="O108" s="65">
        <v>5</v>
      </c>
      <c r="P108" s="66">
        <v>20</v>
      </c>
      <c r="Q108" s="66" t="s">
        <v>47</v>
      </c>
    </row>
    <row r="109" spans="12:17" x14ac:dyDescent="0.25">
      <c r="L109" s="55">
        <v>-10</v>
      </c>
      <c r="M109" s="69">
        <v>20</v>
      </c>
      <c r="N109" s="70">
        <f t="shared" si="0"/>
        <v>10</v>
      </c>
      <c r="O109" s="65">
        <v>5</v>
      </c>
      <c r="P109" s="66">
        <v>20</v>
      </c>
      <c r="Q109" s="66" t="s">
        <v>47</v>
      </c>
    </row>
    <row r="110" spans="12:17" x14ac:dyDescent="0.25">
      <c r="L110" s="55">
        <v>-15</v>
      </c>
      <c r="M110" s="69">
        <v>20</v>
      </c>
      <c r="N110" s="70">
        <f t="shared" si="0"/>
        <v>5</v>
      </c>
      <c r="O110" s="65">
        <v>5</v>
      </c>
      <c r="P110" s="66">
        <v>15</v>
      </c>
      <c r="Q110" s="66" t="s">
        <v>47</v>
      </c>
    </row>
    <row r="111" spans="12:17" x14ac:dyDescent="0.25">
      <c r="L111" s="67">
        <v>-20</v>
      </c>
      <c r="M111" s="71">
        <v>20</v>
      </c>
      <c r="N111" s="72">
        <f t="shared" si="0"/>
        <v>0</v>
      </c>
      <c r="O111" s="65">
        <v>5</v>
      </c>
      <c r="P111" s="68">
        <v>10</v>
      </c>
      <c r="Q111" s="66" t="s">
        <v>47</v>
      </c>
    </row>
  </sheetData>
  <phoneticPr fontId="3" type="noConversion"/>
  <conditionalFormatting sqref="C2:I46 K51:K95">
    <cfRule type="cellIs" dxfId="1" priority="1" operator="equal">
      <formula>44</formula>
    </cfRule>
    <cfRule type="containsText" dxfId="0" priority="3" operator="containsText" text="45">
      <formula>NOT(ISERROR(SEARCH("45",C2)))</formula>
    </cfRule>
    <cfRule type="colorScale" priority="4">
      <colorScale>
        <cfvo type="num" val="1"/>
        <cfvo type="percentile" val="50"/>
        <cfvo type="num" val="45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376FB-0A89-4AC3-98E3-5CE194A5E586}">
  <sheetPr codeName="Sheet4"/>
  <dimension ref="A1:J108"/>
  <sheetViews>
    <sheetView topLeftCell="A16" workbookViewId="0">
      <selection activeCell="E20" sqref="E20"/>
    </sheetView>
  </sheetViews>
  <sheetFormatPr defaultRowHeight="15" x14ac:dyDescent="0.25"/>
  <cols>
    <col min="2" max="2" width="16.140625" customWidth="1"/>
    <col min="3" max="3" width="29.7109375" customWidth="1"/>
    <col min="4" max="4" width="28.5703125" customWidth="1"/>
    <col min="5" max="5" width="24.42578125" customWidth="1"/>
    <col min="6" max="6" width="16.28515625" customWidth="1"/>
    <col min="7" max="7" width="24.5703125" customWidth="1"/>
    <col min="8" max="8" width="24.7109375" bestFit="1" customWidth="1"/>
    <col min="9" max="9" width="31.5703125" customWidth="1"/>
    <col min="10" max="10" width="16.85546875" bestFit="1" customWidth="1"/>
    <col min="13" max="13" width="23.42578125" bestFit="1" customWidth="1"/>
  </cols>
  <sheetData>
    <row r="1" spans="1:10" x14ac:dyDescent="0.25">
      <c r="A1" t="s">
        <v>19</v>
      </c>
      <c r="B1" t="s">
        <v>42</v>
      </c>
      <c r="C1" t="s">
        <v>20</v>
      </c>
      <c r="D1" t="s">
        <v>1</v>
      </c>
      <c r="E1" t="s">
        <v>2</v>
      </c>
      <c r="F1" t="s">
        <v>3</v>
      </c>
      <c r="G1" t="s">
        <v>86</v>
      </c>
      <c r="H1" t="s">
        <v>21</v>
      </c>
      <c r="I1" t="s">
        <v>16</v>
      </c>
      <c r="J1" t="s">
        <v>22</v>
      </c>
    </row>
    <row r="2" spans="1:10" x14ac:dyDescent="0.25">
      <c r="A2">
        <v>1</v>
      </c>
      <c r="B2" s="2">
        <v>0.4</v>
      </c>
      <c r="C2" s="2">
        <v>15</v>
      </c>
      <c r="D2" s="2">
        <v>20</v>
      </c>
      <c r="E2" s="2" t="s">
        <v>9</v>
      </c>
      <c r="F2" s="2" t="s">
        <v>9</v>
      </c>
      <c r="G2" s="2" t="s">
        <v>49</v>
      </c>
      <c r="H2" s="2"/>
      <c r="I2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0,41520--OK7</v>
      </c>
      <c r="J2">
        <f>Table8[[#This Row],[Paket]]</f>
        <v>1</v>
      </c>
    </row>
    <row r="3" spans="1:10" x14ac:dyDescent="0.25">
      <c r="A3">
        <v>2</v>
      </c>
      <c r="B3" s="2">
        <v>0.4</v>
      </c>
      <c r="C3" s="2">
        <v>15</v>
      </c>
      <c r="D3" s="2">
        <v>20</v>
      </c>
      <c r="E3" s="2">
        <v>0</v>
      </c>
      <c r="F3" s="2" t="s">
        <v>9</v>
      </c>
      <c r="G3" s="2" t="s">
        <v>49</v>
      </c>
      <c r="H3" s="2"/>
      <c r="I3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0,415200-OK7</v>
      </c>
      <c r="J3">
        <f>Table8[[#This Row],[Paket]]</f>
        <v>2</v>
      </c>
    </row>
    <row r="4" spans="1:10" x14ac:dyDescent="0.25">
      <c r="A4">
        <v>3</v>
      </c>
      <c r="B4" s="2">
        <v>0.4</v>
      </c>
      <c r="C4" s="2">
        <v>15</v>
      </c>
      <c r="D4" s="2">
        <v>15</v>
      </c>
      <c r="E4" s="2">
        <v>0</v>
      </c>
      <c r="F4" s="2" t="s">
        <v>10</v>
      </c>
      <c r="G4" s="2" t="s">
        <v>49</v>
      </c>
      <c r="H4" s="2"/>
      <c r="I4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0,415150PresenningOK7</v>
      </c>
      <c r="J4">
        <f>Table8[[#This Row],[Paket]]</f>
        <v>3</v>
      </c>
    </row>
    <row r="5" spans="1:10" x14ac:dyDescent="0.25">
      <c r="A5">
        <v>4</v>
      </c>
      <c r="B5" s="2">
        <v>0.4</v>
      </c>
      <c r="C5" s="2">
        <v>15</v>
      </c>
      <c r="D5" s="2">
        <v>20</v>
      </c>
      <c r="E5" s="2">
        <v>0</v>
      </c>
      <c r="F5" s="2" t="s">
        <v>10</v>
      </c>
      <c r="G5" s="2" t="s">
        <v>49</v>
      </c>
      <c r="H5" s="2"/>
      <c r="I5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0,415200PresenningOK7</v>
      </c>
      <c r="J5">
        <f>Table8[[#This Row],[Paket]]</f>
        <v>4</v>
      </c>
    </row>
    <row r="6" spans="1:10" x14ac:dyDescent="0.25">
      <c r="A6">
        <v>5</v>
      </c>
      <c r="B6" s="2">
        <v>0.4</v>
      </c>
      <c r="C6" s="2">
        <v>20</v>
      </c>
      <c r="D6" s="2">
        <v>5</v>
      </c>
      <c r="E6" s="2">
        <v>0</v>
      </c>
      <c r="F6" s="2">
        <v>50</v>
      </c>
      <c r="G6" s="2" t="s">
        <v>49</v>
      </c>
      <c r="H6" s="2"/>
      <c r="I6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0,4205050OK7</v>
      </c>
      <c r="J6">
        <f>Table8[[#This Row],[Paket]]</f>
        <v>5</v>
      </c>
    </row>
    <row r="7" spans="1:10" x14ac:dyDescent="0.25">
      <c r="A7">
        <v>6</v>
      </c>
      <c r="B7" s="2">
        <v>0.4</v>
      </c>
      <c r="C7" s="2">
        <v>20</v>
      </c>
      <c r="D7" s="2">
        <v>5</v>
      </c>
      <c r="E7" s="2">
        <v>20</v>
      </c>
      <c r="F7" s="2">
        <v>10</v>
      </c>
      <c r="G7" s="2" t="s">
        <v>49</v>
      </c>
      <c r="H7" s="2"/>
      <c r="I7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0,42052010OK7</v>
      </c>
      <c r="J7">
        <f>Table8[[#This Row],[Paket]]</f>
        <v>6</v>
      </c>
    </row>
    <row r="8" spans="1:10" x14ac:dyDescent="0.25">
      <c r="A8">
        <v>7</v>
      </c>
      <c r="B8" s="2">
        <v>0.4</v>
      </c>
      <c r="C8" s="2">
        <v>20</v>
      </c>
      <c r="D8" s="2">
        <v>5</v>
      </c>
      <c r="E8" s="2">
        <v>20</v>
      </c>
      <c r="F8" s="2">
        <v>20</v>
      </c>
      <c r="G8" s="2" t="s">
        <v>49</v>
      </c>
      <c r="H8" s="2"/>
      <c r="I8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0,42052020OK7</v>
      </c>
      <c r="J8">
        <f>Table8[[#This Row],[Paket]]</f>
        <v>7</v>
      </c>
    </row>
    <row r="9" spans="1:10" x14ac:dyDescent="0.25">
      <c r="A9">
        <v>8</v>
      </c>
      <c r="B9" s="2">
        <v>0.4</v>
      </c>
      <c r="C9" s="2">
        <v>20</v>
      </c>
      <c r="D9" s="2">
        <v>5</v>
      </c>
      <c r="E9" s="2">
        <v>20</v>
      </c>
      <c r="F9" s="2">
        <v>30</v>
      </c>
      <c r="G9" s="2" t="s">
        <v>49</v>
      </c>
      <c r="H9" s="2"/>
      <c r="I9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0,42052030OK7</v>
      </c>
      <c r="J9">
        <f>Table8[[#This Row],[Paket]]</f>
        <v>8</v>
      </c>
    </row>
    <row r="10" spans="1:10" x14ac:dyDescent="0.25">
      <c r="A10">
        <v>9</v>
      </c>
      <c r="B10" s="2">
        <v>0.4</v>
      </c>
      <c r="C10" s="2">
        <v>20</v>
      </c>
      <c r="D10" s="2">
        <v>5</v>
      </c>
      <c r="E10" s="2">
        <v>20</v>
      </c>
      <c r="F10" s="2">
        <v>50</v>
      </c>
      <c r="G10" s="2" t="s">
        <v>49</v>
      </c>
      <c r="H10" s="2"/>
      <c r="I10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0,42052050OK7</v>
      </c>
      <c r="J10">
        <f>Table8[[#This Row],[Paket]]</f>
        <v>9</v>
      </c>
    </row>
    <row r="11" spans="1:10" x14ac:dyDescent="0.25">
      <c r="A11">
        <v>10</v>
      </c>
      <c r="B11" s="2">
        <v>0.3</v>
      </c>
      <c r="C11" s="2">
        <v>15</v>
      </c>
      <c r="D11" s="2">
        <v>15</v>
      </c>
      <c r="E11" s="2" t="s">
        <v>9</v>
      </c>
      <c r="F11" s="2" t="s">
        <v>9</v>
      </c>
      <c r="G11" s="2" t="s">
        <v>49</v>
      </c>
      <c r="H11" s="2"/>
      <c r="I11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0,31515--OK7</v>
      </c>
      <c r="J11">
        <f>Table8[[#This Row],[Paket]]</f>
        <v>10</v>
      </c>
    </row>
    <row r="12" spans="1:10" x14ac:dyDescent="0.25">
      <c r="A12">
        <v>11</v>
      </c>
      <c r="B12" s="2">
        <v>0.3</v>
      </c>
      <c r="C12" s="2">
        <v>15</v>
      </c>
      <c r="D12" s="2">
        <v>20</v>
      </c>
      <c r="E12" s="2" t="s">
        <v>9</v>
      </c>
      <c r="F12" s="2" t="s">
        <v>9</v>
      </c>
      <c r="G12" s="2" t="s">
        <v>49</v>
      </c>
      <c r="H12" s="2"/>
      <c r="I12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0,31520--OK7</v>
      </c>
      <c r="J12">
        <f>Table8[[#This Row],[Paket]]</f>
        <v>11</v>
      </c>
    </row>
    <row r="13" spans="1:10" x14ac:dyDescent="0.25">
      <c r="A13">
        <v>12</v>
      </c>
      <c r="B13" s="2">
        <v>0.3</v>
      </c>
      <c r="C13" s="2">
        <v>15</v>
      </c>
      <c r="D13" s="2">
        <v>15</v>
      </c>
      <c r="E13" s="2">
        <v>0</v>
      </c>
      <c r="F13" s="2" t="s">
        <v>9</v>
      </c>
      <c r="G13" s="2" t="s">
        <v>49</v>
      </c>
      <c r="H13" s="2"/>
      <c r="I13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0,315150-OK7</v>
      </c>
      <c r="J13">
        <f>Table8[[#This Row],[Paket]]</f>
        <v>12</v>
      </c>
    </row>
    <row r="14" spans="1:10" x14ac:dyDescent="0.25">
      <c r="A14">
        <v>13</v>
      </c>
      <c r="B14" s="2">
        <v>0.3</v>
      </c>
      <c r="C14" s="2">
        <v>15</v>
      </c>
      <c r="D14" s="2">
        <v>15</v>
      </c>
      <c r="E14" s="2">
        <v>0</v>
      </c>
      <c r="F14" s="2" t="s">
        <v>10</v>
      </c>
      <c r="G14" s="2" t="s">
        <v>49</v>
      </c>
      <c r="H14" s="2"/>
      <c r="I14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0,315150PresenningOK7</v>
      </c>
      <c r="J14">
        <f>Table8[[#This Row],[Paket]]</f>
        <v>13</v>
      </c>
    </row>
    <row r="15" spans="1:10" x14ac:dyDescent="0.25">
      <c r="A15">
        <v>14</v>
      </c>
      <c r="B15" s="2">
        <v>0.3</v>
      </c>
      <c r="C15" s="2">
        <v>15</v>
      </c>
      <c r="D15" s="2">
        <v>20</v>
      </c>
      <c r="E15" s="2">
        <v>0</v>
      </c>
      <c r="F15" s="2" t="s">
        <v>10</v>
      </c>
      <c r="G15" s="2" t="s">
        <v>49</v>
      </c>
      <c r="H15" s="2"/>
      <c r="I15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0,315200PresenningOK7</v>
      </c>
      <c r="J15">
        <f>Table8[[#This Row],[Paket]]</f>
        <v>14</v>
      </c>
    </row>
    <row r="16" spans="1:10" x14ac:dyDescent="0.25">
      <c r="A16">
        <v>15</v>
      </c>
      <c r="B16" s="2">
        <v>0.3</v>
      </c>
      <c r="C16" s="2">
        <v>20</v>
      </c>
      <c r="D16" s="2">
        <v>5</v>
      </c>
      <c r="E16" s="2">
        <v>20</v>
      </c>
      <c r="F16" s="2">
        <v>10</v>
      </c>
      <c r="G16" s="2" t="s">
        <v>49</v>
      </c>
      <c r="H16" s="2"/>
      <c r="I16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0,32052010OK7</v>
      </c>
      <c r="J16">
        <f>Table8[[#This Row],[Paket]]</f>
        <v>15</v>
      </c>
    </row>
    <row r="17" spans="1:10" x14ac:dyDescent="0.25">
      <c r="A17">
        <v>16</v>
      </c>
      <c r="B17" s="2">
        <v>0.3</v>
      </c>
      <c r="C17" s="2">
        <v>20</v>
      </c>
      <c r="D17" s="2">
        <v>5</v>
      </c>
      <c r="E17" s="2">
        <v>20</v>
      </c>
      <c r="F17" s="2">
        <v>30</v>
      </c>
      <c r="G17" s="2" t="s">
        <v>49</v>
      </c>
      <c r="H17" s="2"/>
      <c r="I17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0,32052030OK7</v>
      </c>
      <c r="J17">
        <f>Table8[[#This Row],[Paket]]</f>
        <v>16</v>
      </c>
    </row>
    <row r="18" spans="1:10" x14ac:dyDescent="0.25">
      <c r="A18">
        <v>17</v>
      </c>
      <c r="B18" s="2">
        <v>0.3</v>
      </c>
      <c r="C18" s="2">
        <v>20</v>
      </c>
      <c r="D18" s="2">
        <v>5</v>
      </c>
      <c r="E18" s="2">
        <v>20</v>
      </c>
      <c r="F18" s="2">
        <v>50</v>
      </c>
      <c r="G18" s="2" t="s">
        <v>49</v>
      </c>
      <c r="H18" s="2"/>
      <c r="I18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0,32052050OK7</v>
      </c>
      <c r="J18">
        <f>Table8[[#This Row],[Paket]]</f>
        <v>17</v>
      </c>
    </row>
    <row r="19" spans="1:10" x14ac:dyDescent="0.25">
      <c r="A19">
        <v>18</v>
      </c>
      <c r="B19" s="2">
        <v>0.2</v>
      </c>
      <c r="C19" s="2">
        <v>15</v>
      </c>
      <c r="D19" s="2">
        <v>10</v>
      </c>
      <c r="E19" s="2" t="s">
        <v>9</v>
      </c>
      <c r="F19" s="2" t="s">
        <v>9</v>
      </c>
      <c r="G19" s="2" t="s">
        <v>49</v>
      </c>
      <c r="H19" s="2"/>
      <c r="I19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0,21510--OK7</v>
      </c>
      <c r="J19">
        <f>Table8[[#This Row],[Paket]]</f>
        <v>18</v>
      </c>
    </row>
    <row r="20" spans="1:10" x14ac:dyDescent="0.25">
      <c r="A20">
        <v>19</v>
      </c>
      <c r="B20" s="2">
        <v>0.2</v>
      </c>
      <c r="C20" s="2">
        <v>15</v>
      </c>
      <c r="D20" s="2">
        <v>15</v>
      </c>
      <c r="E20" s="2" t="s">
        <v>9</v>
      </c>
      <c r="F20" s="2" t="s">
        <v>9</v>
      </c>
      <c r="G20" s="2" t="s">
        <v>49</v>
      </c>
      <c r="H20" s="2"/>
      <c r="I20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0,21515--OK7</v>
      </c>
      <c r="J20">
        <f>Table8[[#This Row],[Paket]]</f>
        <v>19</v>
      </c>
    </row>
    <row r="21" spans="1:10" x14ac:dyDescent="0.25">
      <c r="A21">
        <v>20</v>
      </c>
      <c r="B21" s="2">
        <v>0.2</v>
      </c>
      <c r="C21" s="2">
        <v>15</v>
      </c>
      <c r="D21" s="2">
        <v>20</v>
      </c>
      <c r="E21" s="2" t="s">
        <v>9</v>
      </c>
      <c r="F21" s="2" t="s">
        <v>9</v>
      </c>
      <c r="G21" s="2" t="s">
        <v>49</v>
      </c>
      <c r="H21" s="2"/>
      <c r="I21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0,21520--OK7</v>
      </c>
      <c r="J21">
        <f>Table8[[#This Row],[Paket]]</f>
        <v>20</v>
      </c>
    </row>
    <row r="22" spans="1:10" x14ac:dyDescent="0.25">
      <c r="A22">
        <v>21</v>
      </c>
      <c r="B22" s="2">
        <v>0.2</v>
      </c>
      <c r="C22" s="2">
        <v>15</v>
      </c>
      <c r="D22" s="2">
        <v>15</v>
      </c>
      <c r="E22" s="2">
        <v>0</v>
      </c>
      <c r="F22" s="2" t="s">
        <v>9</v>
      </c>
      <c r="G22" s="2" t="s">
        <v>49</v>
      </c>
      <c r="H22" s="2"/>
      <c r="I22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0,215150-OK7</v>
      </c>
      <c r="J22">
        <f>Table8[[#This Row],[Paket]]</f>
        <v>21</v>
      </c>
    </row>
    <row r="23" spans="1:10" x14ac:dyDescent="0.25">
      <c r="A23">
        <v>22</v>
      </c>
      <c r="B23" s="2">
        <v>0.2</v>
      </c>
      <c r="C23" s="2">
        <v>15</v>
      </c>
      <c r="D23" s="2">
        <v>10</v>
      </c>
      <c r="E23" s="2">
        <v>0</v>
      </c>
      <c r="F23" s="2" t="s">
        <v>10</v>
      </c>
      <c r="G23" s="2" t="s">
        <v>49</v>
      </c>
      <c r="H23" s="2"/>
      <c r="I23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0,215100PresenningOK7</v>
      </c>
      <c r="J23">
        <f>Table8[[#This Row],[Paket]]</f>
        <v>22</v>
      </c>
    </row>
    <row r="24" spans="1:10" x14ac:dyDescent="0.25">
      <c r="A24">
        <v>23</v>
      </c>
      <c r="B24" s="2">
        <v>0.2</v>
      </c>
      <c r="C24" s="2">
        <v>15</v>
      </c>
      <c r="D24" s="2">
        <v>15</v>
      </c>
      <c r="E24" s="2">
        <v>0</v>
      </c>
      <c r="F24" s="2" t="s">
        <v>10</v>
      </c>
      <c r="G24" s="2" t="s">
        <v>49</v>
      </c>
      <c r="H24" s="2"/>
      <c r="I24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0,215150PresenningOK7</v>
      </c>
      <c r="J24">
        <f>Table8[[#This Row],[Paket]]</f>
        <v>23</v>
      </c>
    </row>
    <row r="25" spans="1:10" x14ac:dyDescent="0.25">
      <c r="A25">
        <v>24</v>
      </c>
      <c r="B25" s="2">
        <v>0.2</v>
      </c>
      <c r="C25" s="2">
        <v>20</v>
      </c>
      <c r="D25" s="2">
        <v>5</v>
      </c>
      <c r="E25" s="2">
        <v>20</v>
      </c>
      <c r="F25" s="2">
        <v>20</v>
      </c>
      <c r="G25" s="2" t="s">
        <v>49</v>
      </c>
      <c r="H25" s="2"/>
      <c r="I25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0,22052020OK7</v>
      </c>
      <c r="J25">
        <f>Table8[[#This Row],[Paket]]</f>
        <v>24</v>
      </c>
    </row>
    <row r="26" spans="1:10" x14ac:dyDescent="0.25">
      <c r="A26">
        <v>25</v>
      </c>
      <c r="B26" s="2">
        <v>0.2</v>
      </c>
      <c r="C26" s="2">
        <v>20</v>
      </c>
      <c r="D26" s="2">
        <v>5</v>
      </c>
      <c r="E26" s="2">
        <v>20</v>
      </c>
      <c r="F26" s="2">
        <v>30</v>
      </c>
      <c r="G26" s="2" t="s">
        <v>49</v>
      </c>
      <c r="H26" s="2"/>
      <c r="I26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0,22052030OK7</v>
      </c>
      <c r="J26">
        <f>Table8[[#This Row],[Paket]]</f>
        <v>25</v>
      </c>
    </row>
    <row r="27" spans="1:10" x14ac:dyDescent="0.25">
      <c r="A27">
        <v>26</v>
      </c>
      <c r="B27" s="2">
        <v>0.2</v>
      </c>
      <c r="C27" s="2">
        <v>20</v>
      </c>
      <c r="D27" s="2">
        <v>5</v>
      </c>
      <c r="E27" s="2">
        <v>20</v>
      </c>
      <c r="F27" s="2">
        <v>50</v>
      </c>
      <c r="G27" s="2" t="s">
        <v>49</v>
      </c>
      <c r="H27" s="2"/>
      <c r="I27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0,22052050OK7</v>
      </c>
      <c r="J27">
        <f>Table8[[#This Row],[Paket]]</f>
        <v>26</v>
      </c>
    </row>
    <row r="28" spans="1:10" x14ac:dyDescent="0.25">
      <c r="A28">
        <v>27</v>
      </c>
      <c r="B28" s="2">
        <v>0.1</v>
      </c>
      <c r="C28" s="2">
        <v>15</v>
      </c>
      <c r="D28" s="2">
        <v>15</v>
      </c>
      <c r="E28" s="2" t="s">
        <v>9</v>
      </c>
      <c r="F28" s="2" t="s">
        <v>9</v>
      </c>
      <c r="G28" s="2" t="s">
        <v>49</v>
      </c>
      <c r="H28" s="2"/>
      <c r="I28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0,11515--OK7</v>
      </c>
      <c r="J28">
        <f>Table8[[#This Row],[Paket]]</f>
        <v>27</v>
      </c>
    </row>
    <row r="29" spans="1:10" x14ac:dyDescent="0.25">
      <c r="A29">
        <v>28</v>
      </c>
      <c r="B29" s="2">
        <v>0.1</v>
      </c>
      <c r="C29" s="2">
        <v>15</v>
      </c>
      <c r="D29" s="2">
        <v>10</v>
      </c>
      <c r="E29" s="2" t="s">
        <v>9</v>
      </c>
      <c r="F29" s="2" t="s">
        <v>9</v>
      </c>
      <c r="G29" s="2" t="s">
        <v>49</v>
      </c>
      <c r="H29" s="2"/>
      <c r="I29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0,11510--OK7</v>
      </c>
      <c r="J29">
        <f>Table8[[#This Row],[Paket]]</f>
        <v>28</v>
      </c>
    </row>
    <row r="30" spans="1:10" x14ac:dyDescent="0.25">
      <c r="A30">
        <v>29</v>
      </c>
      <c r="B30" s="2">
        <v>0.1</v>
      </c>
      <c r="C30" s="2">
        <v>15</v>
      </c>
      <c r="D30" s="2">
        <v>15</v>
      </c>
      <c r="E30" s="2">
        <v>0</v>
      </c>
      <c r="F30" s="2" t="s">
        <v>9</v>
      </c>
      <c r="G30" s="2" t="s">
        <v>49</v>
      </c>
      <c r="H30" s="2"/>
      <c r="I30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0,115150-OK7</v>
      </c>
      <c r="J30">
        <f>Table8[[#This Row],[Paket]]</f>
        <v>29</v>
      </c>
    </row>
    <row r="31" spans="1:10" x14ac:dyDescent="0.25">
      <c r="A31">
        <v>30</v>
      </c>
      <c r="B31" s="2">
        <v>0.1</v>
      </c>
      <c r="C31" s="2">
        <v>15</v>
      </c>
      <c r="D31" s="2">
        <v>15</v>
      </c>
      <c r="E31" s="2">
        <v>0</v>
      </c>
      <c r="F31" s="2" t="s">
        <v>10</v>
      </c>
      <c r="G31" s="2" t="s">
        <v>49</v>
      </c>
      <c r="H31" s="2"/>
      <c r="I31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0,115150PresenningOK7</v>
      </c>
      <c r="J31">
        <f>Table8[[#This Row],[Paket]]</f>
        <v>30</v>
      </c>
    </row>
    <row r="32" spans="1:10" x14ac:dyDescent="0.25">
      <c r="A32">
        <v>31</v>
      </c>
      <c r="B32" s="2">
        <v>0.1</v>
      </c>
      <c r="C32" s="2">
        <v>15</v>
      </c>
      <c r="D32" s="2">
        <v>10</v>
      </c>
      <c r="E32" s="2">
        <v>0</v>
      </c>
      <c r="F32" s="2" t="s">
        <v>10</v>
      </c>
      <c r="G32" s="2" t="s">
        <v>49</v>
      </c>
      <c r="H32" s="2"/>
      <c r="I32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0,115100PresenningOK7</v>
      </c>
      <c r="J32">
        <f>Table8[[#This Row],[Paket]]</f>
        <v>31</v>
      </c>
    </row>
    <row r="33" spans="1:10" x14ac:dyDescent="0.25">
      <c r="A33">
        <v>32</v>
      </c>
      <c r="B33" s="2">
        <v>0.1</v>
      </c>
      <c r="C33" s="2">
        <v>20</v>
      </c>
      <c r="D33" s="2">
        <v>5</v>
      </c>
      <c r="E33" s="2">
        <v>20</v>
      </c>
      <c r="F33" s="2">
        <v>30</v>
      </c>
      <c r="G33" s="2" t="s">
        <v>49</v>
      </c>
      <c r="H33" s="2"/>
      <c r="I33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0,12052030OK7</v>
      </c>
      <c r="J33">
        <f>Table8[[#This Row],[Paket]]</f>
        <v>32</v>
      </c>
    </row>
    <row r="34" spans="1:10" x14ac:dyDescent="0.25">
      <c r="A34">
        <v>33</v>
      </c>
      <c r="B34" s="2">
        <v>0.1</v>
      </c>
      <c r="C34" s="2">
        <v>15</v>
      </c>
      <c r="D34" s="2">
        <v>5</v>
      </c>
      <c r="E34" s="2">
        <v>20</v>
      </c>
      <c r="F34" s="2">
        <v>30</v>
      </c>
      <c r="G34" s="2" t="s">
        <v>49</v>
      </c>
      <c r="H34" s="2"/>
      <c r="I34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0,11552030OK7</v>
      </c>
      <c r="J34">
        <f>Table8[[#This Row],[Paket]]</f>
        <v>33</v>
      </c>
    </row>
    <row r="35" spans="1:10" x14ac:dyDescent="0.25">
      <c r="A35">
        <v>34</v>
      </c>
      <c r="B35" s="2">
        <v>0.1</v>
      </c>
      <c r="C35" s="2">
        <v>20</v>
      </c>
      <c r="D35" s="2">
        <v>5</v>
      </c>
      <c r="E35" s="2">
        <v>20</v>
      </c>
      <c r="F35" s="2">
        <v>50</v>
      </c>
      <c r="G35" s="2" t="s">
        <v>49</v>
      </c>
      <c r="H35" s="2"/>
      <c r="I35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0,12052050OK7</v>
      </c>
      <c r="J35">
        <f>Table8[[#This Row],[Paket]]</f>
        <v>34</v>
      </c>
    </row>
    <row r="36" spans="1:10" x14ac:dyDescent="0.25">
      <c r="A36">
        <v>35</v>
      </c>
      <c r="B36" s="2">
        <v>0.1</v>
      </c>
      <c r="C36" s="2">
        <v>15</v>
      </c>
      <c r="D36" s="2">
        <v>5</v>
      </c>
      <c r="E36" s="2">
        <v>20</v>
      </c>
      <c r="F36" s="2">
        <v>50</v>
      </c>
      <c r="G36" s="2" t="s">
        <v>49</v>
      </c>
      <c r="H36" s="2"/>
      <c r="I36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0,11552050OK7</v>
      </c>
      <c r="J36">
        <f>Table8[[#This Row],[Paket]]</f>
        <v>35</v>
      </c>
    </row>
    <row r="37" spans="1:10" x14ac:dyDescent="0.25">
      <c r="A37">
        <v>36</v>
      </c>
      <c r="B37" s="2">
        <v>0.1</v>
      </c>
      <c r="C37" s="2">
        <v>10</v>
      </c>
      <c r="D37" s="2">
        <v>5</v>
      </c>
      <c r="E37" s="2">
        <v>20</v>
      </c>
      <c r="F37" s="2">
        <v>50</v>
      </c>
      <c r="G37" s="2" t="s">
        <v>49</v>
      </c>
      <c r="H37" s="2"/>
      <c r="I37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0,11052050OK7</v>
      </c>
      <c r="J37">
        <f>Table8[[#This Row],[Paket]]</f>
        <v>36</v>
      </c>
    </row>
    <row r="38" spans="1:10" x14ac:dyDescent="0.25">
      <c r="A38">
        <v>37</v>
      </c>
      <c r="B38" s="2" t="s">
        <v>129</v>
      </c>
      <c r="C38" s="2">
        <v>15</v>
      </c>
      <c r="D38" s="2">
        <v>10</v>
      </c>
      <c r="E38" s="2" t="s">
        <v>9</v>
      </c>
      <c r="F38" s="2" t="s">
        <v>9</v>
      </c>
      <c r="G38" s="2" t="s">
        <v>49</v>
      </c>
      <c r="H38" s="2"/>
      <c r="I38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Bas+0%+0%1510--OK7</v>
      </c>
      <c r="J38">
        <f>Table8[[#This Row],[Paket]]</f>
        <v>37</v>
      </c>
    </row>
    <row r="39" spans="1:10" x14ac:dyDescent="0.25">
      <c r="A39">
        <v>38</v>
      </c>
      <c r="B39" s="2" t="s">
        <v>129</v>
      </c>
      <c r="C39" s="2">
        <v>15</v>
      </c>
      <c r="D39" s="2">
        <v>10</v>
      </c>
      <c r="E39" s="2">
        <v>0</v>
      </c>
      <c r="F39" s="2" t="s">
        <v>9</v>
      </c>
      <c r="G39" s="2" t="s">
        <v>49</v>
      </c>
      <c r="H39" s="2"/>
      <c r="I39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Bas+0%+0%15100-OK7</v>
      </c>
      <c r="J39">
        <f>Table8[[#This Row],[Paket]]</f>
        <v>38</v>
      </c>
    </row>
    <row r="40" spans="1:10" x14ac:dyDescent="0.25">
      <c r="A40">
        <v>39</v>
      </c>
      <c r="B40" s="2" t="s">
        <v>129</v>
      </c>
      <c r="C40" s="2">
        <v>20</v>
      </c>
      <c r="D40" s="2">
        <v>5</v>
      </c>
      <c r="E40" s="2">
        <v>20</v>
      </c>
      <c r="F40" s="2">
        <v>30</v>
      </c>
      <c r="G40" s="2" t="s">
        <v>49</v>
      </c>
      <c r="H40" s="2"/>
      <c r="I40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Bas+0%+0%2052030OK7</v>
      </c>
      <c r="J40">
        <f>Table8[[#This Row],[Paket]]</f>
        <v>39</v>
      </c>
    </row>
    <row r="41" spans="1:10" x14ac:dyDescent="0.25">
      <c r="A41">
        <v>40</v>
      </c>
      <c r="B41" s="2" t="s">
        <v>129</v>
      </c>
      <c r="C41" s="2">
        <v>15</v>
      </c>
      <c r="D41" s="2">
        <v>5</v>
      </c>
      <c r="E41" s="2">
        <v>20</v>
      </c>
      <c r="F41" s="2">
        <v>30</v>
      </c>
      <c r="G41" s="2" t="s">
        <v>49</v>
      </c>
      <c r="H41" s="2"/>
      <c r="I41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Bas+0%+0%1552030OK7</v>
      </c>
      <c r="J41">
        <f>Table8[[#This Row],[Paket]]</f>
        <v>40</v>
      </c>
    </row>
    <row r="42" spans="1:10" x14ac:dyDescent="0.25">
      <c r="A42">
        <v>41</v>
      </c>
      <c r="B42" s="2" t="s">
        <v>129</v>
      </c>
      <c r="C42" s="2">
        <v>20</v>
      </c>
      <c r="D42" s="2">
        <v>5</v>
      </c>
      <c r="E42" s="2">
        <v>20</v>
      </c>
      <c r="F42" s="2">
        <v>50</v>
      </c>
      <c r="G42" s="2" t="s">
        <v>49</v>
      </c>
      <c r="H42" s="2"/>
      <c r="I42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Bas+0%+0%2052050OK7</v>
      </c>
      <c r="J42">
        <f>Table8[[#This Row],[Paket]]</f>
        <v>41</v>
      </c>
    </row>
    <row r="43" spans="1:10" x14ac:dyDescent="0.25">
      <c r="A43">
        <v>42</v>
      </c>
      <c r="B43" s="2" t="s">
        <v>129</v>
      </c>
      <c r="C43" s="2">
        <v>15</v>
      </c>
      <c r="D43" s="2">
        <v>5</v>
      </c>
      <c r="E43" s="2">
        <v>20</v>
      </c>
      <c r="F43" s="2">
        <v>50</v>
      </c>
      <c r="G43" s="2" t="s">
        <v>49</v>
      </c>
      <c r="H43" s="2"/>
      <c r="I43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Bas+0%+0%1552050OK7</v>
      </c>
      <c r="J43">
        <f>Table8[[#This Row],[Paket]]</f>
        <v>42</v>
      </c>
    </row>
    <row r="44" spans="1:10" x14ac:dyDescent="0.25">
      <c r="A44">
        <v>43</v>
      </c>
      <c r="B44" s="2" t="s">
        <v>129</v>
      </c>
      <c r="C44" s="2">
        <v>10</v>
      </c>
      <c r="D44" s="2">
        <v>5</v>
      </c>
      <c r="E44" s="2">
        <v>20</v>
      </c>
      <c r="F44" s="2">
        <v>50</v>
      </c>
      <c r="G44" s="2" t="s">
        <v>49</v>
      </c>
      <c r="H44" s="2"/>
      <c r="I44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Bas+0%+0%1052050OK7</v>
      </c>
      <c r="J44">
        <f>Table8[[#This Row],[Paket]]</f>
        <v>43</v>
      </c>
    </row>
    <row r="45" spans="1:10" x14ac:dyDescent="0.25">
      <c r="A45">
        <v>44</v>
      </c>
      <c r="B45" s="2" t="s">
        <v>9</v>
      </c>
      <c r="C45" s="2" t="s">
        <v>9</v>
      </c>
      <c r="D45" s="2" t="s">
        <v>9</v>
      </c>
      <c r="E45" s="2" t="s">
        <v>9</v>
      </c>
      <c r="F45" s="2" t="s">
        <v>9</v>
      </c>
      <c r="G45" s="2" t="s">
        <v>15</v>
      </c>
      <c r="H45" s="2"/>
      <c r="I45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-----Når ej 70%</v>
      </c>
      <c r="J45">
        <f>Table8[[#This Row],[Paket]]</f>
        <v>44</v>
      </c>
    </row>
    <row r="46" spans="1:10" x14ac:dyDescent="0.25">
      <c r="A46">
        <v>45</v>
      </c>
      <c r="B46" s="2" t="s">
        <v>9</v>
      </c>
      <c r="C46" s="2" t="s">
        <v>9</v>
      </c>
      <c r="D46" s="2" t="s">
        <v>9</v>
      </c>
      <c r="E46" s="2" t="s">
        <v>9</v>
      </c>
      <c r="F46" s="2" t="s">
        <v>9</v>
      </c>
      <c r="G46" s="2" t="s">
        <v>11</v>
      </c>
      <c r="H46" s="2"/>
      <c r="I46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-----Frys innan täck</v>
      </c>
      <c r="J46">
        <f>Table8[[#This Row],[Paket]]</f>
        <v>45</v>
      </c>
    </row>
    <row r="47" spans="1:10" x14ac:dyDescent="0.25">
      <c r="B47" s="2"/>
      <c r="C47" s="2"/>
      <c r="D47" s="2"/>
      <c r="E47" s="2"/>
      <c r="F47" s="2"/>
      <c r="G47" s="2"/>
      <c r="H47" s="2"/>
    </row>
    <row r="48" spans="1:10" x14ac:dyDescent="0.25">
      <c r="B48" s="2"/>
      <c r="C48" s="2"/>
      <c r="D48" s="2"/>
      <c r="E48" s="2"/>
      <c r="F48" s="2"/>
      <c r="G48" s="2"/>
      <c r="H48" s="2"/>
    </row>
    <row r="49" spans="1:10" x14ac:dyDescent="0.25">
      <c r="B49" s="2"/>
      <c r="C49" s="2"/>
      <c r="D49" s="2"/>
      <c r="E49" s="2"/>
      <c r="F49" s="2"/>
      <c r="G49" s="2"/>
      <c r="H49" s="2"/>
    </row>
    <row r="50" spans="1:10" x14ac:dyDescent="0.25">
      <c r="B50" s="2"/>
      <c r="C50" s="2"/>
      <c r="D50" s="2"/>
      <c r="E50" s="2"/>
      <c r="F50" s="2"/>
      <c r="G50" s="2"/>
      <c r="H50" s="2"/>
    </row>
    <row r="51" spans="1:10" x14ac:dyDescent="0.25">
      <c r="B51" s="2"/>
      <c r="C51" s="2"/>
      <c r="D51" s="2"/>
      <c r="E51" s="2"/>
      <c r="F51" s="2"/>
      <c r="G51" s="2"/>
      <c r="H51" s="2"/>
    </row>
    <row r="52" spans="1:10" x14ac:dyDescent="0.25">
      <c r="B52" s="2"/>
      <c r="C52" s="2"/>
      <c r="D52" s="2"/>
      <c r="E52" s="2"/>
      <c r="F52" s="2"/>
      <c r="G52" s="2"/>
      <c r="H52" s="2"/>
    </row>
    <row r="53" spans="1:10" x14ac:dyDescent="0.25">
      <c r="B53" s="2"/>
      <c r="C53" s="2"/>
      <c r="D53" s="2"/>
      <c r="E53" s="2"/>
      <c r="F53" s="2"/>
      <c r="G53" s="2"/>
      <c r="H53" s="2"/>
    </row>
    <row r="54" spans="1:10" x14ac:dyDescent="0.25">
      <c r="B54" s="2"/>
      <c r="C54" s="2"/>
      <c r="D54" s="2"/>
      <c r="E54" s="2"/>
      <c r="F54" s="2"/>
      <c r="G54" s="2"/>
      <c r="H54" s="2"/>
    </row>
    <row r="55" spans="1:10" x14ac:dyDescent="0.25">
      <c r="B55" s="2"/>
      <c r="C55" s="2"/>
      <c r="D55" s="2"/>
      <c r="E55" s="2"/>
      <c r="F55" s="2"/>
      <c r="G55" s="2"/>
      <c r="H55" s="2"/>
    </row>
    <row r="56" spans="1:10" x14ac:dyDescent="0.25">
      <c r="B56" s="2"/>
      <c r="C56" s="2"/>
      <c r="D56" s="2"/>
      <c r="E56" s="2"/>
      <c r="F56" s="2"/>
      <c r="G56" s="2"/>
      <c r="H56" s="2"/>
    </row>
    <row r="63" spans="1:10" x14ac:dyDescent="0.25">
      <c r="I63" t="s">
        <v>48</v>
      </c>
    </row>
    <row r="64" spans="1:10" x14ac:dyDescent="0.25">
      <c r="A64">
        <v>1</v>
      </c>
      <c r="B64">
        <v>0.3</v>
      </c>
      <c r="C64">
        <v>15</v>
      </c>
      <c r="D64">
        <v>20</v>
      </c>
      <c r="E64">
        <v>0</v>
      </c>
      <c r="F64" t="s">
        <v>10</v>
      </c>
      <c r="G64" t="s">
        <v>49</v>
      </c>
      <c r="H64" t="str">
        <f>B64&amp;C64&amp;D64&amp;E64&amp;F64&amp;G64</f>
        <v>0,315200PresenningOK7</v>
      </c>
      <c r="I64" t="s">
        <v>50</v>
      </c>
      <c r="J64">
        <f>MATCH(H64,I64)</f>
        <v>1</v>
      </c>
    </row>
    <row r="65" spans="1:10" x14ac:dyDescent="0.25">
      <c r="A65">
        <v>2</v>
      </c>
      <c r="B65">
        <v>0.2</v>
      </c>
      <c r="C65">
        <v>15</v>
      </c>
      <c r="D65">
        <v>20</v>
      </c>
      <c r="E65">
        <v>0</v>
      </c>
      <c r="F65" t="s">
        <v>10</v>
      </c>
      <c r="G65" t="s">
        <v>49</v>
      </c>
      <c r="H65" t="str">
        <f t="shared" ref="H65:H108" si="0">B65&amp;C65&amp;D65&amp;E65&amp;F65&amp;G65</f>
        <v>0,215200PresenningOK7</v>
      </c>
      <c r="I65" t="s">
        <v>51</v>
      </c>
      <c r="J65">
        <f t="shared" ref="J65:J108" si="1">MATCH(H65,I65)</f>
        <v>1</v>
      </c>
    </row>
    <row r="66" spans="1:10" x14ac:dyDescent="0.25">
      <c r="A66">
        <v>3</v>
      </c>
      <c r="B66">
        <v>0.1</v>
      </c>
      <c r="C66">
        <v>15</v>
      </c>
      <c r="D66">
        <v>15</v>
      </c>
      <c r="E66" t="s">
        <v>9</v>
      </c>
      <c r="F66" t="s">
        <v>9</v>
      </c>
      <c r="G66" t="s">
        <v>49</v>
      </c>
      <c r="H66" t="str">
        <f t="shared" si="0"/>
        <v>0,11515--OK7</v>
      </c>
      <c r="I66" t="s">
        <v>52</v>
      </c>
      <c r="J66">
        <f t="shared" si="1"/>
        <v>1</v>
      </c>
    </row>
    <row r="67" spans="1:10" x14ac:dyDescent="0.25">
      <c r="A67">
        <v>4</v>
      </c>
      <c r="B67">
        <v>0.1</v>
      </c>
      <c r="C67">
        <v>15</v>
      </c>
      <c r="D67">
        <v>15</v>
      </c>
      <c r="E67">
        <v>0</v>
      </c>
      <c r="F67" t="s">
        <v>9</v>
      </c>
      <c r="G67" t="s">
        <v>49</v>
      </c>
      <c r="H67" t="str">
        <f t="shared" si="0"/>
        <v>0,115150-OK7</v>
      </c>
      <c r="I67" t="s">
        <v>53</v>
      </c>
      <c r="J67">
        <f t="shared" si="1"/>
        <v>1</v>
      </c>
    </row>
    <row r="68" spans="1:10" x14ac:dyDescent="0.25">
      <c r="A68">
        <v>5</v>
      </c>
      <c r="B68">
        <v>0.1</v>
      </c>
      <c r="C68">
        <v>15</v>
      </c>
      <c r="D68">
        <v>15</v>
      </c>
      <c r="E68">
        <v>0</v>
      </c>
      <c r="F68" t="s">
        <v>10</v>
      </c>
      <c r="G68" t="s">
        <v>49</v>
      </c>
      <c r="H68" t="str">
        <f t="shared" si="0"/>
        <v>0,115150PresenningOK7</v>
      </c>
      <c r="I68" t="s">
        <v>54</v>
      </c>
      <c r="J68">
        <f t="shared" si="1"/>
        <v>1</v>
      </c>
    </row>
    <row r="69" spans="1:10" x14ac:dyDescent="0.25">
      <c r="A69">
        <v>6</v>
      </c>
      <c r="B69" t="s">
        <v>129</v>
      </c>
      <c r="C69">
        <v>15</v>
      </c>
      <c r="D69">
        <v>10</v>
      </c>
      <c r="E69" t="s">
        <v>9</v>
      </c>
      <c r="F69" t="s">
        <v>9</v>
      </c>
      <c r="G69" t="s">
        <v>49</v>
      </c>
      <c r="H69" t="str">
        <f>B69&amp;C69&amp;D69&amp;E69&amp;F64&amp;G69</f>
        <v>Bas+0%+0%1510-PresenningOK7</v>
      </c>
      <c r="I69" t="s">
        <v>130</v>
      </c>
      <c r="J69">
        <f t="shared" si="1"/>
        <v>1</v>
      </c>
    </row>
    <row r="70" spans="1:10" x14ac:dyDescent="0.25">
      <c r="A70">
        <v>7</v>
      </c>
      <c r="B70" t="s">
        <v>129</v>
      </c>
      <c r="C70">
        <v>15</v>
      </c>
      <c r="D70">
        <v>10</v>
      </c>
      <c r="E70">
        <v>0</v>
      </c>
      <c r="F70" t="s">
        <v>9</v>
      </c>
      <c r="G70" t="s">
        <v>49</v>
      </c>
      <c r="H70" t="str">
        <f t="shared" si="0"/>
        <v>Bas+0%+0%15100-OK7</v>
      </c>
      <c r="I70" t="s">
        <v>131</v>
      </c>
      <c r="J70">
        <f t="shared" si="1"/>
        <v>1</v>
      </c>
    </row>
    <row r="71" spans="1:10" x14ac:dyDescent="0.25">
      <c r="A71">
        <v>8</v>
      </c>
      <c r="B71" t="s">
        <v>9</v>
      </c>
      <c r="C71" t="s">
        <v>9</v>
      </c>
      <c r="D71" t="s">
        <v>9</v>
      </c>
      <c r="E71" t="s">
        <v>9</v>
      </c>
      <c r="F71" t="s">
        <v>9</v>
      </c>
      <c r="G71" t="s">
        <v>15</v>
      </c>
      <c r="H71" t="str">
        <f t="shared" si="0"/>
        <v>-----Når ej 70%</v>
      </c>
      <c r="I71" t="s">
        <v>41</v>
      </c>
      <c r="J71">
        <f t="shared" si="1"/>
        <v>1</v>
      </c>
    </row>
    <row r="72" spans="1:10" x14ac:dyDescent="0.25">
      <c r="A72">
        <v>9</v>
      </c>
      <c r="B72">
        <v>0.4</v>
      </c>
      <c r="C72">
        <v>20</v>
      </c>
      <c r="D72">
        <v>5</v>
      </c>
      <c r="E72">
        <v>20</v>
      </c>
      <c r="F72">
        <v>30</v>
      </c>
      <c r="G72" t="s">
        <v>49</v>
      </c>
      <c r="H72" t="str">
        <f t="shared" si="0"/>
        <v>0,42052030OK7</v>
      </c>
      <c r="I72" t="s">
        <v>55</v>
      </c>
      <c r="J72">
        <f t="shared" si="1"/>
        <v>1</v>
      </c>
    </row>
    <row r="73" spans="1:10" x14ac:dyDescent="0.25">
      <c r="A73">
        <v>10</v>
      </c>
      <c r="B73">
        <v>0.4</v>
      </c>
      <c r="C73">
        <v>20</v>
      </c>
      <c r="D73">
        <v>5</v>
      </c>
      <c r="E73">
        <v>20</v>
      </c>
      <c r="F73">
        <v>50</v>
      </c>
      <c r="G73" t="s">
        <v>49</v>
      </c>
      <c r="H73" t="str">
        <f t="shared" si="0"/>
        <v>0,42052050OK7</v>
      </c>
      <c r="I73" t="s">
        <v>56</v>
      </c>
      <c r="J73">
        <f t="shared" si="1"/>
        <v>1</v>
      </c>
    </row>
    <row r="74" spans="1:10" x14ac:dyDescent="0.25">
      <c r="A74">
        <v>11</v>
      </c>
      <c r="B74">
        <v>0.3</v>
      </c>
      <c r="C74">
        <v>20</v>
      </c>
      <c r="D74">
        <v>5</v>
      </c>
      <c r="E74">
        <v>20</v>
      </c>
      <c r="F74">
        <v>50</v>
      </c>
      <c r="G74" t="s">
        <v>49</v>
      </c>
      <c r="H74" t="str">
        <f t="shared" si="0"/>
        <v>0,32052050OK7</v>
      </c>
      <c r="I74" t="s">
        <v>57</v>
      </c>
      <c r="J74">
        <f t="shared" si="1"/>
        <v>1</v>
      </c>
    </row>
    <row r="75" spans="1:10" x14ac:dyDescent="0.25">
      <c r="A75">
        <v>12</v>
      </c>
      <c r="B75">
        <v>0.2</v>
      </c>
      <c r="C75">
        <v>20</v>
      </c>
      <c r="D75">
        <v>5</v>
      </c>
      <c r="E75">
        <v>20</v>
      </c>
      <c r="F75">
        <v>50</v>
      </c>
      <c r="G75" t="s">
        <v>49</v>
      </c>
      <c r="H75" t="str">
        <f t="shared" si="0"/>
        <v>0,22052050OK7</v>
      </c>
      <c r="I75" t="s">
        <v>58</v>
      </c>
      <c r="J75">
        <f t="shared" si="1"/>
        <v>1</v>
      </c>
    </row>
    <row r="76" spans="1:10" x14ac:dyDescent="0.25">
      <c r="A76">
        <v>13</v>
      </c>
      <c r="B76">
        <v>0.1</v>
      </c>
      <c r="C76">
        <v>20</v>
      </c>
      <c r="D76">
        <v>5</v>
      </c>
      <c r="E76">
        <v>20</v>
      </c>
      <c r="F76">
        <v>30</v>
      </c>
      <c r="G76" t="s">
        <v>49</v>
      </c>
      <c r="H76" t="str">
        <f t="shared" si="0"/>
        <v>0,12052030OK7</v>
      </c>
      <c r="I76" t="s">
        <v>59</v>
      </c>
      <c r="J76">
        <f>MATCH(H76,I76)</f>
        <v>1</v>
      </c>
    </row>
    <row r="77" spans="1:10" x14ac:dyDescent="0.25">
      <c r="A77">
        <v>14</v>
      </c>
      <c r="B77">
        <v>0.1</v>
      </c>
      <c r="C77">
        <v>20</v>
      </c>
      <c r="D77">
        <v>5</v>
      </c>
      <c r="E77">
        <v>20</v>
      </c>
      <c r="F77">
        <v>50</v>
      </c>
      <c r="G77" t="s">
        <v>49</v>
      </c>
      <c r="H77" t="str">
        <f t="shared" si="0"/>
        <v>0,12052050OK7</v>
      </c>
      <c r="I77" t="s">
        <v>60</v>
      </c>
      <c r="J77">
        <f t="shared" si="1"/>
        <v>1</v>
      </c>
    </row>
    <row r="78" spans="1:10" x14ac:dyDescent="0.25">
      <c r="A78">
        <v>15</v>
      </c>
      <c r="B78" t="s">
        <v>129</v>
      </c>
      <c r="C78">
        <v>20</v>
      </c>
      <c r="D78">
        <v>5</v>
      </c>
      <c r="E78">
        <v>20</v>
      </c>
      <c r="F78">
        <v>30</v>
      </c>
      <c r="G78" t="s">
        <v>49</v>
      </c>
      <c r="H78" t="str">
        <f t="shared" si="0"/>
        <v>Bas+0%+0%2052030OK7</v>
      </c>
      <c r="I78" t="s">
        <v>132</v>
      </c>
      <c r="J78">
        <f t="shared" si="1"/>
        <v>1</v>
      </c>
    </row>
    <row r="79" spans="1:10" x14ac:dyDescent="0.25">
      <c r="A79">
        <v>16</v>
      </c>
      <c r="B79" t="s">
        <v>129</v>
      </c>
      <c r="C79">
        <v>20</v>
      </c>
      <c r="D79">
        <v>5</v>
      </c>
      <c r="E79">
        <v>20</v>
      </c>
      <c r="F79">
        <v>50</v>
      </c>
      <c r="G79" t="s">
        <v>49</v>
      </c>
      <c r="H79" t="str">
        <f t="shared" si="0"/>
        <v>Bas+0%+0%2052050OK7</v>
      </c>
      <c r="I79" t="s">
        <v>133</v>
      </c>
      <c r="J79">
        <f t="shared" si="1"/>
        <v>1</v>
      </c>
    </row>
    <row r="80" spans="1:10" x14ac:dyDescent="0.25">
      <c r="A80">
        <v>17</v>
      </c>
      <c r="B80" t="s">
        <v>9</v>
      </c>
      <c r="C80" t="s">
        <v>9</v>
      </c>
      <c r="D80" t="s">
        <v>9</v>
      </c>
      <c r="E80" t="s">
        <v>9</v>
      </c>
      <c r="F80" t="s">
        <v>9</v>
      </c>
      <c r="G80" t="s">
        <v>11</v>
      </c>
      <c r="H80" t="str">
        <f t="shared" si="0"/>
        <v>-----Frys innan täck</v>
      </c>
      <c r="I80" t="s">
        <v>40</v>
      </c>
      <c r="J80">
        <f t="shared" si="1"/>
        <v>1</v>
      </c>
    </row>
    <row r="81" spans="1:10" x14ac:dyDescent="0.25">
      <c r="A81">
        <v>18</v>
      </c>
      <c r="B81">
        <v>0.4</v>
      </c>
      <c r="C81">
        <v>15</v>
      </c>
      <c r="D81">
        <v>20</v>
      </c>
      <c r="E81">
        <v>0</v>
      </c>
      <c r="F81" t="s">
        <v>10</v>
      </c>
      <c r="G81" t="s">
        <v>49</v>
      </c>
      <c r="H81" t="str">
        <f t="shared" si="0"/>
        <v>0,415200PresenningOK7</v>
      </c>
      <c r="I81" t="s">
        <v>61</v>
      </c>
      <c r="J81">
        <f t="shared" si="1"/>
        <v>1</v>
      </c>
    </row>
    <row r="82" spans="1:10" x14ac:dyDescent="0.25">
      <c r="A82">
        <v>19</v>
      </c>
      <c r="B82">
        <v>0.3</v>
      </c>
      <c r="C82">
        <v>15</v>
      </c>
      <c r="D82">
        <v>20</v>
      </c>
      <c r="E82" t="s">
        <v>9</v>
      </c>
      <c r="F82" t="s">
        <v>9</v>
      </c>
      <c r="G82" t="s">
        <v>49</v>
      </c>
      <c r="H82" t="str">
        <f t="shared" si="0"/>
        <v>0,31520--OK7</v>
      </c>
      <c r="I82" t="s">
        <v>62</v>
      </c>
      <c r="J82">
        <f t="shared" si="1"/>
        <v>1</v>
      </c>
    </row>
    <row r="83" spans="1:10" x14ac:dyDescent="0.25">
      <c r="A83">
        <v>20</v>
      </c>
      <c r="B83">
        <v>0.4</v>
      </c>
      <c r="C83">
        <v>20</v>
      </c>
      <c r="D83">
        <v>5</v>
      </c>
      <c r="E83">
        <v>20</v>
      </c>
      <c r="F83">
        <v>20</v>
      </c>
      <c r="G83" t="s">
        <v>49</v>
      </c>
      <c r="H83" t="str">
        <f t="shared" si="0"/>
        <v>0,42052020OK7</v>
      </c>
      <c r="I83" t="s">
        <v>63</v>
      </c>
      <c r="J83">
        <f t="shared" si="1"/>
        <v>1</v>
      </c>
    </row>
    <row r="84" spans="1:10" x14ac:dyDescent="0.25">
      <c r="A84">
        <v>21</v>
      </c>
      <c r="B84">
        <v>0.3</v>
      </c>
      <c r="C84">
        <v>20</v>
      </c>
      <c r="D84">
        <v>5</v>
      </c>
      <c r="E84">
        <v>20</v>
      </c>
      <c r="F84">
        <v>30</v>
      </c>
      <c r="G84" t="s">
        <v>49</v>
      </c>
      <c r="H84" t="str">
        <f t="shared" si="0"/>
        <v>0,32052030OK7</v>
      </c>
      <c r="I84" t="s">
        <v>64</v>
      </c>
      <c r="J84">
        <f t="shared" si="1"/>
        <v>1</v>
      </c>
    </row>
    <row r="85" spans="1:10" x14ac:dyDescent="0.25">
      <c r="A85">
        <v>22</v>
      </c>
      <c r="B85">
        <v>0.3</v>
      </c>
      <c r="C85">
        <v>20</v>
      </c>
      <c r="D85">
        <v>5</v>
      </c>
      <c r="E85">
        <v>20</v>
      </c>
      <c r="F85">
        <v>10</v>
      </c>
      <c r="G85" t="s">
        <v>49</v>
      </c>
      <c r="H85" t="str">
        <f t="shared" si="0"/>
        <v>0,32052010OK7</v>
      </c>
      <c r="I85" t="s">
        <v>65</v>
      </c>
      <c r="J85">
        <f t="shared" si="1"/>
        <v>1</v>
      </c>
    </row>
    <row r="86" spans="1:10" x14ac:dyDescent="0.25">
      <c r="A86">
        <v>23</v>
      </c>
      <c r="B86" t="s">
        <v>129</v>
      </c>
      <c r="C86">
        <v>15</v>
      </c>
      <c r="D86">
        <v>5</v>
      </c>
      <c r="E86">
        <v>20</v>
      </c>
      <c r="F86">
        <v>50</v>
      </c>
      <c r="G86" t="s">
        <v>49</v>
      </c>
      <c r="H86" t="str">
        <f t="shared" si="0"/>
        <v>Bas+0%+0%1552050OK7</v>
      </c>
      <c r="I86" t="s">
        <v>134</v>
      </c>
      <c r="J86">
        <f t="shared" si="1"/>
        <v>1</v>
      </c>
    </row>
    <row r="87" spans="1:10" x14ac:dyDescent="0.25">
      <c r="A87">
        <v>24</v>
      </c>
      <c r="B87">
        <v>0.4</v>
      </c>
      <c r="C87">
        <v>15</v>
      </c>
      <c r="D87">
        <v>20</v>
      </c>
      <c r="E87" t="s">
        <v>9</v>
      </c>
      <c r="F87" t="s">
        <v>9</v>
      </c>
      <c r="G87" t="s">
        <v>49</v>
      </c>
      <c r="H87" t="str">
        <f t="shared" si="0"/>
        <v>0,41520--OK7</v>
      </c>
      <c r="I87" t="s">
        <v>66</v>
      </c>
      <c r="J87">
        <f t="shared" si="1"/>
        <v>1</v>
      </c>
    </row>
    <row r="88" spans="1:10" x14ac:dyDescent="0.25">
      <c r="A88">
        <v>25</v>
      </c>
      <c r="B88">
        <v>0.2</v>
      </c>
      <c r="C88">
        <v>15</v>
      </c>
      <c r="D88">
        <v>15</v>
      </c>
      <c r="E88" t="s">
        <v>9</v>
      </c>
      <c r="F88" t="s">
        <v>9</v>
      </c>
      <c r="G88" t="s">
        <v>49</v>
      </c>
      <c r="H88" t="str">
        <f t="shared" si="0"/>
        <v>0,21515--OK7</v>
      </c>
      <c r="I88" t="s">
        <v>67</v>
      </c>
      <c r="J88">
        <f t="shared" si="1"/>
        <v>1</v>
      </c>
    </row>
    <row r="89" spans="1:10" x14ac:dyDescent="0.25">
      <c r="A89">
        <v>26</v>
      </c>
      <c r="B89">
        <v>0.2</v>
      </c>
      <c r="C89">
        <v>15</v>
      </c>
      <c r="D89">
        <v>15</v>
      </c>
      <c r="E89">
        <v>0</v>
      </c>
      <c r="F89" t="s">
        <v>9</v>
      </c>
      <c r="G89" t="s">
        <v>49</v>
      </c>
      <c r="H89" t="str">
        <f t="shared" si="0"/>
        <v>0,215150-OK7</v>
      </c>
      <c r="I89" t="s">
        <v>68</v>
      </c>
      <c r="J89">
        <f t="shared" si="1"/>
        <v>1</v>
      </c>
    </row>
    <row r="90" spans="1:10" x14ac:dyDescent="0.25">
      <c r="A90">
        <v>27</v>
      </c>
      <c r="B90">
        <v>0.1</v>
      </c>
      <c r="C90">
        <v>15</v>
      </c>
      <c r="D90">
        <v>10</v>
      </c>
      <c r="E90" t="s">
        <v>9</v>
      </c>
      <c r="F90" t="s">
        <v>9</v>
      </c>
      <c r="G90" t="s">
        <v>49</v>
      </c>
      <c r="H90" t="str">
        <f t="shared" si="0"/>
        <v>0,11510--OK7</v>
      </c>
      <c r="I90" t="s">
        <v>69</v>
      </c>
      <c r="J90">
        <f t="shared" si="1"/>
        <v>1</v>
      </c>
    </row>
    <row r="91" spans="1:10" x14ac:dyDescent="0.25">
      <c r="A91">
        <v>28</v>
      </c>
      <c r="B91">
        <v>0.4</v>
      </c>
      <c r="C91">
        <v>20</v>
      </c>
      <c r="D91">
        <v>5</v>
      </c>
      <c r="E91">
        <v>20</v>
      </c>
      <c r="F91">
        <v>10</v>
      </c>
      <c r="G91" t="s">
        <v>49</v>
      </c>
      <c r="H91" t="str">
        <f t="shared" si="0"/>
        <v>0,42052010OK7</v>
      </c>
      <c r="I91" t="s">
        <v>70</v>
      </c>
      <c r="J91">
        <f t="shared" si="1"/>
        <v>1</v>
      </c>
    </row>
    <row r="92" spans="1:10" x14ac:dyDescent="0.25">
      <c r="A92">
        <v>29</v>
      </c>
      <c r="B92">
        <v>0.4</v>
      </c>
      <c r="C92">
        <v>15</v>
      </c>
      <c r="D92">
        <v>20</v>
      </c>
      <c r="E92">
        <v>0</v>
      </c>
      <c r="F92" t="s">
        <v>9</v>
      </c>
      <c r="G92" t="s">
        <v>49</v>
      </c>
      <c r="H92" t="str">
        <f t="shared" si="0"/>
        <v>0,415200-OK7</v>
      </c>
      <c r="I92" t="s">
        <v>71</v>
      </c>
      <c r="J92">
        <f t="shared" si="1"/>
        <v>1</v>
      </c>
    </row>
    <row r="93" spans="1:10" x14ac:dyDescent="0.25">
      <c r="A93">
        <v>30</v>
      </c>
      <c r="B93">
        <v>0.2</v>
      </c>
      <c r="C93">
        <v>15</v>
      </c>
      <c r="D93">
        <v>15</v>
      </c>
      <c r="E93">
        <v>0</v>
      </c>
      <c r="F93" t="s">
        <v>10</v>
      </c>
      <c r="G93" t="s">
        <v>49</v>
      </c>
      <c r="H93" t="str">
        <f t="shared" si="0"/>
        <v>0,215150PresenningOK7</v>
      </c>
      <c r="I93" t="s">
        <v>72</v>
      </c>
      <c r="J93">
        <f t="shared" si="1"/>
        <v>1</v>
      </c>
    </row>
    <row r="94" spans="1:10" x14ac:dyDescent="0.25">
      <c r="A94">
        <v>31</v>
      </c>
      <c r="B94">
        <v>0.1</v>
      </c>
      <c r="C94">
        <v>15</v>
      </c>
      <c r="D94">
        <v>10</v>
      </c>
      <c r="E94">
        <v>0</v>
      </c>
      <c r="F94" t="s">
        <v>10</v>
      </c>
      <c r="G94" t="s">
        <v>49</v>
      </c>
      <c r="H94" t="str">
        <f t="shared" si="0"/>
        <v>0,115100PresenningOK7</v>
      </c>
      <c r="I94" t="s">
        <v>73</v>
      </c>
      <c r="J94">
        <f t="shared" si="1"/>
        <v>1</v>
      </c>
    </row>
    <row r="95" spans="1:10" x14ac:dyDescent="0.25">
      <c r="A95">
        <v>32</v>
      </c>
      <c r="B95">
        <v>0.2</v>
      </c>
      <c r="C95">
        <v>20</v>
      </c>
      <c r="D95">
        <v>5</v>
      </c>
      <c r="E95">
        <v>20</v>
      </c>
      <c r="F95">
        <v>30</v>
      </c>
      <c r="G95" t="s">
        <v>49</v>
      </c>
      <c r="H95" t="str">
        <f t="shared" si="0"/>
        <v>0,22052030OK7</v>
      </c>
      <c r="I95" t="s">
        <v>74</v>
      </c>
      <c r="J95">
        <f t="shared" si="1"/>
        <v>1</v>
      </c>
    </row>
    <row r="96" spans="1:10" x14ac:dyDescent="0.25">
      <c r="A96">
        <v>33</v>
      </c>
      <c r="B96" t="s">
        <v>129</v>
      </c>
      <c r="C96">
        <v>15</v>
      </c>
      <c r="D96">
        <v>5</v>
      </c>
      <c r="E96">
        <v>20</v>
      </c>
      <c r="F96">
        <v>30</v>
      </c>
      <c r="G96" t="s">
        <v>49</v>
      </c>
      <c r="H96" t="str">
        <f t="shared" si="0"/>
        <v>Bas+0%+0%1552030OK7</v>
      </c>
      <c r="I96" t="s">
        <v>135</v>
      </c>
      <c r="J96">
        <f t="shared" si="1"/>
        <v>1</v>
      </c>
    </row>
    <row r="97" spans="1:10" x14ac:dyDescent="0.25">
      <c r="A97">
        <v>34</v>
      </c>
      <c r="B97">
        <v>0.3</v>
      </c>
      <c r="C97">
        <v>15</v>
      </c>
      <c r="D97">
        <v>15</v>
      </c>
      <c r="E97">
        <v>0</v>
      </c>
      <c r="F97" t="s">
        <v>10</v>
      </c>
      <c r="G97" t="s">
        <v>49</v>
      </c>
      <c r="H97" t="str">
        <f t="shared" si="0"/>
        <v>0,315150PresenningOK7</v>
      </c>
      <c r="I97" t="s">
        <v>75</v>
      </c>
      <c r="J97">
        <f t="shared" si="1"/>
        <v>1</v>
      </c>
    </row>
    <row r="98" spans="1:10" x14ac:dyDescent="0.25">
      <c r="A98">
        <v>35</v>
      </c>
      <c r="B98">
        <v>0.1</v>
      </c>
      <c r="C98">
        <v>15</v>
      </c>
      <c r="D98">
        <v>5</v>
      </c>
      <c r="E98">
        <v>20</v>
      </c>
      <c r="F98">
        <v>50</v>
      </c>
      <c r="G98" t="s">
        <v>49</v>
      </c>
      <c r="H98" t="str">
        <f t="shared" si="0"/>
        <v>0,11552050OK7</v>
      </c>
      <c r="I98" t="s">
        <v>76</v>
      </c>
      <c r="J98">
        <f t="shared" si="1"/>
        <v>1</v>
      </c>
    </row>
    <row r="99" spans="1:10" x14ac:dyDescent="0.25">
      <c r="A99">
        <v>36</v>
      </c>
      <c r="B99">
        <v>0.3</v>
      </c>
      <c r="C99">
        <v>15</v>
      </c>
      <c r="D99">
        <v>15</v>
      </c>
      <c r="E99" t="s">
        <v>9</v>
      </c>
      <c r="F99" t="s">
        <v>9</v>
      </c>
      <c r="G99" t="s">
        <v>49</v>
      </c>
      <c r="H99" t="str">
        <f t="shared" si="0"/>
        <v>0,31515--OK7</v>
      </c>
      <c r="I99" t="s">
        <v>77</v>
      </c>
      <c r="J99">
        <f t="shared" si="1"/>
        <v>1</v>
      </c>
    </row>
    <row r="100" spans="1:10" x14ac:dyDescent="0.25">
      <c r="A100">
        <v>37</v>
      </c>
      <c r="B100">
        <v>0.2</v>
      </c>
      <c r="C100">
        <v>15</v>
      </c>
      <c r="D100">
        <v>10</v>
      </c>
      <c r="E100" t="s">
        <v>9</v>
      </c>
      <c r="F100" t="s">
        <v>9</v>
      </c>
      <c r="G100" t="s">
        <v>49</v>
      </c>
      <c r="H100" t="str">
        <f t="shared" si="0"/>
        <v>0,21510--OK7</v>
      </c>
      <c r="I100" t="s">
        <v>78</v>
      </c>
      <c r="J100">
        <f t="shared" si="1"/>
        <v>1</v>
      </c>
    </row>
    <row r="101" spans="1:10" x14ac:dyDescent="0.25">
      <c r="A101">
        <v>38</v>
      </c>
      <c r="B101">
        <v>0.2</v>
      </c>
      <c r="C101">
        <v>20</v>
      </c>
      <c r="D101">
        <v>5</v>
      </c>
      <c r="E101">
        <v>20</v>
      </c>
      <c r="F101">
        <v>20</v>
      </c>
      <c r="G101" t="s">
        <v>49</v>
      </c>
      <c r="H101" t="str">
        <f t="shared" si="0"/>
        <v>0,22052020OK7</v>
      </c>
      <c r="I101" t="s">
        <v>79</v>
      </c>
      <c r="J101">
        <f t="shared" si="1"/>
        <v>1</v>
      </c>
    </row>
    <row r="102" spans="1:10" x14ac:dyDescent="0.25">
      <c r="A102">
        <v>39</v>
      </c>
      <c r="B102">
        <v>0.1</v>
      </c>
      <c r="C102">
        <v>10</v>
      </c>
      <c r="D102">
        <v>5</v>
      </c>
      <c r="E102">
        <v>20</v>
      </c>
      <c r="F102">
        <v>50</v>
      </c>
      <c r="G102" t="s">
        <v>49</v>
      </c>
      <c r="H102" t="str">
        <f t="shared" si="0"/>
        <v>0,11052050OK7</v>
      </c>
      <c r="I102" t="s">
        <v>80</v>
      </c>
      <c r="J102">
        <f t="shared" si="1"/>
        <v>1</v>
      </c>
    </row>
    <row r="103" spans="1:10" x14ac:dyDescent="0.25">
      <c r="A103">
        <v>40</v>
      </c>
      <c r="B103">
        <v>0.4</v>
      </c>
      <c r="C103">
        <v>15</v>
      </c>
      <c r="D103">
        <v>15</v>
      </c>
      <c r="E103">
        <v>0</v>
      </c>
      <c r="F103" t="s">
        <v>10</v>
      </c>
      <c r="G103" t="s">
        <v>49</v>
      </c>
      <c r="H103" t="str">
        <f t="shared" si="0"/>
        <v>0,415150PresenningOK7</v>
      </c>
      <c r="I103" t="s">
        <v>81</v>
      </c>
      <c r="J103">
        <f t="shared" si="1"/>
        <v>1</v>
      </c>
    </row>
    <row r="104" spans="1:10" x14ac:dyDescent="0.25">
      <c r="A104">
        <v>41</v>
      </c>
      <c r="B104">
        <v>0.3</v>
      </c>
      <c r="C104">
        <v>15</v>
      </c>
      <c r="D104">
        <v>15</v>
      </c>
      <c r="E104">
        <v>0</v>
      </c>
      <c r="F104" t="s">
        <v>9</v>
      </c>
      <c r="G104" t="s">
        <v>49</v>
      </c>
      <c r="H104" t="str">
        <f t="shared" si="0"/>
        <v>0,315150-OK7</v>
      </c>
      <c r="I104" t="s">
        <v>82</v>
      </c>
      <c r="J104">
        <f t="shared" si="1"/>
        <v>1</v>
      </c>
    </row>
    <row r="105" spans="1:10" x14ac:dyDescent="0.25">
      <c r="A105">
        <v>42</v>
      </c>
      <c r="B105">
        <v>0.2</v>
      </c>
      <c r="C105">
        <v>15</v>
      </c>
      <c r="D105">
        <v>10</v>
      </c>
      <c r="E105">
        <v>0</v>
      </c>
      <c r="F105" t="s">
        <v>10</v>
      </c>
      <c r="G105" t="s">
        <v>49</v>
      </c>
      <c r="H105" t="str">
        <f t="shared" si="0"/>
        <v>0,215100PresenningOK7</v>
      </c>
      <c r="I105" t="s">
        <v>83</v>
      </c>
      <c r="J105">
        <f t="shared" si="1"/>
        <v>1</v>
      </c>
    </row>
    <row r="106" spans="1:10" x14ac:dyDescent="0.25">
      <c r="A106">
        <v>43</v>
      </c>
      <c r="B106">
        <v>0.4</v>
      </c>
      <c r="C106">
        <v>20</v>
      </c>
      <c r="D106">
        <v>5</v>
      </c>
      <c r="E106">
        <v>0</v>
      </c>
      <c r="F106">
        <v>50</v>
      </c>
      <c r="G106" t="s">
        <v>49</v>
      </c>
      <c r="H106" t="str">
        <f t="shared" si="0"/>
        <v>0,4205050OK7</v>
      </c>
      <c r="I106" t="s">
        <v>84</v>
      </c>
      <c r="J106">
        <f t="shared" si="1"/>
        <v>1</v>
      </c>
    </row>
    <row r="107" spans="1:10" x14ac:dyDescent="0.25">
      <c r="A107">
        <v>44</v>
      </c>
      <c r="B107">
        <v>0.1</v>
      </c>
      <c r="C107">
        <v>15</v>
      </c>
      <c r="D107">
        <v>5</v>
      </c>
      <c r="E107">
        <v>20</v>
      </c>
      <c r="F107">
        <v>30</v>
      </c>
      <c r="G107" t="s">
        <v>49</v>
      </c>
      <c r="H107" t="str">
        <f t="shared" si="0"/>
        <v>0,11552030OK7</v>
      </c>
      <c r="I107" t="s">
        <v>85</v>
      </c>
      <c r="J107">
        <f t="shared" si="1"/>
        <v>1</v>
      </c>
    </row>
    <row r="108" spans="1:10" x14ac:dyDescent="0.25">
      <c r="A108">
        <v>45</v>
      </c>
      <c r="B108" t="s">
        <v>129</v>
      </c>
      <c r="C108">
        <v>10</v>
      </c>
      <c r="D108">
        <v>5</v>
      </c>
      <c r="E108">
        <v>20</v>
      </c>
      <c r="F108">
        <v>50</v>
      </c>
      <c r="G108" t="s">
        <v>49</v>
      </c>
      <c r="H108" t="str">
        <f t="shared" si="0"/>
        <v>Bas+0%+0%1052050OK7</v>
      </c>
      <c r="I108" t="s">
        <v>136</v>
      </c>
      <c r="J108">
        <f t="shared" si="1"/>
        <v>1</v>
      </c>
    </row>
  </sheetData>
  <phoneticPr fontId="3" type="noConversion"/>
  <dataValidations count="5">
    <dataValidation type="list" allowBlank="1" showInputMessage="1" showErrorMessage="1" sqref="C2:C46" xr:uid="{17E13913-F335-496B-B2BA-16112119B815}">
      <formula1>"10,15,20,25,-"</formula1>
    </dataValidation>
    <dataValidation type="list" allowBlank="1" showInputMessage="1" showErrorMessage="1" sqref="D2:D46" xr:uid="{B9779B60-0F9E-4898-AFD4-704DCEA47B05}">
      <formula1>"5,10,15,20,-"</formula1>
    </dataValidation>
    <dataValidation type="list" allowBlank="1" showInputMessage="1" showErrorMessage="1" sqref="E2:E46" xr:uid="{540FD120-1526-4F5A-ACAF-2A894C5105C1}">
      <formula1>"0,5,10,15,20,-"</formula1>
    </dataValidation>
    <dataValidation type="list" allowBlank="1" showInputMessage="1" showErrorMessage="1" sqref="F2:F46" xr:uid="{C0A791BA-07B7-46A8-8C12-EAEA8BF1B078}">
      <formula1>"0,Presenning,10,20,30,50,100,-"</formula1>
    </dataValidation>
    <dataValidation type="list" allowBlank="1" showInputMessage="1" showErrorMessage="1" sqref="B2:B46 G2:H46" xr:uid="{31589423-A127-4D6C-A300-B39A4647BF39}">
      <formula1>#REF!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CC41B-7A57-4781-B6CF-FD20ADFAD840}">
  <dimension ref="A1:N34"/>
  <sheetViews>
    <sheetView workbookViewId="0">
      <selection activeCell="C20" sqref="C20"/>
    </sheetView>
  </sheetViews>
  <sheetFormatPr defaultRowHeight="15" x14ac:dyDescent="0.25"/>
  <cols>
    <col min="1" max="1" width="16.140625" customWidth="1"/>
    <col min="2" max="2" width="20.140625" customWidth="1"/>
    <col min="3" max="3" width="28.5703125" customWidth="1"/>
    <col min="4" max="4" width="18" customWidth="1"/>
    <col min="5" max="5" width="19.140625" customWidth="1"/>
    <col min="6" max="6" width="22.28515625" customWidth="1"/>
    <col min="7" max="7" width="42.5703125" bestFit="1" customWidth="1"/>
    <col min="8" max="9" width="22.28515625" customWidth="1"/>
    <col min="10" max="10" width="29.140625" customWidth="1"/>
    <col min="11" max="11" width="23" bestFit="1" customWidth="1"/>
    <col min="12" max="12" width="26.85546875" bestFit="1" customWidth="1"/>
    <col min="13" max="13" width="18.7109375" bestFit="1" customWidth="1"/>
  </cols>
  <sheetData>
    <row r="1" spans="1:11" ht="15.75" thickBot="1" x14ac:dyDescent="0.3">
      <c r="A1" s="95" t="s">
        <v>106</v>
      </c>
      <c r="B1" s="95" t="s">
        <v>0</v>
      </c>
      <c r="C1" s="15" t="s">
        <v>1</v>
      </c>
      <c r="D1" s="15" t="s">
        <v>96</v>
      </c>
      <c r="E1" s="15" t="s">
        <v>97</v>
      </c>
      <c r="F1" s="15" t="s">
        <v>3</v>
      </c>
      <c r="G1" s="15" t="s">
        <v>98</v>
      </c>
      <c r="H1" s="15" t="s">
        <v>38</v>
      </c>
      <c r="I1" s="15" t="s">
        <v>99</v>
      </c>
    </row>
    <row r="2" spans="1:11" x14ac:dyDescent="0.25">
      <c r="A2" s="131" t="s">
        <v>206</v>
      </c>
      <c r="B2" s="59" t="s">
        <v>9</v>
      </c>
      <c r="C2" s="59">
        <v>5</v>
      </c>
      <c r="D2" s="96">
        <v>40</v>
      </c>
      <c r="E2" s="63">
        <v>1</v>
      </c>
      <c r="F2" s="98" t="s">
        <v>9</v>
      </c>
      <c r="G2" s="96" t="s">
        <v>123</v>
      </c>
      <c r="H2" s="59" t="s">
        <v>100</v>
      </c>
      <c r="I2" s="87" t="s">
        <v>101</v>
      </c>
    </row>
    <row r="3" spans="1:11" x14ac:dyDescent="0.25">
      <c r="A3" s="116">
        <v>0.4</v>
      </c>
      <c r="B3" s="97">
        <v>10</v>
      </c>
      <c r="C3" s="96">
        <v>10</v>
      </c>
      <c r="D3" s="98" t="s">
        <v>9</v>
      </c>
      <c r="E3" s="96">
        <v>2</v>
      </c>
      <c r="F3" s="59" t="s">
        <v>10</v>
      </c>
      <c r="G3" s="96" t="s">
        <v>124</v>
      </c>
      <c r="H3" s="98" t="s">
        <v>122</v>
      </c>
      <c r="J3" s="58" t="s">
        <v>32</v>
      </c>
      <c r="K3" s="63" t="s">
        <v>33</v>
      </c>
    </row>
    <row r="4" spans="1:11" x14ac:dyDescent="0.25">
      <c r="A4" s="116">
        <v>0.3</v>
      </c>
      <c r="B4" s="97">
        <v>15</v>
      </c>
      <c r="C4" s="56">
        <v>15</v>
      </c>
      <c r="D4" s="63"/>
      <c r="E4" s="96">
        <v>3</v>
      </c>
      <c r="F4" s="96">
        <v>10</v>
      </c>
      <c r="G4" s="96" t="s">
        <v>125</v>
      </c>
      <c r="J4" s="57" t="s">
        <v>102</v>
      </c>
      <c r="K4" s="56" t="s">
        <v>116</v>
      </c>
    </row>
    <row r="5" spans="1:11" x14ac:dyDescent="0.25">
      <c r="A5" s="116">
        <v>0.2</v>
      </c>
      <c r="B5" s="97">
        <v>20</v>
      </c>
      <c r="C5" s="56">
        <v>20</v>
      </c>
      <c r="D5" s="64"/>
      <c r="E5" s="98" t="s">
        <v>9</v>
      </c>
      <c r="F5" s="96">
        <v>20</v>
      </c>
      <c r="G5" s="96" t="s">
        <v>126</v>
      </c>
      <c r="J5" s="57" t="s">
        <v>103</v>
      </c>
      <c r="K5" s="56" t="s">
        <v>117</v>
      </c>
    </row>
    <row r="6" spans="1:11" x14ac:dyDescent="0.25">
      <c r="A6" s="116">
        <v>0.1</v>
      </c>
      <c r="B6" s="99">
        <v>25</v>
      </c>
      <c r="C6" s="64" t="s">
        <v>9</v>
      </c>
      <c r="D6" s="96"/>
      <c r="F6" s="96">
        <v>30</v>
      </c>
      <c r="G6" s="98" t="s">
        <v>127</v>
      </c>
      <c r="J6" s="57" t="s">
        <v>104</v>
      </c>
      <c r="K6" s="56" t="s">
        <v>105</v>
      </c>
    </row>
    <row r="7" spans="1:11" x14ac:dyDescent="0.25">
      <c r="A7" s="100" t="s">
        <v>48</v>
      </c>
      <c r="B7" s="73"/>
      <c r="D7" s="96"/>
      <c r="F7" s="96">
        <v>50</v>
      </c>
      <c r="G7" s="98" t="s">
        <v>128</v>
      </c>
      <c r="J7" s="57" t="s">
        <v>114</v>
      </c>
      <c r="K7" s="56">
        <v>0.1</v>
      </c>
    </row>
    <row r="8" spans="1:11" x14ac:dyDescent="0.25">
      <c r="A8" s="115"/>
      <c r="B8" s="73"/>
      <c r="G8" s="98" t="s">
        <v>9</v>
      </c>
      <c r="J8" s="57" t="s">
        <v>115</v>
      </c>
      <c r="K8" s="56">
        <v>0.05</v>
      </c>
    </row>
    <row r="9" spans="1:11" x14ac:dyDescent="0.25">
      <c r="A9" s="115"/>
      <c r="J9" s="62" t="s">
        <v>36</v>
      </c>
      <c r="K9" s="64" t="s">
        <v>37</v>
      </c>
    </row>
    <row r="10" spans="1:11" x14ac:dyDescent="0.25">
      <c r="J10" s="62" t="s">
        <v>119</v>
      </c>
      <c r="K10" s="64" t="s">
        <v>120</v>
      </c>
    </row>
    <row r="17" spans="10:14" x14ac:dyDescent="0.25">
      <c r="J17" s="58" t="s">
        <v>28</v>
      </c>
      <c r="K17" s="59" t="s">
        <v>29</v>
      </c>
      <c r="L17" s="60" t="s">
        <v>30</v>
      </c>
      <c r="M17" s="14" t="s">
        <v>31</v>
      </c>
      <c r="N17" s="61" t="s">
        <v>0</v>
      </c>
    </row>
    <row r="18" spans="10:14" x14ac:dyDescent="0.25">
      <c r="J18" s="55">
        <v>20</v>
      </c>
      <c r="K18" s="101">
        <v>0</v>
      </c>
      <c r="L18" s="102">
        <f t="shared" ref="L18:L26" si="0">K18+J18</f>
        <v>20</v>
      </c>
      <c r="M18" s="65">
        <v>20</v>
      </c>
      <c r="N18" s="66">
        <v>15</v>
      </c>
    </row>
    <row r="19" spans="10:14" x14ac:dyDescent="0.25">
      <c r="J19" s="55">
        <v>15</v>
      </c>
      <c r="K19" s="101">
        <v>5</v>
      </c>
      <c r="L19" s="102">
        <f t="shared" si="0"/>
        <v>20</v>
      </c>
      <c r="M19" s="65">
        <v>15</v>
      </c>
      <c r="N19" s="66">
        <v>15</v>
      </c>
    </row>
    <row r="20" spans="10:14" x14ac:dyDescent="0.25">
      <c r="J20" s="55">
        <v>10</v>
      </c>
      <c r="K20" s="101">
        <v>10</v>
      </c>
      <c r="L20" s="102">
        <f t="shared" si="0"/>
        <v>20</v>
      </c>
      <c r="M20" s="65">
        <v>10</v>
      </c>
      <c r="N20" s="66">
        <v>15</v>
      </c>
    </row>
    <row r="21" spans="10:14" x14ac:dyDescent="0.25">
      <c r="J21" s="55">
        <v>5</v>
      </c>
      <c r="K21" s="101">
        <v>15</v>
      </c>
      <c r="L21" s="102">
        <f t="shared" si="0"/>
        <v>20</v>
      </c>
      <c r="M21" s="65">
        <v>5</v>
      </c>
      <c r="N21" s="66">
        <v>20</v>
      </c>
    </row>
    <row r="22" spans="10:14" x14ac:dyDescent="0.25">
      <c r="J22" s="55">
        <v>0</v>
      </c>
      <c r="K22" s="101">
        <v>20</v>
      </c>
      <c r="L22" s="102">
        <f t="shared" si="0"/>
        <v>20</v>
      </c>
      <c r="M22" s="65">
        <v>5</v>
      </c>
      <c r="N22" s="66">
        <v>20</v>
      </c>
    </row>
    <row r="23" spans="10:14" x14ac:dyDescent="0.25">
      <c r="J23" s="55">
        <v>-5</v>
      </c>
      <c r="K23" s="101">
        <v>20</v>
      </c>
      <c r="L23" s="102">
        <f t="shared" si="0"/>
        <v>15</v>
      </c>
      <c r="M23" s="65">
        <v>5</v>
      </c>
      <c r="N23" s="66">
        <v>20</v>
      </c>
    </row>
    <row r="24" spans="10:14" x14ac:dyDescent="0.25">
      <c r="J24" s="55">
        <v>-10</v>
      </c>
      <c r="K24" s="101">
        <v>20</v>
      </c>
      <c r="L24" s="102">
        <f t="shared" si="0"/>
        <v>10</v>
      </c>
      <c r="M24" s="65">
        <v>5</v>
      </c>
      <c r="N24" s="66">
        <v>20</v>
      </c>
    </row>
    <row r="25" spans="10:14" x14ac:dyDescent="0.25">
      <c r="J25" s="55">
        <v>-15</v>
      </c>
      <c r="K25" s="101">
        <v>20</v>
      </c>
      <c r="L25" s="102">
        <f t="shared" si="0"/>
        <v>5</v>
      </c>
      <c r="M25" s="65">
        <v>5</v>
      </c>
      <c r="N25" s="66">
        <v>15</v>
      </c>
    </row>
    <row r="26" spans="10:14" x14ac:dyDescent="0.25">
      <c r="J26" s="67">
        <v>-20</v>
      </c>
      <c r="K26" s="103">
        <v>20</v>
      </c>
      <c r="L26" s="104">
        <f t="shared" si="0"/>
        <v>0</v>
      </c>
      <c r="M26" s="65">
        <v>5</v>
      </c>
      <c r="N26" s="68">
        <v>10</v>
      </c>
    </row>
    <row r="29" spans="10:14" x14ac:dyDescent="0.25">
      <c r="J29" t="s">
        <v>110</v>
      </c>
      <c r="K29" t="s">
        <v>111</v>
      </c>
      <c r="L29" t="s">
        <v>112</v>
      </c>
      <c r="M29" t="s">
        <v>121</v>
      </c>
    </row>
    <row r="30" spans="10:14" x14ac:dyDescent="0.25">
      <c r="J30" t="s">
        <v>107</v>
      </c>
      <c r="K30">
        <v>0.1</v>
      </c>
      <c r="L30">
        <v>2.5000000000000001E-2</v>
      </c>
      <c r="M30">
        <v>-0.05</v>
      </c>
    </row>
    <row r="31" spans="10:14" x14ac:dyDescent="0.25">
      <c r="J31" t="s">
        <v>108</v>
      </c>
      <c r="K31">
        <v>-0.05</v>
      </c>
      <c r="L31">
        <v>-0.05</v>
      </c>
      <c r="M31">
        <v>-0.05</v>
      </c>
    </row>
    <row r="32" spans="10:14" x14ac:dyDescent="0.25">
      <c r="J32" t="s">
        <v>109</v>
      </c>
      <c r="K32">
        <v>0.15</v>
      </c>
      <c r="L32">
        <v>0.15</v>
      </c>
      <c r="M32">
        <v>0.15</v>
      </c>
    </row>
    <row r="33" spans="10:13" x14ac:dyDescent="0.25">
      <c r="J33" t="s">
        <v>109</v>
      </c>
      <c r="K33">
        <v>0.05</v>
      </c>
      <c r="L33">
        <v>0.05</v>
      </c>
      <c r="M33">
        <v>0.05</v>
      </c>
    </row>
    <row r="34" spans="10:13" x14ac:dyDescent="0.25">
      <c r="J34" t="s">
        <v>113</v>
      </c>
      <c r="K34" t="s">
        <v>118</v>
      </c>
    </row>
  </sheetData>
  <phoneticPr fontId="3" type="noConversion"/>
  <pageMargins left="0.7" right="0.7" top="0.75" bottom="0.75" header="0.3" footer="0.3"/>
  <pageSetup paperSize="9" orientation="portrait" verticalDpi="0" r:id="rId1"/>
  <tableParts count="12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e800367-2c34-4d12-acc1-86a7242367eb" xsi:nil="true"/>
  </documentManagement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E79A143C9F2C74AAD242243980CE1B5" ma:contentTypeVersion="11" ma:contentTypeDescription="Skapa ett nytt dokument." ma:contentTypeScope="" ma:versionID="1ee207cd575e33b9d7fea9f6bff6ddd4">
  <xsd:schema xmlns:xsd="http://www.w3.org/2001/XMLSchema" xmlns:xs="http://www.w3.org/2001/XMLSchema" xmlns:p="http://schemas.microsoft.com/office/2006/metadata/properties" xmlns:ns3="1e800367-2c34-4d12-acc1-86a7242367eb" xmlns:ns4="07b9f31b-60f6-4aad-8cdf-b09de99c40f0" targetNamespace="http://schemas.microsoft.com/office/2006/metadata/properties" ma:root="true" ma:fieldsID="e42f79f7ee4ae68e4e16498ec8499a6a" ns3:_="" ns4:_="">
    <xsd:import namespace="1e800367-2c34-4d12-acc1-86a7242367eb"/>
    <xsd:import namespace="07b9f31b-60f6-4aad-8cdf-b09de99c40f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800367-2c34-4d12-acc1-86a7242367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b9f31b-60f6-4aad-8cdf-b09de99c4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Delar tips,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842B396-40D5-42B2-A081-0937C7F84EB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DAA580D-6ACC-4B8F-873B-22BA6ACC56E7}">
  <ds:schemaRefs>
    <ds:schemaRef ds:uri="http://www.w3.org/XML/1998/namespace"/>
    <ds:schemaRef ds:uri="1e800367-2c34-4d12-acc1-86a7242367eb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07b9f31b-60f6-4aad-8cdf-b09de99c40f0"/>
    <ds:schemaRef ds:uri="http://purl.org/dc/elements/1.1/"/>
    <ds:schemaRef ds:uri="http://schemas.microsoft.com/office/infopath/2007/PartnerControl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4F9B9517-FD18-42CD-AB9A-43245484BC63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36358045-51DD-45AF-9AB3-C98E8BE327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800367-2c34-4d12-acc1-86a7242367eb"/>
    <ds:schemaRef ds:uri="07b9f31b-60f6-4aad-8cdf-b09de99c40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7aa68094-6104-41a6-b443-d4b52451f617}" enabled="0" method="" siteId="{7aa68094-6104-41a6-b443-d4b52451f61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Bjälklag (C20-25)</vt:lpstr>
      <vt:lpstr>Bjälklag (C25-30)</vt:lpstr>
      <vt:lpstr>Bjälklag (C28-35)</vt:lpstr>
      <vt:lpstr>Bjälklag (C30-37)</vt:lpstr>
      <vt:lpstr>Bjälklag (C32-40)</vt:lpstr>
      <vt:lpstr>Bjälklag (C35-45)</vt:lpstr>
      <vt:lpstr>Bjälklag (C40-50)</vt:lpstr>
      <vt:lpstr>Data till Lathund, Kådgenererin</vt:lpstr>
      <vt:lpstr>Lathund</vt:lpstr>
      <vt:lpstr>Data till lathund Åtgärder</vt:lpstr>
      <vt:lpstr>Förutsättningar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Jonatan Jerström</dc:creator>
  <cp:keywords/>
  <dc:description/>
  <cp:lastModifiedBy>Jonatan Jerström</cp:lastModifiedBy>
  <cp:revision/>
  <cp:lastPrinted>2026-04-23T07:52:32Z</cp:lastPrinted>
  <dcterms:created xsi:type="dcterms:W3CDTF">2026-04-13T11:50:47Z</dcterms:created>
  <dcterms:modified xsi:type="dcterms:W3CDTF">2026-05-06T13:56:54Z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0x010100FE79A143C9F2C74AAD242243980CE1B5</vt:lpwstr>
  </property>
</Properties>
</file>